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bo15/code/llm-memorization/"/>
    </mc:Choice>
  </mc:AlternateContent>
  <xr:revisionPtr revIDLastSave="0" documentId="13_ncr:1_{C51D1391-4450-424D-95B1-B29F3823820C}" xr6:coauthVersionLast="47" xr6:coauthVersionMax="47" xr10:uidLastSave="{00000000-0000-0000-0000-000000000000}"/>
  <bookViews>
    <workbookView xWindow="660" yWindow="1000" windowWidth="27840" windowHeight="15440" activeTab="1" xr2:uid="{60BE1878-A98E-2548-9C6F-0ED76844BB32}"/>
  </bookViews>
  <sheets>
    <sheet name="原始数据" sheetId="1" r:id="rId1"/>
    <sheet name="去除空格" sheetId="2" r:id="rId2"/>
  </sheets>
  <definedNames>
    <definedName name="_xlnm._FilterDatabase" localSheetId="0" hidden="1">原始数据!$A$1:$G$271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H45" i="2" l="1"/>
  <c r="AH46" i="2"/>
  <c r="AH47" i="2"/>
  <c r="AH48" i="2"/>
  <c r="AH49" i="2"/>
  <c r="AH50" i="2"/>
  <c r="AH51" i="2"/>
  <c r="AH52" i="2"/>
  <c r="AH53" i="2"/>
  <c r="AH54" i="2"/>
  <c r="AH55" i="2"/>
  <c r="AH56" i="2"/>
  <c r="AH57" i="2"/>
  <c r="AH58" i="2"/>
  <c r="AH59" i="2"/>
  <c r="AH60" i="2"/>
  <c r="AH61" i="2"/>
  <c r="AH62" i="2"/>
  <c r="AH63" i="2"/>
  <c r="AH44" i="2"/>
  <c r="AE45" i="2"/>
  <c r="AE46" i="2"/>
  <c r="AE47" i="2"/>
  <c r="AE48" i="2"/>
  <c r="AE49" i="2"/>
  <c r="AE50" i="2"/>
  <c r="AE51" i="2"/>
  <c r="AE52" i="2"/>
  <c r="AE53" i="2"/>
  <c r="AE54" i="2"/>
  <c r="AE55" i="2"/>
  <c r="AE56" i="2"/>
  <c r="AE57" i="2"/>
  <c r="AE58" i="2"/>
  <c r="AE59" i="2"/>
  <c r="AE60" i="2"/>
  <c r="AE61" i="2"/>
  <c r="AE62" i="2"/>
  <c r="AE63" i="2"/>
  <c r="AE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44" i="2"/>
  <c r="P45" i="2"/>
  <c r="P46" i="2"/>
  <c r="P47" i="2"/>
  <c r="P48" i="2"/>
  <c r="P51" i="2"/>
  <c r="P52" i="2"/>
  <c r="P53" i="2"/>
  <c r="P54" i="2"/>
  <c r="P55" i="2"/>
  <c r="P56" i="2"/>
  <c r="P59" i="2"/>
  <c r="P60" i="2"/>
  <c r="P61" i="2"/>
  <c r="P62" i="2"/>
  <c r="P63" i="2"/>
  <c r="P44" i="2"/>
  <c r="M47" i="2"/>
  <c r="M48" i="2"/>
  <c r="M49" i="2"/>
  <c r="M50" i="2"/>
  <c r="M51" i="2"/>
  <c r="M52" i="2"/>
  <c r="M55" i="2"/>
  <c r="M56" i="2"/>
  <c r="M57" i="2"/>
  <c r="M58" i="2"/>
  <c r="M59" i="2"/>
  <c r="M60" i="2"/>
  <c r="M63" i="2"/>
  <c r="M44" i="2"/>
  <c r="AG65" i="2"/>
  <c r="AD65" i="2"/>
  <c r="X65" i="2"/>
  <c r="U65" i="2"/>
  <c r="O65" i="2"/>
  <c r="P49" i="2" s="1"/>
  <c r="L65" i="2"/>
  <c r="L19" i="2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13" i="2"/>
  <c r="M13" i="2"/>
  <c r="N13" i="2"/>
  <c r="O13" i="2"/>
  <c r="L11" i="2"/>
  <c r="M11" i="2"/>
  <c r="N11" i="2"/>
  <c r="O11" i="2"/>
  <c r="P11" i="2"/>
  <c r="L10" i="2"/>
  <c r="M10" i="2"/>
  <c r="N10" i="2"/>
  <c r="O10" i="2"/>
  <c r="P10" i="2"/>
  <c r="L9" i="2"/>
  <c r="M9" i="2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N9" i="2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N33" i="2" s="1"/>
  <c r="N34" i="2" s="1"/>
  <c r="N35" i="2" s="1"/>
  <c r="N36" i="2" s="1"/>
  <c r="N37" i="2" s="1"/>
  <c r="N38" i="2" s="1"/>
  <c r="O9" i="2"/>
  <c r="O19" i="2" s="1"/>
  <c r="O20" i="2" s="1"/>
  <c r="O21" i="2" s="1"/>
  <c r="O22" i="2" s="1"/>
  <c r="O23" i="2" s="1"/>
  <c r="O24" i="2" s="1"/>
  <c r="O25" i="2" s="1"/>
  <c r="O26" i="2" s="1"/>
  <c r="O27" i="2" s="1"/>
  <c r="O28" i="2" s="1"/>
  <c r="O29" i="2" s="1"/>
  <c r="O30" i="2" s="1"/>
  <c r="O31" i="2" s="1"/>
  <c r="O32" i="2" s="1"/>
  <c r="O33" i="2" s="1"/>
  <c r="O34" i="2" s="1"/>
  <c r="O35" i="2" s="1"/>
  <c r="O36" i="2" s="1"/>
  <c r="O37" i="2" s="1"/>
  <c r="O38" i="2" s="1"/>
  <c r="P9" i="2"/>
  <c r="P19" i="2" s="1"/>
  <c r="K9" i="2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10" i="2"/>
  <c r="K11" i="2"/>
  <c r="L8" i="2"/>
  <c r="M8" i="2"/>
  <c r="N8" i="2"/>
  <c r="O8" i="2"/>
  <c r="P8" i="2"/>
  <c r="P13" i="2" s="1"/>
  <c r="K13" i="2"/>
  <c r="K8" i="2"/>
  <c r="P20" i="2" l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M62" i="2"/>
  <c r="M54" i="2"/>
  <c r="M46" i="2"/>
  <c r="P58" i="2"/>
  <c r="P50" i="2"/>
  <c r="M61" i="2"/>
  <c r="M53" i="2"/>
  <c r="M45" i="2"/>
  <c r="P57" i="2"/>
</calcChain>
</file>

<file path=xl/sharedStrings.xml><?xml version="1.0" encoding="utf-8"?>
<sst xmlns="http://schemas.openxmlformats.org/spreadsheetml/2006/main" count="185" uniqueCount="23">
  <si>
    <t>id</t>
    <phoneticPr fontId="2" type="noConversion"/>
  </si>
  <si>
    <t>parent_mean_p_max</t>
  </si>
  <si>
    <t>parent_mean_h_mean</t>
  </si>
  <si>
    <t>parent_mean_h_variance</t>
  </si>
  <si>
    <t>child_mean_p_max</t>
  </si>
  <si>
    <t>child_mean_h_mean</t>
  </si>
  <si>
    <t>child_mean_h_variance</t>
  </si>
  <si>
    <t>组数</t>
  </si>
  <si>
    <t>组距</t>
  </si>
  <si>
    <t>max</t>
    <phoneticPr fontId="2" type="noConversion"/>
  </si>
  <si>
    <t>min</t>
    <phoneticPr fontId="2" type="noConversion"/>
  </si>
  <si>
    <t>avg</t>
    <phoneticPr fontId="2" type="noConversion"/>
  </si>
  <si>
    <t>stdev</t>
    <phoneticPr fontId="2" type="noConversion"/>
  </si>
  <si>
    <t>区间</t>
    <phoneticPr fontId="2" type="noConversion"/>
  </si>
  <si>
    <t>接收</t>
  </si>
  <si>
    <t>其他</t>
  </si>
  <si>
    <t>频率</t>
  </si>
  <si>
    <t>max</t>
  </si>
  <si>
    <t>min</t>
  </si>
  <si>
    <t>avg</t>
  </si>
  <si>
    <t>stdev</t>
  </si>
  <si>
    <t>mem-relation</t>
  </si>
  <si>
    <t>non-mem-relation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</si>
</sst>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4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11" fontId="0" fillId="0" borderId="0" xfId="0" applyNumberFormat="1">
      <alignment vertical="center"/>
    </xf>
    <xf numFmtId="0" fontId="0" fillId="0" borderId="1" xfId="0" applyBorder="1">
      <alignment vertical="center"/>
    </xf>
    <xf numFmtId="11" fontId="0" fillId="0" borderId="1" xfId="0" applyNumberFormat="1" applyBorder="1">
      <alignment vertical="center"/>
    </xf>
    <xf numFmtId="0" fontId="3" fillId="0" borderId="0" xfId="0" applyFont="1">
      <alignment vertical="center"/>
    </xf>
    <xf numFmtId="11" fontId="0" fillId="0" borderId="0" xfId="0" applyNumberFormat="1" applyFill="1" applyBorder="1" applyAlignment="1">
      <alignment vertical="center"/>
    </xf>
    <xf numFmtId="0" fontId="0" fillId="0" borderId="0" xfId="0" applyFill="1" applyBorder="1" applyAlignment="1">
      <alignment vertical="center"/>
    </xf>
    <xf numFmtId="0" fontId="0" fillId="0" borderId="2" xfId="0" applyFill="1" applyBorder="1" applyAlignment="1">
      <alignment vertical="center"/>
    </xf>
    <xf numFmtId="0" fontId="0" fillId="0" borderId="3" xfId="0" applyFont="1" applyFill="1" applyBorder="1" applyAlignment="1">
      <alignment horizontal="center" vertical="center"/>
    </xf>
    <xf numFmtId="176" fontId="0" fillId="0" borderId="0" xfId="1" applyNumberFormat="1" applyFont="1" applyFill="1" applyBorder="1" applyAlignment="1">
      <alignment vertical="center"/>
    </xf>
    <xf numFmtId="10" fontId="0" fillId="0" borderId="0" xfId="1" applyNumberFormat="1" applyFont="1" applyFill="1" applyBorder="1" applyAlignment="1">
      <alignment vertical="center"/>
    </xf>
    <xf numFmtId="176" fontId="0" fillId="0" borderId="0" xfId="1" applyNumberFormat="1" applyFont="1">
      <alignment vertical="center"/>
    </xf>
    <xf numFmtId="10" fontId="0" fillId="0" borderId="0" xfId="1" applyNumberFormat="1" applyFont="1">
      <alignment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去除空格!$J$71</c:f>
              <c:strCache>
                <c:ptCount val="1"/>
                <c:pt idx="0">
                  <c:v>mem-relation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去除空格!$K$71:$K$110</c:f>
              <c:numCache>
                <c:formatCode>0.0%</c:formatCode>
                <c:ptCount val="40"/>
                <c:pt idx="0">
                  <c:v>0.21419134736060999</c:v>
                </c:pt>
                <c:pt idx="1">
                  <c:v>0.25390974314589154</c:v>
                </c:pt>
                <c:pt idx="2">
                  <c:v>0.29362813893117312</c:v>
                </c:pt>
                <c:pt idx="3">
                  <c:v>0.3333465347164547</c:v>
                </c:pt>
                <c:pt idx="4">
                  <c:v>0.37306493050173628</c:v>
                </c:pt>
                <c:pt idx="5">
                  <c:v>0.41278332628701786</c:v>
                </c:pt>
                <c:pt idx="6">
                  <c:v>0.45250172207229944</c:v>
                </c:pt>
                <c:pt idx="7">
                  <c:v>0.49222011785758102</c:v>
                </c:pt>
                <c:pt idx="8">
                  <c:v>0.5319385136428626</c:v>
                </c:pt>
                <c:pt idx="9">
                  <c:v>0.57165690942814418</c:v>
                </c:pt>
                <c:pt idx="10">
                  <c:v>0.61137530521342576</c:v>
                </c:pt>
                <c:pt idx="11">
                  <c:v>0.65109370099870734</c:v>
                </c:pt>
                <c:pt idx="12">
                  <c:v>0.69081209678398892</c:v>
                </c:pt>
                <c:pt idx="13">
                  <c:v>0.7305304925692705</c:v>
                </c:pt>
                <c:pt idx="14">
                  <c:v>0.77024888835455207</c:v>
                </c:pt>
                <c:pt idx="15">
                  <c:v>0.80996728413983365</c:v>
                </c:pt>
                <c:pt idx="16">
                  <c:v>0.84968567992511523</c:v>
                </c:pt>
                <c:pt idx="17">
                  <c:v>0.88940407571039681</c:v>
                </c:pt>
                <c:pt idx="18">
                  <c:v>0.92912247149567839</c:v>
                </c:pt>
                <c:pt idx="19">
                  <c:v>0.96884086728095997</c:v>
                </c:pt>
                <c:pt idx="20">
                  <c:v>4.9650851637125001E-2</c:v>
                </c:pt>
                <c:pt idx="21">
                  <c:v>9.7739477298761632E-2</c:v>
                </c:pt>
                <c:pt idx="22">
                  <c:v>0.14582810296039828</c:v>
                </c:pt>
                <c:pt idx="23">
                  <c:v>0.19391672862203491</c:v>
                </c:pt>
                <c:pt idx="24">
                  <c:v>0.24200535428367154</c:v>
                </c:pt>
                <c:pt idx="25">
                  <c:v>0.29009397994530817</c:v>
                </c:pt>
                <c:pt idx="26">
                  <c:v>0.3381826056069448</c:v>
                </c:pt>
                <c:pt idx="27">
                  <c:v>0.38627123126858143</c:v>
                </c:pt>
                <c:pt idx="28">
                  <c:v>0.43435985693021806</c:v>
                </c:pt>
                <c:pt idx="29">
                  <c:v>0.48244848259185469</c:v>
                </c:pt>
                <c:pt idx="30">
                  <c:v>0.53053710825349132</c:v>
                </c:pt>
                <c:pt idx="31">
                  <c:v>0.57862573391512795</c:v>
                </c:pt>
                <c:pt idx="32">
                  <c:v>0.62671435957676458</c:v>
                </c:pt>
                <c:pt idx="33">
                  <c:v>0.67480298523840121</c:v>
                </c:pt>
                <c:pt idx="34">
                  <c:v>0.72289161090003784</c:v>
                </c:pt>
                <c:pt idx="35">
                  <c:v>0.77098023656167447</c:v>
                </c:pt>
                <c:pt idx="36">
                  <c:v>0.8190688622233111</c:v>
                </c:pt>
                <c:pt idx="37">
                  <c:v>0.86715748788494773</c:v>
                </c:pt>
                <c:pt idx="38">
                  <c:v>0.91524611354658436</c:v>
                </c:pt>
                <c:pt idx="39">
                  <c:v>0.96333473920822099</c:v>
                </c:pt>
              </c:numCache>
            </c:numRef>
          </c:cat>
          <c:val>
            <c:numRef>
              <c:f>去除空格!$L$71:$L$90</c:f>
              <c:numCache>
                <c:formatCode>0.0%</c:formatCode>
                <c:ptCount val="20"/>
                <c:pt idx="0">
                  <c:v>4.8543689320388345E-3</c:v>
                </c:pt>
                <c:pt idx="1">
                  <c:v>4.8543689320388345E-3</c:v>
                </c:pt>
                <c:pt idx="2">
                  <c:v>4.8543689320388345E-3</c:v>
                </c:pt>
                <c:pt idx="3">
                  <c:v>4.8543689320388345E-3</c:v>
                </c:pt>
                <c:pt idx="4">
                  <c:v>0</c:v>
                </c:pt>
                <c:pt idx="5">
                  <c:v>9.7087378640776691E-3</c:v>
                </c:pt>
                <c:pt idx="6">
                  <c:v>9.7087378640776691E-3</c:v>
                </c:pt>
                <c:pt idx="7">
                  <c:v>2.9126213592233011E-2</c:v>
                </c:pt>
                <c:pt idx="8">
                  <c:v>1.9417475728155338E-2</c:v>
                </c:pt>
                <c:pt idx="9">
                  <c:v>4.3689320388349516E-2</c:v>
                </c:pt>
                <c:pt idx="10">
                  <c:v>5.8252427184466021E-2</c:v>
                </c:pt>
                <c:pt idx="11">
                  <c:v>6.7961165048543687E-2</c:v>
                </c:pt>
                <c:pt idx="12">
                  <c:v>9.7087378640776698E-2</c:v>
                </c:pt>
                <c:pt idx="13">
                  <c:v>6.7961165048543687E-2</c:v>
                </c:pt>
                <c:pt idx="14">
                  <c:v>0.14077669902912621</c:v>
                </c:pt>
                <c:pt idx="15">
                  <c:v>0.14077669902912621</c:v>
                </c:pt>
                <c:pt idx="16">
                  <c:v>0.1553398058252427</c:v>
                </c:pt>
                <c:pt idx="17">
                  <c:v>6.3106796116504854E-2</c:v>
                </c:pt>
                <c:pt idx="18">
                  <c:v>4.3689320388349516E-2</c:v>
                </c:pt>
                <c:pt idx="19">
                  <c:v>3.3980582524271843E-2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24-4641-B6F7-B176A0C932BE}"/>
            </c:ext>
          </c:extLst>
        </c:ser>
        <c:ser>
          <c:idx val="1"/>
          <c:order val="1"/>
          <c:tx>
            <c:strRef>
              <c:f>去除空格!$J$91</c:f>
              <c:strCache>
                <c:ptCount val="1"/>
                <c:pt idx="0">
                  <c:v>non-mem-relation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去除空格!$K$71:$K$110</c:f>
              <c:numCache>
                <c:formatCode>0.0%</c:formatCode>
                <c:ptCount val="40"/>
                <c:pt idx="0">
                  <c:v>0.21419134736060999</c:v>
                </c:pt>
                <c:pt idx="1">
                  <c:v>0.25390974314589154</c:v>
                </c:pt>
                <c:pt idx="2">
                  <c:v>0.29362813893117312</c:v>
                </c:pt>
                <c:pt idx="3">
                  <c:v>0.3333465347164547</c:v>
                </c:pt>
                <c:pt idx="4">
                  <c:v>0.37306493050173628</c:v>
                </c:pt>
                <c:pt idx="5">
                  <c:v>0.41278332628701786</c:v>
                </c:pt>
                <c:pt idx="6">
                  <c:v>0.45250172207229944</c:v>
                </c:pt>
                <c:pt idx="7">
                  <c:v>0.49222011785758102</c:v>
                </c:pt>
                <c:pt idx="8">
                  <c:v>0.5319385136428626</c:v>
                </c:pt>
                <c:pt idx="9">
                  <c:v>0.57165690942814418</c:v>
                </c:pt>
                <c:pt idx="10">
                  <c:v>0.61137530521342576</c:v>
                </c:pt>
                <c:pt idx="11">
                  <c:v>0.65109370099870734</c:v>
                </c:pt>
                <c:pt idx="12">
                  <c:v>0.69081209678398892</c:v>
                </c:pt>
                <c:pt idx="13">
                  <c:v>0.7305304925692705</c:v>
                </c:pt>
                <c:pt idx="14">
                  <c:v>0.77024888835455207</c:v>
                </c:pt>
                <c:pt idx="15">
                  <c:v>0.80996728413983365</c:v>
                </c:pt>
                <c:pt idx="16">
                  <c:v>0.84968567992511523</c:v>
                </c:pt>
                <c:pt idx="17">
                  <c:v>0.88940407571039681</c:v>
                </c:pt>
                <c:pt idx="18">
                  <c:v>0.92912247149567839</c:v>
                </c:pt>
                <c:pt idx="19">
                  <c:v>0.96884086728095997</c:v>
                </c:pt>
                <c:pt idx="20">
                  <c:v>4.9650851637125001E-2</c:v>
                </c:pt>
                <c:pt idx="21">
                  <c:v>9.7739477298761632E-2</c:v>
                </c:pt>
                <c:pt idx="22">
                  <c:v>0.14582810296039828</c:v>
                </c:pt>
                <c:pt idx="23">
                  <c:v>0.19391672862203491</c:v>
                </c:pt>
                <c:pt idx="24">
                  <c:v>0.24200535428367154</c:v>
                </c:pt>
                <c:pt idx="25">
                  <c:v>0.29009397994530817</c:v>
                </c:pt>
                <c:pt idx="26">
                  <c:v>0.3381826056069448</c:v>
                </c:pt>
                <c:pt idx="27">
                  <c:v>0.38627123126858143</c:v>
                </c:pt>
                <c:pt idx="28">
                  <c:v>0.43435985693021806</c:v>
                </c:pt>
                <c:pt idx="29">
                  <c:v>0.48244848259185469</c:v>
                </c:pt>
                <c:pt idx="30">
                  <c:v>0.53053710825349132</c:v>
                </c:pt>
                <c:pt idx="31">
                  <c:v>0.57862573391512795</c:v>
                </c:pt>
                <c:pt idx="32">
                  <c:v>0.62671435957676458</c:v>
                </c:pt>
                <c:pt idx="33">
                  <c:v>0.67480298523840121</c:v>
                </c:pt>
                <c:pt idx="34">
                  <c:v>0.72289161090003784</c:v>
                </c:pt>
                <c:pt idx="35">
                  <c:v>0.77098023656167447</c:v>
                </c:pt>
                <c:pt idx="36">
                  <c:v>0.8190688622233111</c:v>
                </c:pt>
                <c:pt idx="37">
                  <c:v>0.86715748788494773</c:v>
                </c:pt>
                <c:pt idx="38">
                  <c:v>0.91524611354658436</c:v>
                </c:pt>
                <c:pt idx="39">
                  <c:v>0.96333473920822099</c:v>
                </c:pt>
              </c:numCache>
            </c:numRef>
          </c:cat>
          <c:val>
            <c:numRef>
              <c:f>去除空格!$L$91:$L$110</c:f>
              <c:numCache>
                <c:formatCode>0.0%</c:formatCode>
                <c:ptCount val="20"/>
                <c:pt idx="0">
                  <c:v>4.8543689320388345E-3</c:v>
                </c:pt>
                <c:pt idx="1">
                  <c:v>0.10194174757281553</c:v>
                </c:pt>
                <c:pt idx="2">
                  <c:v>1.9417475728155338E-2</c:v>
                </c:pt>
                <c:pt idx="3">
                  <c:v>4.8543689320388349E-2</c:v>
                </c:pt>
                <c:pt idx="4">
                  <c:v>2.9126213592233011E-2</c:v>
                </c:pt>
                <c:pt idx="5">
                  <c:v>3.8834951456310676E-2</c:v>
                </c:pt>
                <c:pt idx="6">
                  <c:v>4.3689320388349516E-2</c:v>
                </c:pt>
                <c:pt idx="7">
                  <c:v>2.9126213592233011E-2</c:v>
                </c:pt>
                <c:pt idx="8">
                  <c:v>7.7669902912621352E-2</c:v>
                </c:pt>
                <c:pt idx="9">
                  <c:v>5.8252427184466021E-2</c:v>
                </c:pt>
                <c:pt idx="10">
                  <c:v>0.15048543689320387</c:v>
                </c:pt>
                <c:pt idx="11">
                  <c:v>6.7961165048543687E-2</c:v>
                </c:pt>
                <c:pt idx="12">
                  <c:v>0.12135922330097088</c:v>
                </c:pt>
                <c:pt idx="13">
                  <c:v>4.3689320388349516E-2</c:v>
                </c:pt>
                <c:pt idx="14">
                  <c:v>5.8252427184466021E-2</c:v>
                </c:pt>
                <c:pt idx="15">
                  <c:v>2.4271844660194174E-2</c:v>
                </c:pt>
                <c:pt idx="16">
                  <c:v>2.9126213592233011E-2</c:v>
                </c:pt>
                <c:pt idx="17">
                  <c:v>3.8834951456310676E-2</c:v>
                </c:pt>
                <c:pt idx="18">
                  <c:v>4.8543689320388345E-3</c:v>
                </c:pt>
                <c:pt idx="19">
                  <c:v>9.7087378640776691E-3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824-4641-B6F7-B176A0C93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24477872"/>
        <c:axId val="237243376"/>
      </c:lineChart>
      <c:catAx>
        <c:axId val="1724477872"/>
        <c:scaling>
          <c:orientation val="minMax"/>
        </c:scaling>
        <c:delete val="0"/>
        <c:axPos val="b"/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237243376"/>
        <c:crosses val="autoZero"/>
        <c:auto val="1"/>
        <c:lblAlgn val="ctr"/>
        <c:lblOffset val="100"/>
        <c:noMultiLvlLbl val="0"/>
      </c:catAx>
      <c:valAx>
        <c:axId val="23724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724477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去除空格!$T$73</c:f>
              <c:strCache>
                <c:ptCount val="1"/>
                <c:pt idx="0">
                  <c:v>mem-relation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去除空格!$U$73:$U$112</c:f>
              <c:numCache>
                <c:formatCode>General</c:formatCode>
                <c:ptCount val="40"/>
                <c:pt idx="0">
                  <c:v>-3.33332680504465E-2</c:v>
                </c:pt>
                <c:pt idx="1">
                  <c:v>-2.8805170480149432E-2</c:v>
                </c:pt>
                <c:pt idx="2">
                  <c:v>-2.4277072909852364E-2</c:v>
                </c:pt>
                <c:pt idx="3">
                  <c:v>-1.9748975339555296E-2</c:v>
                </c:pt>
                <c:pt idx="4">
                  <c:v>-1.5220877769258227E-2</c:v>
                </c:pt>
                <c:pt idx="5">
                  <c:v>-1.0692780198961159E-2</c:v>
                </c:pt>
                <c:pt idx="6">
                  <c:v>-6.1646826286640907E-3</c:v>
                </c:pt>
                <c:pt idx="7">
                  <c:v>-1.6365850583670224E-3</c:v>
                </c:pt>
                <c:pt idx="8">
                  <c:v>2.8915125119300458E-3</c:v>
                </c:pt>
                <c:pt idx="9">
                  <c:v>7.4196100822271141E-3</c:v>
                </c:pt>
                <c:pt idx="10">
                  <c:v>1.1947707652524182E-2</c:v>
                </c:pt>
                <c:pt idx="11">
                  <c:v>1.6475805222821251E-2</c:v>
                </c:pt>
                <c:pt idx="12">
                  <c:v>2.1003902793118319E-2</c:v>
                </c:pt>
                <c:pt idx="13">
                  <c:v>2.5532000363415387E-2</c:v>
                </c:pt>
                <c:pt idx="14">
                  <c:v>3.0060097933712455E-2</c:v>
                </c:pt>
                <c:pt idx="15">
                  <c:v>3.4588195504009524E-2</c:v>
                </c:pt>
                <c:pt idx="16">
                  <c:v>3.9116293074306592E-2</c:v>
                </c:pt>
                <c:pt idx="17">
                  <c:v>4.364439064460366E-2</c:v>
                </c:pt>
                <c:pt idx="18">
                  <c:v>4.8172488214900729E-2</c:v>
                </c:pt>
                <c:pt idx="19">
                  <c:v>5.2700585785197797E-2</c:v>
                </c:pt>
                <c:pt idx="20">
                  <c:v>-2.7250470156036301E-2</c:v>
                </c:pt>
                <c:pt idx="21">
                  <c:v>-2.2599660999258555E-2</c:v>
                </c:pt>
                <c:pt idx="22">
                  <c:v>-1.7948851842480809E-2</c:v>
                </c:pt>
                <c:pt idx="23">
                  <c:v>-1.3298042685703063E-2</c:v>
                </c:pt>
                <c:pt idx="24">
                  <c:v>-8.6472335289253174E-3</c:v>
                </c:pt>
                <c:pt idx="25">
                  <c:v>-3.9964243721475707E-3</c:v>
                </c:pt>
                <c:pt idx="26">
                  <c:v>6.5438478463017598E-4</c:v>
                </c:pt>
                <c:pt idx="27">
                  <c:v>5.3051939414079227E-3</c:v>
                </c:pt>
                <c:pt idx="28">
                  <c:v>9.9560030981856694E-3</c:v>
                </c:pt>
                <c:pt idx="29">
                  <c:v>1.4606812254963415E-2</c:v>
                </c:pt>
                <c:pt idx="30">
                  <c:v>1.9257621411741161E-2</c:v>
                </c:pt>
                <c:pt idx="31">
                  <c:v>2.3908430568518907E-2</c:v>
                </c:pt>
                <c:pt idx="32">
                  <c:v>2.8559239725296653E-2</c:v>
                </c:pt>
                <c:pt idx="33">
                  <c:v>3.3210048882074399E-2</c:v>
                </c:pt>
                <c:pt idx="34">
                  <c:v>3.7860858038852148E-2</c:v>
                </c:pt>
                <c:pt idx="35">
                  <c:v>4.2511667195629897E-2</c:v>
                </c:pt>
                <c:pt idx="36">
                  <c:v>4.7162476352407647E-2</c:v>
                </c:pt>
                <c:pt idx="37">
                  <c:v>5.1813285509185396E-2</c:v>
                </c:pt>
                <c:pt idx="38">
                  <c:v>5.6464094665963145E-2</c:v>
                </c:pt>
                <c:pt idx="39">
                  <c:v>6.1114903822740894E-2</c:v>
                </c:pt>
              </c:numCache>
            </c:numRef>
          </c:cat>
          <c:val>
            <c:numRef>
              <c:f>去除空格!$V$73:$V$92</c:f>
              <c:numCache>
                <c:formatCode>General</c:formatCode>
                <c:ptCount val="20"/>
                <c:pt idx="0">
                  <c:v>4.8543689320388345E-3</c:v>
                </c:pt>
                <c:pt idx="1">
                  <c:v>9.7087378640776691E-3</c:v>
                </c:pt>
                <c:pt idx="2">
                  <c:v>4.8543689320388345E-3</c:v>
                </c:pt>
                <c:pt idx="3">
                  <c:v>9.7087378640776691E-3</c:v>
                </c:pt>
                <c:pt idx="4">
                  <c:v>1.9417475728155338E-2</c:v>
                </c:pt>
                <c:pt idx="5">
                  <c:v>3.8834951456310676E-2</c:v>
                </c:pt>
                <c:pt idx="6">
                  <c:v>9.2233009708737865E-2</c:v>
                </c:pt>
                <c:pt idx="7">
                  <c:v>6.3106796116504854E-2</c:v>
                </c:pt>
                <c:pt idx="8">
                  <c:v>0.10679611650485436</c:v>
                </c:pt>
                <c:pt idx="9">
                  <c:v>0.16019417475728157</c:v>
                </c:pt>
                <c:pt idx="10">
                  <c:v>0.11165048543689321</c:v>
                </c:pt>
                <c:pt idx="11">
                  <c:v>9.2233009708737865E-2</c:v>
                </c:pt>
                <c:pt idx="12">
                  <c:v>0.10194174757281553</c:v>
                </c:pt>
                <c:pt idx="13">
                  <c:v>8.2524271844660199E-2</c:v>
                </c:pt>
                <c:pt idx="14">
                  <c:v>2.9126213592233011E-2</c:v>
                </c:pt>
                <c:pt idx="15">
                  <c:v>4.8543689320388349E-2</c:v>
                </c:pt>
                <c:pt idx="16">
                  <c:v>9.7087378640776691E-3</c:v>
                </c:pt>
                <c:pt idx="17">
                  <c:v>9.7087378640776691E-3</c:v>
                </c:pt>
                <c:pt idx="18">
                  <c:v>0</c:v>
                </c:pt>
                <c:pt idx="19">
                  <c:v>4.8543689320388345E-3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F8-3547-ACDB-6D4B92DB7832}"/>
            </c:ext>
          </c:extLst>
        </c:ser>
        <c:ser>
          <c:idx val="1"/>
          <c:order val="1"/>
          <c:tx>
            <c:strRef>
              <c:f>去除空格!$T$93</c:f>
              <c:strCache>
                <c:ptCount val="1"/>
                <c:pt idx="0">
                  <c:v>non-mem-relation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去除空格!$U$73:$U$112</c:f>
              <c:numCache>
                <c:formatCode>General</c:formatCode>
                <c:ptCount val="40"/>
                <c:pt idx="0">
                  <c:v>-3.33332680504465E-2</c:v>
                </c:pt>
                <c:pt idx="1">
                  <c:v>-2.8805170480149432E-2</c:v>
                </c:pt>
                <c:pt idx="2">
                  <c:v>-2.4277072909852364E-2</c:v>
                </c:pt>
                <c:pt idx="3">
                  <c:v>-1.9748975339555296E-2</c:v>
                </c:pt>
                <c:pt idx="4">
                  <c:v>-1.5220877769258227E-2</c:v>
                </c:pt>
                <c:pt idx="5">
                  <c:v>-1.0692780198961159E-2</c:v>
                </c:pt>
                <c:pt idx="6">
                  <c:v>-6.1646826286640907E-3</c:v>
                </c:pt>
                <c:pt idx="7">
                  <c:v>-1.6365850583670224E-3</c:v>
                </c:pt>
                <c:pt idx="8">
                  <c:v>2.8915125119300458E-3</c:v>
                </c:pt>
                <c:pt idx="9">
                  <c:v>7.4196100822271141E-3</c:v>
                </c:pt>
                <c:pt idx="10">
                  <c:v>1.1947707652524182E-2</c:v>
                </c:pt>
                <c:pt idx="11">
                  <c:v>1.6475805222821251E-2</c:v>
                </c:pt>
                <c:pt idx="12">
                  <c:v>2.1003902793118319E-2</c:v>
                </c:pt>
                <c:pt idx="13">
                  <c:v>2.5532000363415387E-2</c:v>
                </c:pt>
                <c:pt idx="14">
                  <c:v>3.0060097933712455E-2</c:v>
                </c:pt>
                <c:pt idx="15">
                  <c:v>3.4588195504009524E-2</c:v>
                </c:pt>
                <c:pt idx="16">
                  <c:v>3.9116293074306592E-2</c:v>
                </c:pt>
                <c:pt idx="17">
                  <c:v>4.364439064460366E-2</c:v>
                </c:pt>
                <c:pt idx="18">
                  <c:v>4.8172488214900729E-2</c:v>
                </c:pt>
                <c:pt idx="19">
                  <c:v>5.2700585785197797E-2</c:v>
                </c:pt>
                <c:pt idx="20">
                  <c:v>-2.7250470156036301E-2</c:v>
                </c:pt>
                <c:pt idx="21">
                  <c:v>-2.2599660999258555E-2</c:v>
                </c:pt>
                <c:pt idx="22">
                  <c:v>-1.7948851842480809E-2</c:v>
                </c:pt>
                <c:pt idx="23">
                  <c:v>-1.3298042685703063E-2</c:v>
                </c:pt>
                <c:pt idx="24">
                  <c:v>-8.6472335289253174E-3</c:v>
                </c:pt>
                <c:pt idx="25">
                  <c:v>-3.9964243721475707E-3</c:v>
                </c:pt>
                <c:pt idx="26">
                  <c:v>6.5438478463017598E-4</c:v>
                </c:pt>
                <c:pt idx="27">
                  <c:v>5.3051939414079227E-3</c:v>
                </c:pt>
                <c:pt idx="28">
                  <c:v>9.9560030981856694E-3</c:v>
                </c:pt>
                <c:pt idx="29">
                  <c:v>1.4606812254963415E-2</c:v>
                </c:pt>
                <c:pt idx="30">
                  <c:v>1.9257621411741161E-2</c:v>
                </c:pt>
                <c:pt idx="31">
                  <c:v>2.3908430568518907E-2</c:v>
                </c:pt>
                <c:pt idx="32">
                  <c:v>2.8559239725296653E-2</c:v>
                </c:pt>
                <c:pt idx="33">
                  <c:v>3.3210048882074399E-2</c:v>
                </c:pt>
                <c:pt idx="34">
                  <c:v>3.7860858038852148E-2</c:v>
                </c:pt>
                <c:pt idx="35">
                  <c:v>4.2511667195629897E-2</c:v>
                </c:pt>
                <c:pt idx="36">
                  <c:v>4.7162476352407647E-2</c:v>
                </c:pt>
                <c:pt idx="37">
                  <c:v>5.1813285509185396E-2</c:v>
                </c:pt>
                <c:pt idx="38">
                  <c:v>5.6464094665963145E-2</c:v>
                </c:pt>
                <c:pt idx="39">
                  <c:v>6.1114903822740894E-2</c:v>
                </c:pt>
              </c:numCache>
            </c:numRef>
          </c:cat>
          <c:val>
            <c:numRef>
              <c:f>去除空格!$V$93:$V$112</c:f>
              <c:numCache>
                <c:formatCode>General</c:formatCode>
                <c:ptCount val="20"/>
                <c:pt idx="0">
                  <c:v>4.8780487804878049E-3</c:v>
                </c:pt>
                <c:pt idx="1">
                  <c:v>0</c:v>
                </c:pt>
                <c:pt idx="2">
                  <c:v>1.9512195121951219E-2</c:v>
                </c:pt>
                <c:pt idx="3">
                  <c:v>4.878048780487805E-2</c:v>
                </c:pt>
                <c:pt idx="4">
                  <c:v>3.4146341463414637E-2</c:v>
                </c:pt>
                <c:pt idx="5">
                  <c:v>6.8292682926829273E-2</c:v>
                </c:pt>
                <c:pt idx="6">
                  <c:v>0.12195121951219512</c:v>
                </c:pt>
                <c:pt idx="7">
                  <c:v>0.13658536585365855</c:v>
                </c:pt>
                <c:pt idx="8">
                  <c:v>0.15121951219512195</c:v>
                </c:pt>
                <c:pt idx="9">
                  <c:v>0.20487804878048779</c:v>
                </c:pt>
                <c:pt idx="10">
                  <c:v>8.2926829268292687E-2</c:v>
                </c:pt>
                <c:pt idx="11">
                  <c:v>3.9024390243902439E-2</c:v>
                </c:pt>
                <c:pt idx="12">
                  <c:v>3.4146341463414637E-2</c:v>
                </c:pt>
                <c:pt idx="13">
                  <c:v>3.9024390243902439E-2</c:v>
                </c:pt>
                <c:pt idx="14">
                  <c:v>9.7560975609756097E-3</c:v>
                </c:pt>
                <c:pt idx="15">
                  <c:v>4.8780487804878049E-3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F8-3547-ACDB-6D4B92DB78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41697167"/>
        <c:axId val="1150138399"/>
      </c:lineChart>
      <c:catAx>
        <c:axId val="441697167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50138399"/>
        <c:crosses val="autoZero"/>
        <c:auto val="1"/>
        <c:lblAlgn val="ctr"/>
        <c:lblOffset val="100"/>
        <c:noMultiLvlLbl val="0"/>
      </c:catAx>
      <c:valAx>
        <c:axId val="11501383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441697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65491800199675898"/>
          <c:y val="3.2407407407407406E-2"/>
          <c:w val="0.34508199800324107"/>
          <c:h val="7.81029454651501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去除空格!$AJ$73</c:f>
              <c:strCache>
                <c:ptCount val="1"/>
                <c:pt idx="0">
                  <c:v>mem-relation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去除空格!$AK$73:$AK$112</c:f>
              <c:numCache>
                <c:formatCode>General</c:formatCode>
                <c:ptCount val="40"/>
                <c:pt idx="0">
                  <c:v>2.4611392495922502</c:v>
                </c:pt>
                <c:pt idx="1">
                  <c:v>2.5126133016959296</c:v>
                </c:pt>
                <c:pt idx="2">
                  <c:v>2.5640873537996089</c:v>
                </c:pt>
                <c:pt idx="3">
                  <c:v>2.6155614059032883</c:v>
                </c:pt>
                <c:pt idx="4">
                  <c:v>2.6670354580069677</c:v>
                </c:pt>
                <c:pt idx="5">
                  <c:v>2.7185095101106471</c:v>
                </c:pt>
                <c:pt idx="6">
                  <c:v>2.7699835622143265</c:v>
                </c:pt>
                <c:pt idx="7">
                  <c:v>2.8214576143180059</c:v>
                </c:pt>
                <c:pt idx="8">
                  <c:v>2.8729316664216853</c:v>
                </c:pt>
                <c:pt idx="9">
                  <c:v>2.9244057185253647</c:v>
                </c:pt>
                <c:pt idx="10">
                  <c:v>2.9758797706290441</c:v>
                </c:pt>
                <c:pt idx="11">
                  <c:v>3.0273538227327235</c:v>
                </c:pt>
                <c:pt idx="12">
                  <c:v>3.0788278748364029</c:v>
                </c:pt>
                <c:pt idx="13">
                  <c:v>3.1303019269400822</c:v>
                </c:pt>
                <c:pt idx="14">
                  <c:v>3.1817759790437616</c:v>
                </c:pt>
                <c:pt idx="15">
                  <c:v>3.233250031147441</c:v>
                </c:pt>
                <c:pt idx="16">
                  <c:v>3.2847240832511204</c:v>
                </c:pt>
                <c:pt idx="17">
                  <c:v>3.3361981353547998</c:v>
                </c:pt>
                <c:pt idx="18">
                  <c:v>3.3876721874584792</c:v>
                </c:pt>
                <c:pt idx="19">
                  <c:v>3.4391462395621586</c:v>
                </c:pt>
                <c:pt idx="20">
                  <c:v>1.7975936863047199</c:v>
                </c:pt>
                <c:pt idx="21">
                  <c:v>1.8935209199908778</c:v>
                </c:pt>
                <c:pt idx="22">
                  <c:v>1.9894481536770356</c:v>
                </c:pt>
                <c:pt idx="23">
                  <c:v>2.0853753873631935</c:v>
                </c:pt>
                <c:pt idx="24">
                  <c:v>2.1813026210493516</c:v>
                </c:pt>
                <c:pt idx="25">
                  <c:v>2.2772298547355097</c:v>
                </c:pt>
                <c:pt idx="26">
                  <c:v>2.3731570884216677</c:v>
                </c:pt>
                <c:pt idx="27">
                  <c:v>2.4690843221078258</c:v>
                </c:pt>
                <c:pt idx="28">
                  <c:v>2.5650115557939839</c:v>
                </c:pt>
                <c:pt idx="29">
                  <c:v>2.660938789480142</c:v>
                </c:pt>
                <c:pt idx="30">
                  <c:v>2.7568660231663</c:v>
                </c:pt>
                <c:pt idx="31">
                  <c:v>2.8527932568524581</c:v>
                </c:pt>
                <c:pt idx="32">
                  <c:v>2.9487204905386162</c:v>
                </c:pt>
                <c:pt idx="33">
                  <c:v>3.0446477242247743</c:v>
                </c:pt>
                <c:pt idx="34">
                  <c:v>3.1405749579109323</c:v>
                </c:pt>
                <c:pt idx="35">
                  <c:v>3.2365021915970904</c:v>
                </c:pt>
                <c:pt idx="36">
                  <c:v>3.3324294252832485</c:v>
                </c:pt>
                <c:pt idx="37">
                  <c:v>3.4283566589694066</c:v>
                </c:pt>
                <c:pt idx="38">
                  <c:v>3.5242838926555646</c:v>
                </c:pt>
                <c:pt idx="39">
                  <c:v>3.6202111263417227</c:v>
                </c:pt>
              </c:numCache>
            </c:numRef>
          </c:cat>
          <c:val>
            <c:numRef>
              <c:f>去除空格!$AL$73:$AL$92</c:f>
              <c:numCache>
                <c:formatCode>General</c:formatCode>
                <c:ptCount val="20"/>
                <c:pt idx="0">
                  <c:v>4.8780487804878049E-3</c:v>
                </c:pt>
                <c:pt idx="1">
                  <c:v>4.8780487804878049E-3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9.7560975609756097E-3</c:v>
                </c:pt>
                <c:pt idx="7">
                  <c:v>2.4390243902439025E-2</c:v>
                </c:pt>
                <c:pt idx="8">
                  <c:v>1.4634146341463415E-2</c:v>
                </c:pt>
                <c:pt idx="9">
                  <c:v>3.4146341463414637E-2</c:v>
                </c:pt>
                <c:pt idx="10">
                  <c:v>0.14146341463414633</c:v>
                </c:pt>
                <c:pt idx="11">
                  <c:v>6.8292682926829273E-2</c:v>
                </c:pt>
                <c:pt idx="12">
                  <c:v>9.2682926829268292E-2</c:v>
                </c:pt>
                <c:pt idx="13">
                  <c:v>0.11219512195121951</c:v>
                </c:pt>
                <c:pt idx="14">
                  <c:v>0.13658536585365855</c:v>
                </c:pt>
                <c:pt idx="15">
                  <c:v>0.13170731707317074</c:v>
                </c:pt>
                <c:pt idx="16">
                  <c:v>0.15121951219512195</c:v>
                </c:pt>
                <c:pt idx="17">
                  <c:v>4.3902439024390241E-2</c:v>
                </c:pt>
                <c:pt idx="18">
                  <c:v>2.9268292682926831E-2</c:v>
                </c:pt>
                <c:pt idx="1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E4-8C4C-AE64-A64A51E97781}"/>
            </c:ext>
          </c:extLst>
        </c:ser>
        <c:ser>
          <c:idx val="1"/>
          <c:order val="1"/>
          <c:tx>
            <c:strRef>
              <c:f>去除空格!$AJ$93</c:f>
              <c:strCache>
                <c:ptCount val="1"/>
                <c:pt idx="0">
                  <c:v>non-mem-relation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去除空格!$AK$73:$AK$112</c:f>
              <c:numCache>
                <c:formatCode>General</c:formatCode>
                <c:ptCount val="40"/>
                <c:pt idx="0">
                  <c:v>2.4611392495922502</c:v>
                </c:pt>
                <c:pt idx="1">
                  <c:v>2.5126133016959296</c:v>
                </c:pt>
                <c:pt idx="2">
                  <c:v>2.5640873537996089</c:v>
                </c:pt>
                <c:pt idx="3">
                  <c:v>2.6155614059032883</c:v>
                </c:pt>
                <c:pt idx="4">
                  <c:v>2.6670354580069677</c:v>
                </c:pt>
                <c:pt idx="5">
                  <c:v>2.7185095101106471</c:v>
                </c:pt>
                <c:pt idx="6">
                  <c:v>2.7699835622143265</c:v>
                </c:pt>
                <c:pt idx="7">
                  <c:v>2.8214576143180059</c:v>
                </c:pt>
                <c:pt idx="8">
                  <c:v>2.8729316664216853</c:v>
                </c:pt>
                <c:pt idx="9">
                  <c:v>2.9244057185253647</c:v>
                </c:pt>
                <c:pt idx="10">
                  <c:v>2.9758797706290441</c:v>
                </c:pt>
                <c:pt idx="11">
                  <c:v>3.0273538227327235</c:v>
                </c:pt>
                <c:pt idx="12">
                  <c:v>3.0788278748364029</c:v>
                </c:pt>
                <c:pt idx="13">
                  <c:v>3.1303019269400822</c:v>
                </c:pt>
                <c:pt idx="14">
                  <c:v>3.1817759790437616</c:v>
                </c:pt>
                <c:pt idx="15">
                  <c:v>3.233250031147441</c:v>
                </c:pt>
                <c:pt idx="16">
                  <c:v>3.2847240832511204</c:v>
                </c:pt>
                <c:pt idx="17">
                  <c:v>3.3361981353547998</c:v>
                </c:pt>
                <c:pt idx="18">
                  <c:v>3.3876721874584792</c:v>
                </c:pt>
                <c:pt idx="19">
                  <c:v>3.4391462395621586</c:v>
                </c:pt>
                <c:pt idx="20">
                  <c:v>1.7975936863047199</c:v>
                </c:pt>
                <c:pt idx="21">
                  <c:v>1.8935209199908778</c:v>
                </c:pt>
                <c:pt idx="22">
                  <c:v>1.9894481536770356</c:v>
                </c:pt>
                <c:pt idx="23">
                  <c:v>2.0853753873631935</c:v>
                </c:pt>
                <c:pt idx="24">
                  <c:v>2.1813026210493516</c:v>
                </c:pt>
                <c:pt idx="25">
                  <c:v>2.2772298547355097</c:v>
                </c:pt>
                <c:pt idx="26">
                  <c:v>2.3731570884216677</c:v>
                </c:pt>
                <c:pt idx="27">
                  <c:v>2.4690843221078258</c:v>
                </c:pt>
                <c:pt idx="28">
                  <c:v>2.5650115557939839</c:v>
                </c:pt>
                <c:pt idx="29">
                  <c:v>2.660938789480142</c:v>
                </c:pt>
                <c:pt idx="30">
                  <c:v>2.7568660231663</c:v>
                </c:pt>
                <c:pt idx="31">
                  <c:v>2.8527932568524581</c:v>
                </c:pt>
                <c:pt idx="32">
                  <c:v>2.9487204905386162</c:v>
                </c:pt>
                <c:pt idx="33">
                  <c:v>3.0446477242247743</c:v>
                </c:pt>
                <c:pt idx="34">
                  <c:v>3.1405749579109323</c:v>
                </c:pt>
                <c:pt idx="35">
                  <c:v>3.2365021915970904</c:v>
                </c:pt>
                <c:pt idx="36">
                  <c:v>3.3324294252832485</c:v>
                </c:pt>
                <c:pt idx="37">
                  <c:v>3.4283566589694066</c:v>
                </c:pt>
                <c:pt idx="38">
                  <c:v>3.5242838926555646</c:v>
                </c:pt>
                <c:pt idx="39">
                  <c:v>3.6202111263417227</c:v>
                </c:pt>
              </c:numCache>
            </c:numRef>
          </c:cat>
          <c:val>
            <c:numRef>
              <c:f>去除空格!$AL$93:$AL$112</c:f>
              <c:numCache>
                <c:formatCode>General</c:formatCode>
                <c:ptCount val="20"/>
                <c:pt idx="0">
                  <c:v>4.8543689320388345E-3</c:v>
                </c:pt>
                <c:pt idx="1">
                  <c:v>4.8543689320388349E-2</c:v>
                </c:pt>
                <c:pt idx="2">
                  <c:v>2.4271844660194174E-2</c:v>
                </c:pt>
                <c:pt idx="3">
                  <c:v>1.9417475728155338E-2</c:v>
                </c:pt>
                <c:pt idx="4">
                  <c:v>0</c:v>
                </c:pt>
                <c:pt idx="5">
                  <c:v>1.4563106796116505E-2</c:v>
                </c:pt>
                <c:pt idx="6">
                  <c:v>1.9417475728155338E-2</c:v>
                </c:pt>
                <c:pt idx="7">
                  <c:v>1.4563106796116505E-2</c:v>
                </c:pt>
                <c:pt idx="8">
                  <c:v>4.8543689320388345E-3</c:v>
                </c:pt>
                <c:pt idx="9">
                  <c:v>5.3398058252427182E-2</c:v>
                </c:pt>
                <c:pt idx="10">
                  <c:v>6.7961165048543687E-2</c:v>
                </c:pt>
                <c:pt idx="11">
                  <c:v>6.7961165048543687E-2</c:v>
                </c:pt>
                <c:pt idx="12">
                  <c:v>0.13592233009708737</c:v>
                </c:pt>
                <c:pt idx="13">
                  <c:v>0.11165048543689321</c:v>
                </c:pt>
                <c:pt idx="14">
                  <c:v>0.12135922330097088</c:v>
                </c:pt>
                <c:pt idx="15">
                  <c:v>0.1650485436893204</c:v>
                </c:pt>
                <c:pt idx="16">
                  <c:v>9.2233009708737865E-2</c:v>
                </c:pt>
                <c:pt idx="17">
                  <c:v>2.4271844660194174E-2</c:v>
                </c:pt>
                <c:pt idx="18">
                  <c:v>4.8543689320388345E-3</c:v>
                </c:pt>
                <c:pt idx="19">
                  <c:v>4.8543689320388345E-3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E4-8C4C-AE64-A64A51E977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49627151"/>
        <c:axId val="2000210896"/>
      </c:lineChart>
      <c:catAx>
        <c:axId val="1149627151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000210896"/>
        <c:crosses val="autoZero"/>
        <c:auto val="1"/>
        <c:lblAlgn val="ctr"/>
        <c:lblOffset val="100"/>
        <c:noMultiLvlLbl val="0"/>
      </c:catAx>
      <c:valAx>
        <c:axId val="2000210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149627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72299970360165555"/>
          <c:y val="2.3813686963459584E-2"/>
          <c:w val="0.27700029639834461"/>
          <c:h val="5.021781554424353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655543</xdr:colOff>
      <xdr:row>72</xdr:row>
      <xdr:rowOff>103842</xdr:rowOff>
    </xdr:from>
    <xdr:to>
      <xdr:col>16</xdr:col>
      <xdr:colOff>765734</xdr:colOff>
      <xdr:row>85</xdr:row>
      <xdr:rowOff>176307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637726CD-41F4-ABD5-86E0-7316C94860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282015</xdr:colOff>
      <xdr:row>81</xdr:row>
      <xdr:rowOff>103842</xdr:rowOff>
    </xdr:from>
    <xdr:to>
      <xdr:col>30</xdr:col>
      <xdr:colOff>522941</xdr:colOff>
      <xdr:row>94</xdr:row>
      <xdr:rowOff>176306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4982DBA9-C478-7A69-2047-5F512FF4D7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39</xdr:col>
      <xdr:colOff>636868</xdr:colOff>
      <xdr:row>80</xdr:row>
      <xdr:rowOff>122517</xdr:rowOff>
    </xdr:from>
    <xdr:to>
      <xdr:col>50</xdr:col>
      <xdr:colOff>261472</xdr:colOff>
      <xdr:row>101</xdr:row>
      <xdr:rowOff>74706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36B87A61-5156-6367-F475-DD27390CE2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FC95-0A9A-3140-A7F3-93D8E7B6A2F6}">
  <sheetPr filterMode="1"/>
  <dimension ref="A1:G271"/>
  <sheetViews>
    <sheetView workbookViewId="0">
      <selection sqref="A1:XFD1048576"/>
    </sheetView>
  </sheetViews>
  <sheetFormatPr baseColWidth="10" defaultRowHeight="16"/>
  <cols>
    <col min="1" max="1" width="6.1640625" bestFit="1" customWidth="1"/>
    <col min="2" max="2" width="23" bestFit="1" customWidth="1"/>
    <col min="3" max="3" width="24.5" bestFit="1" customWidth="1"/>
    <col min="4" max="4" width="27" bestFit="1" customWidth="1"/>
    <col min="5" max="5" width="21.33203125" bestFit="1" customWidth="1"/>
    <col min="6" max="6" width="22.83203125" bestFit="1" customWidth="1"/>
    <col min="7" max="7" width="25.33203125" bestFit="1" customWidth="1"/>
  </cols>
  <sheetData>
    <row r="1" spans="1: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2">
        <v>1</v>
      </c>
      <c r="B2" s="2">
        <v>0.25122819840908001</v>
      </c>
      <c r="C2" s="2">
        <v>-3.2174216407518902E-3</v>
      </c>
      <c r="D2" s="2">
        <v>3.0517688873711899</v>
      </c>
      <c r="E2" s="2">
        <v>0.17911575734615301</v>
      </c>
      <c r="F2" s="2">
        <v>3.7647019719813102E-3</v>
      </c>
      <c r="G2" s="2">
        <v>1.8106698003407999</v>
      </c>
    </row>
    <row r="3" spans="1:7">
      <c r="A3" s="2">
        <v>2</v>
      </c>
      <c r="B3" s="2">
        <v>0.81983110904693601</v>
      </c>
      <c r="C3" s="2">
        <v>3.9215441597396797E-3</v>
      </c>
      <c r="D3" s="2">
        <v>2.9721997130476101</v>
      </c>
      <c r="E3" s="2">
        <v>0.17156866192817599</v>
      </c>
      <c r="F3" s="2">
        <v>1.8507754714646801E-2</v>
      </c>
      <c r="G3" s="2">
        <v>3.20248202402093</v>
      </c>
    </row>
    <row r="4" spans="1:7">
      <c r="A4" s="2">
        <v>3</v>
      </c>
      <c r="B4" s="2">
        <v>0.79077051579952196</v>
      </c>
      <c r="C4" s="2">
        <v>3.7752885278359198E-3</v>
      </c>
      <c r="D4" s="2">
        <v>3.0052722538879202</v>
      </c>
      <c r="E4" s="2">
        <v>0.39592482894658998</v>
      </c>
      <c r="F4" s="2">
        <v>7.3959954428577303E-3</v>
      </c>
      <c r="G4" s="2">
        <v>2.9681410524671299</v>
      </c>
    </row>
    <row r="5" spans="1:7">
      <c r="A5" s="2">
        <v>4</v>
      </c>
      <c r="B5" s="2">
        <v>0.91306115686893397</v>
      </c>
      <c r="C5" s="2">
        <v>1.45915629856396E-2</v>
      </c>
      <c r="D5" s="2">
        <v>3.2467659256269799</v>
      </c>
      <c r="E5" s="2">
        <v>0.78590670824050901</v>
      </c>
      <c r="F5" s="2">
        <v>1.3267352820594099E-2</v>
      </c>
      <c r="G5" s="2">
        <v>3.2279970884445901</v>
      </c>
    </row>
    <row r="6" spans="1:7">
      <c r="A6" s="2">
        <v>5</v>
      </c>
      <c r="B6" s="2">
        <v>0.89856956402460697</v>
      </c>
      <c r="C6" s="2">
        <v>7.4825981109787297E-3</v>
      </c>
      <c r="D6" s="2">
        <v>3.3764131410540998</v>
      </c>
      <c r="E6" s="2">
        <v>0.838506519794464</v>
      </c>
      <c r="F6" s="2">
        <v>-8.7911936095917305E-3</v>
      </c>
      <c r="G6" s="2">
        <v>3.1717467736497</v>
      </c>
    </row>
    <row r="7" spans="1:7">
      <c r="A7" s="2">
        <v>6</v>
      </c>
      <c r="B7" s="2">
        <v>0.74820980429649298</v>
      </c>
      <c r="C7" s="2">
        <v>2.22832228681864E-2</v>
      </c>
      <c r="D7" s="2">
        <v>3.17398285004142</v>
      </c>
      <c r="E7" s="2">
        <v>0.52414510399103098</v>
      </c>
      <c r="F7" s="2">
        <v>1.4428933689583001E-3</v>
      </c>
      <c r="G7" s="2">
        <v>2.0451354226868101</v>
      </c>
    </row>
    <row r="8" spans="1:7">
      <c r="A8" s="2">
        <v>7</v>
      </c>
      <c r="B8" s="2">
        <v>0.84480773806571896</v>
      </c>
      <c r="C8" s="2">
        <v>-2.0446487805460802E-2</v>
      </c>
      <c r="D8" s="2">
        <v>2.9532397866337301</v>
      </c>
      <c r="E8" s="2">
        <v>5.8746267110109301E-2</v>
      </c>
      <c r="F8" s="2">
        <v>-7.3129635576663001E-4</v>
      </c>
      <c r="G8" s="2">
        <v>2.9279531555895901</v>
      </c>
    </row>
    <row r="9" spans="1:7">
      <c r="A9" s="2">
        <v>8</v>
      </c>
      <c r="B9" s="2">
        <v>0.77639907598495395</v>
      </c>
      <c r="C9" s="2">
        <v>-2.19026199613345E-2</v>
      </c>
      <c r="D9" s="2">
        <v>2.9884054081240699</v>
      </c>
      <c r="E9" s="2">
        <v>0.16499606147408399</v>
      </c>
      <c r="F9" s="2">
        <v>2.87678758624558E-2</v>
      </c>
      <c r="G9" s="2">
        <v>3.2519109929614101</v>
      </c>
    </row>
    <row r="10" spans="1:7">
      <c r="A10" s="2">
        <v>9</v>
      </c>
      <c r="B10" s="2">
        <v>0.80210686475038495</v>
      </c>
      <c r="C10" s="2">
        <v>5.818575670812E-3</v>
      </c>
      <c r="D10" s="2">
        <v>3.0369284918101802</v>
      </c>
      <c r="E10" s="2">
        <v>0.85777111351489999</v>
      </c>
      <c r="F10" s="2">
        <v>1.0687081366495601E-2</v>
      </c>
      <c r="G10" s="2">
        <v>3.0301913973071302</v>
      </c>
    </row>
    <row r="11" spans="1:7">
      <c r="A11" s="2">
        <v>10</v>
      </c>
      <c r="B11" s="2">
        <v>0.43796586990356401</v>
      </c>
      <c r="C11" s="2">
        <v>6.45451945243369E-3</v>
      </c>
      <c r="D11" s="2">
        <v>3.3464803487226198</v>
      </c>
      <c r="E11" s="2">
        <v>0.26022824272513301</v>
      </c>
      <c r="F11" s="2">
        <v>4.0918036718053897E-3</v>
      </c>
      <c r="G11" s="2">
        <v>2.91284449931273</v>
      </c>
    </row>
    <row r="12" spans="1:7">
      <c r="A12" s="2">
        <v>11</v>
      </c>
      <c r="B12" s="2">
        <v>0.84105057716369602</v>
      </c>
      <c r="C12" s="2">
        <v>1.3038514890268899E-3</v>
      </c>
      <c r="D12" s="2">
        <v>3.0812611281917501</v>
      </c>
      <c r="E12" s="2">
        <v>0.38197471201419803</v>
      </c>
      <c r="F12" s="2">
        <v>1.6714353508948499E-2</v>
      </c>
      <c r="G12" s="2">
        <v>2.8842996166705102</v>
      </c>
    </row>
    <row r="13" spans="1:7">
      <c r="A13" s="2">
        <v>12</v>
      </c>
      <c r="B13" s="2">
        <v>0.80897893508275298</v>
      </c>
      <c r="C13" s="2">
        <v>-2.1669237646369699E-3</v>
      </c>
      <c r="D13" s="2">
        <v>3.0343796471918099</v>
      </c>
      <c r="E13" s="2">
        <v>0.51695944741368205</v>
      </c>
      <c r="F13" s="2">
        <v>-1.4370285447473201E-2</v>
      </c>
      <c r="G13" s="2">
        <v>3.1450921289970601</v>
      </c>
    </row>
    <row r="14" spans="1:7" hidden="1">
      <c r="A14" s="2">
        <v>13</v>
      </c>
      <c r="B14" s="2">
        <v>0.72765164449810904</v>
      </c>
      <c r="C14" s="2">
        <v>2.1212680882211801E-2</v>
      </c>
      <c r="D14" s="2">
        <v>3.12891320096583</v>
      </c>
      <c r="E14" s="2">
        <v>0</v>
      </c>
      <c r="F14" s="2">
        <v>0</v>
      </c>
      <c r="G14" s="2">
        <v>0</v>
      </c>
    </row>
    <row r="15" spans="1:7">
      <c r="A15" s="2">
        <v>14</v>
      </c>
      <c r="B15" s="2">
        <v>0.70136166457086802</v>
      </c>
      <c r="C15" s="2">
        <v>8.1714955593632493E-3</v>
      </c>
      <c r="D15" s="2">
        <v>2.8895271842642898</v>
      </c>
      <c r="E15" s="2">
        <v>8.89400243759155E-2</v>
      </c>
      <c r="F15" s="2">
        <v>1.1484745571614399E-2</v>
      </c>
      <c r="G15" s="2">
        <v>1.84683167549835</v>
      </c>
    </row>
    <row r="16" spans="1:7" hidden="1">
      <c r="A16" s="2">
        <v>15</v>
      </c>
      <c r="B16" s="2">
        <v>0.77017295658588403</v>
      </c>
      <c r="C16" s="2">
        <v>4.09083271895299E-2</v>
      </c>
      <c r="D16" s="2">
        <v>3.2572914652340099</v>
      </c>
      <c r="E16" s="2">
        <v>0</v>
      </c>
      <c r="F16" s="2">
        <v>0</v>
      </c>
      <c r="G16" s="2">
        <v>0</v>
      </c>
    </row>
    <row r="17" spans="1:7" hidden="1">
      <c r="A17" s="2">
        <v>16</v>
      </c>
      <c r="B17" s="2">
        <v>0.90386354923248202</v>
      </c>
      <c r="C17" s="2">
        <v>3.29480055571134E-2</v>
      </c>
      <c r="D17" s="2">
        <v>3.08338561763534</v>
      </c>
      <c r="E17" s="2">
        <v>0</v>
      </c>
      <c r="F17" s="2">
        <v>0</v>
      </c>
      <c r="G17" s="2">
        <v>0</v>
      </c>
    </row>
    <row r="18" spans="1:7" hidden="1">
      <c r="A18" s="2">
        <v>17</v>
      </c>
      <c r="B18" s="2">
        <v>0.89919231832027402</v>
      </c>
      <c r="C18" s="2">
        <v>1.2596028727176901E-2</v>
      </c>
      <c r="D18" s="2">
        <v>3.2291481202191901</v>
      </c>
      <c r="E18" s="2">
        <v>0</v>
      </c>
      <c r="F18" s="2">
        <v>0</v>
      </c>
      <c r="G18" s="2">
        <v>0</v>
      </c>
    </row>
    <row r="19" spans="1:7">
      <c r="A19" s="2">
        <v>18</v>
      </c>
      <c r="B19" s="2">
        <v>0.61812637249628699</v>
      </c>
      <c r="C19" s="2">
        <v>4.0651971592270401E-2</v>
      </c>
      <c r="D19" s="2">
        <v>3.2524532430351099</v>
      </c>
      <c r="E19" s="2">
        <v>0.33000369369983601</v>
      </c>
      <c r="F19" s="2">
        <v>1.7715507402561E-2</v>
      </c>
      <c r="G19" s="2">
        <v>2.5806821886629199</v>
      </c>
    </row>
    <row r="20" spans="1:7" hidden="1">
      <c r="A20" s="2">
        <v>19</v>
      </c>
      <c r="B20" s="2">
        <v>0.76915502548217696</v>
      </c>
      <c r="C20" s="2">
        <v>8.7683273953100306E-3</v>
      </c>
      <c r="D20" s="2">
        <v>2.9680926138391999</v>
      </c>
      <c r="E20" s="2">
        <v>0</v>
      </c>
      <c r="F20" s="2">
        <v>0</v>
      </c>
      <c r="G20" s="2">
        <v>0</v>
      </c>
    </row>
    <row r="21" spans="1:7">
      <c r="A21" s="2">
        <v>20</v>
      </c>
      <c r="B21" s="2">
        <v>0.84660413861274697</v>
      </c>
      <c r="C21" s="2">
        <v>1.9421862993221201E-2</v>
      </c>
      <c r="D21" s="2">
        <v>3.2633516360584101</v>
      </c>
      <c r="E21" s="2">
        <v>0.57283615569273605</v>
      </c>
      <c r="F21" s="2">
        <v>-6.5227122059194897E-3</v>
      </c>
      <c r="G21" s="2">
        <v>3.0654204194792301</v>
      </c>
    </row>
    <row r="22" spans="1:7">
      <c r="A22" s="2">
        <v>21</v>
      </c>
      <c r="B22" s="2">
        <v>0.73152713179588302</v>
      </c>
      <c r="C22" s="2">
        <v>2.0279820196484898E-2</v>
      </c>
      <c r="D22" s="2">
        <v>3.13584937559926</v>
      </c>
      <c r="E22" s="2">
        <v>0.29052525758743197</v>
      </c>
      <c r="F22" s="2">
        <v>1.43162684264979E-2</v>
      </c>
      <c r="G22" s="2">
        <v>3.1293138617654201</v>
      </c>
    </row>
    <row r="23" spans="1:7">
      <c r="A23" s="2">
        <v>22</v>
      </c>
      <c r="B23" s="2">
        <v>0.53998186290264105</v>
      </c>
      <c r="C23" s="2">
        <v>-1.6117281242003401E-3</v>
      </c>
      <c r="D23" s="2">
        <v>3.2741135278184101</v>
      </c>
      <c r="E23" s="2">
        <v>0.54081299528479498</v>
      </c>
      <c r="F23" s="2">
        <v>2.4282689498157501E-2</v>
      </c>
      <c r="G23" s="2">
        <v>3.1547150171238001</v>
      </c>
    </row>
    <row r="24" spans="1:7">
      <c r="A24" s="2">
        <v>23</v>
      </c>
      <c r="B24" s="2">
        <v>0.81589469313621499</v>
      </c>
      <c r="C24" s="2">
        <v>2.48026288210095E-3</v>
      </c>
      <c r="D24" s="2">
        <v>2.95306972487522</v>
      </c>
      <c r="E24" s="2">
        <v>0.60490234196185999</v>
      </c>
      <c r="F24" s="2">
        <v>5.7620175992862902E-3</v>
      </c>
      <c r="G24" s="2">
        <v>3.1586213538701302</v>
      </c>
    </row>
    <row r="25" spans="1:7">
      <c r="A25" s="2">
        <v>24</v>
      </c>
      <c r="B25" s="2">
        <v>0.76947704330086697</v>
      </c>
      <c r="C25" s="2">
        <v>-6.6975031951263999E-3</v>
      </c>
      <c r="D25" s="2">
        <v>3.23963102178715</v>
      </c>
      <c r="E25" s="2">
        <v>0.18553502857685</v>
      </c>
      <c r="F25" s="2">
        <v>1.03826772871755E-2</v>
      </c>
      <c r="G25" s="2">
        <v>3.3479013356206</v>
      </c>
    </row>
    <row r="26" spans="1:7">
      <c r="A26" s="2">
        <v>25</v>
      </c>
      <c r="B26" s="2">
        <v>0.67405023798346497</v>
      </c>
      <c r="C26" s="2">
        <v>6.9270161510672701E-3</v>
      </c>
      <c r="D26" s="2">
        <v>2.8682263486992299</v>
      </c>
      <c r="E26" s="2">
        <v>0.59310323279350996</v>
      </c>
      <c r="F26" s="2">
        <v>-3.2467076607187702E-3</v>
      </c>
      <c r="G26" s="2">
        <v>2.8219079803913201</v>
      </c>
    </row>
    <row r="27" spans="1:7" hidden="1">
      <c r="A27" s="2">
        <v>26</v>
      </c>
      <c r="B27" s="2">
        <v>0.82743955850601103</v>
      </c>
      <c r="C27" s="2">
        <v>-1.04802262368878E-2</v>
      </c>
      <c r="D27" s="2">
        <v>3.2199990149917799</v>
      </c>
      <c r="E27" s="2">
        <v>0</v>
      </c>
      <c r="F27" s="2">
        <v>0</v>
      </c>
      <c r="G27" s="2">
        <v>0</v>
      </c>
    </row>
    <row r="28" spans="1:7">
      <c r="A28" s="2">
        <v>27</v>
      </c>
      <c r="B28" s="2">
        <v>0.73030380159616404</v>
      </c>
      <c r="C28" s="2">
        <v>1.4195452679093201E-2</v>
      </c>
      <c r="D28" s="2">
        <v>3.0118462345555899</v>
      </c>
      <c r="E28" s="2">
        <v>0.729044049978256</v>
      </c>
      <c r="F28" s="2">
        <v>-2.7250470156036301E-2</v>
      </c>
      <c r="G28" s="2">
        <v>3.2243705233669702</v>
      </c>
    </row>
    <row r="29" spans="1:7">
      <c r="A29" s="2">
        <v>28</v>
      </c>
      <c r="B29" s="2">
        <v>0.84634780883788996</v>
      </c>
      <c r="C29" s="2">
        <v>2.0912563119259198E-2</v>
      </c>
      <c r="D29" s="2">
        <v>2.985562873388</v>
      </c>
      <c r="E29" s="2">
        <v>6.8241544067859594E-2</v>
      </c>
      <c r="F29" s="2">
        <v>3.80459128754893E-2</v>
      </c>
      <c r="G29" s="2">
        <v>2.9616866315173902</v>
      </c>
    </row>
    <row r="30" spans="1:7" hidden="1">
      <c r="A30" s="2">
        <v>29</v>
      </c>
      <c r="B30" s="2">
        <v>0.64951085671782405</v>
      </c>
      <c r="C30" s="2">
        <v>8.6959171815650296E-3</v>
      </c>
      <c r="D30" s="2">
        <v>3.20569662738037</v>
      </c>
      <c r="E30" s="2">
        <v>0</v>
      </c>
      <c r="F30" s="2">
        <v>0</v>
      </c>
      <c r="G30" s="2">
        <v>0</v>
      </c>
    </row>
    <row r="31" spans="1:7">
      <c r="A31" s="2">
        <v>30</v>
      </c>
      <c r="B31" s="2">
        <v>0.58156359195709195</v>
      </c>
      <c r="C31" s="2">
        <v>3.1655969164340499E-2</v>
      </c>
      <c r="D31" s="2">
        <v>3.1905128112158501</v>
      </c>
      <c r="E31" s="2">
        <v>0.79803842306136996</v>
      </c>
      <c r="F31" s="2">
        <v>9.61995508315046E-3</v>
      </c>
      <c r="G31" s="2">
        <v>3.1218645107801302</v>
      </c>
    </row>
    <row r="32" spans="1:7">
      <c r="A32" s="2">
        <v>31</v>
      </c>
      <c r="B32" s="2">
        <v>0.76307187080383299</v>
      </c>
      <c r="C32" s="2">
        <v>1.48728523621774E-2</v>
      </c>
      <c r="D32" s="2">
        <v>3.1509504688451102</v>
      </c>
      <c r="E32" s="2">
        <v>0.53255826979875498</v>
      </c>
      <c r="F32" s="2">
        <v>1.7754138900244201E-2</v>
      </c>
      <c r="G32" s="2">
        <v>3.03084484805257</v>
      </c>
    </row>
    <row r="33" spans="1:7">
      <c r="A33" s="2">
        <v>32</v>
      </c>
      <c r="B33" s="2">
        <v>0.55373166501521998</v>
      </c>
      <c r="C33" s="2">
        <v>1.2232682077247099E-2</v>
      </c>
      <c r="D33" s="2">
        <v>3.14079726512451</v>
      </c>
      <c r="E33" s="2">
        <v>6.2901198863983099E-2</v>
      </c>
      <c r="F33" s="2">
        <v>1.42257386449955E-2</v>
      </c>
      <c r="G33" s="2">
        <v>1.81890066951729</v>
      </c>
    </row>
    <row r="34" spans="1:7">
      <c r="A34" s="2">
        <v>33</v>
      </c>
      <c r="B34" s="2">
        <v>0.81894299387931802</v>
      </c>
      <c r="C34" s="2">
        <v>5.3570707155330402E-3</v>
      </c>
      <c r="D34" s="2">
        <v>3.2091457089327302</v>
      </c>
      <c r="E34" s="2">
        <v>0.96333473920822099</v>
      </c>
      <c r="F34" s="2">
        <v>-2.0612857623895899E-2</v>
      </c>
      <c r="G34" s="2">
        <v>3.0114915633583399</v>
      </c>
    </row>
    <row r="35" spans="1:7">
      <c r="A35" s="2">
        <v>34</v>
      </c>
      <c r="B35" s="2">
        <v>0.692170150578022</v>
      </c>
      <c r="C35" s="2">
        <v>3.9480479317601704E-3</v>
      </c>
      <c r="D35" s="2">
        <v>2.8131838537671401</v>
      </c>
      <c r="E35" s="2">
        <v>0.240045666694641</v>
      </c>
      <c r="F35" s="2">
        <v>1.55261272393154E-2</v>
      </c>
      <c r="G35" s="2">
        <v>2.0279491007203201</v>
      </c>
    </row>
    <row r="36" spans="1:7">
      <c r="A36" s="2">
        <v>35</v>
      </c>
      <c r="B36" s="2">
        <v>0.86087564627329505</v>
      </c>
      <c r="C36" s="2">
        <v>1.0866443722700099E-2</v>
      </c>
      <c r="D36" s="2">
        <v>3.3530554700024702</v>
      </c>
      <c r="E36" s="2">
        <v>7.6544694602489402E-2</v>
      </c>
      <c r="F36" s="2">
        <v>3.34979500220811E-3</v>
      </c>
      <c r="G36" s="2">
        <v>1.8681062951479399</v>
      </c>
    </row>
    <row r="37" spans="1:7">
      <c r="A37" s="2">
        <v>36</v>
      </c>
      <c r="B37" s="2">
        <v>0.558376510938008</v>
      </c>
      <c r="C37" s="2">
        <v>1.6809537238422299E-2</v>
      </c>
      <c r="D37" s="2">
        <v>2.9597477959226799</v>
      </c>
      <c r="E37" s="2">
        <v>0.12856958806514701</v>
      </c>
      <c r="F37" s="2">
        <v>7.7204355260607196E-3</v>
      </c>
      <c r="G37" s="2">
        <v>1.86678201765234</v>
      </c>
    </row>
    <row r="38" spans="1:7">
      <c r="A38" s="2">
        <v>37</v>
      </c>
      <c r="B38" s="2">
        <v>0.29624146968126203</v>
      </c>
      <c r="C38" s="2">
        <v>-3.0236436776931398E-4</v>
      </c>
      <c r="D38" s="2">
        <v>3.25735361492224</v>
      </c>
      <c r="E38" s="2">
        <v>0.42392264306545202</v>
      </c>
      <c r="F38" s="2">
        <v>3.0496333602222502E-2</v>
      </c>
      <c r="G38" s="2">
        <v>3.0380148995079699</v>
      </c>
    </row>
    <row r="39" spans="1:7">
      <c r="A39" s="2">
        <v>38</v>
      </c>
      <c r="B39" s="2">
        <v>0.87531815469264895</v>
      </c>
      <c r="C39" s="2">
        <v>1.9327137211986301E-2</v>
      </c>
      <c r="D39" s="2">
        <v>3.2345277029946602</v>
      </c>
      <c r="E39" s="2">
        <v>0.51370345614850499</v>
      </c>
      <c r="F39" s="2">
        <v>5.2545580069640599E-3</v>
      </c>
      <c r="G39" s="2">
        <v>2.3990793434618398</v>
      </c>
    </row>
    <row r="40" spans="1:7" hidden="1">
      <c r="A40" s="2">
        <v>39</v>
      </c>
      <c r="B40" s="2">
        <v>0.77111196145415295</v>
      </c>
      <c r="C40" s="2">
        <v>-1.69527347495767E-2</v>
      </c>
      <c r="D40" s="2">
        <v>2.9472995604318402</v>
      </c>
      <c r="E40" s="2">
        <v>0</v>
      </c>
      <c r="F40" s="2">
        <v>0</v>
      </c>
      <c r="G40" s="2">
        <v>0</v>
      </c>
    </row>
    <row r="41" spans="1:7">
      <c r="A41" s="2">
        <v>40</v>
      </c>
      <c r="B41" s="2">
        <v>0.69449735432863202</v>
      </c>
      <c r="C41" s="2">
        <v>3.5646295936352601E-2</v>
      </c>
      <c r="D41" s="2">
        <v>3.18521917547934</v>
      </c>
      <c r="E41" s="2">
        <v>0.61904650740325395</v>
      </c>
      <c r="F41" s="2">
        <v>9.5329665578836008E-3</v>
      </c>
      <c r="G41" s="2">
        <v>2.9035027515101501</v>
      </c>
    </row>
    <row r="42" spans="1:7">
      <c r="A42" s="2">
        <v>41</v>
      </c>
      <c r="B42" s="2">
        <v>0.78746575862169199</v>
      </c>
      <c r="C42" s="2">
        <v>1.8461947557747001E-2</v>
      </c>
      <c r="D42" s="2">
        <v>3.2818757400862699</v>
      </c>
      <c r="E42" s="2">
        <v>0.775148645043373</v>
      </c>
      <c r="F42" s="2">
        <v>4.9312414456794598E-3</v>
      </c>
      <c r="G42" s="2">
        <v>3.16035873617873</v>
      </c>
    </row>
    <row r="43" spans="1:7">
      <c r="A43" s="2">
        <v>42</v>
      </c>
      <c r="B43" s="2">
        <v>0.826981049776077</v>
      </c>
      <c r="C43" s="2">
        <v>2.1251526654050602E-2</v>
      </c>
      <c r="D43" s="2">
        <v>3.22453470163877</v>
      </c>
      <c r="E43" s="2">
        <v>0.16529892012476899</v>
      </c>
      <c r="F43" s="2">
        <v>4.9615749161135902E-3</v>
      </c>
      <c r="G43" s="2">
        <v>3.0776937232589399</v>
      </c>
    </row>
    <row r="44" spans="1:7" hidden="1">
      <c r="A44" s="2">
        <v>43</v>
      </c>
      <c r="B44" s="2">
        <v>0.91569201648235299</v>
      </c>
      <c r="C44" s="3">
        <v>-5.4076441565076199E-5</v>
      </c>
      <c r="D44" s="2">
        <v>3.0989665832167899</v>
      </c>
      <c r="E44" s="2">
        <v>0</v>
      </c>
      <c r="F44" s="2">
        <v>0</v>
      </c>
      <c r="G44" s="2">
        <v>0</v>
      </c>
    </row>
    <row r="45" spans="1:7" hidden="1">
      <c r="A45" s="2">
        <v>44</v>
      </c>
      <c r="B45" s="2">
        <v>0.71071228384971596</v>
      </c>
      <c r="C45" s="2">
        <v>9.9730174339667192E-3</v>
      </c>
      <c r="D45" s="2">
        <v>3.1469208432505198</v>
      </c>
      <c r="E45" s="2">
        <v>0</v>
      </c>
      <c r="F45" s="2">
        <v>0</v>
      </c>
      <c r="G45" s="2">
        <v>0</v>
      </c>
    </row>
    <row r="46" spans="1:7">
      <c r="A46" s="2">
        <v>45</v>
      </c>
      <c r="B46" s="2">
        <v>0.78063447276751197</v>
      </c>
      <c r="C46" s="2">
        <v>-1.73212872743929E-4</v>
      </c>
      <c r="D46" s="2">
        <v>3.0477853401914801</v>
      </c>
      <c r="E46" s="2">
        <v>0.48266275475422499</v>
      </c>
      <c r="F46" s="2">
        <v>1.6566955179442199E-4</v>
      </c>
      <c r="G46" s="2">
        <v>2.6466926342639998</v>
      </c>
    </row>
    <row r="47" spans="1:7">
      <c r="A47" s="2">
        <v>46</v>
      </c>
      <c r="B47" s="2">
        <v>0.66465397179126695</v>
      </c>
      <c r="C47" s="2">
        <v>-1.02031927929409E-2</v>
      </c>
      <c r="D47" s="2">
        <v>3.0060858197456</v>
      </c>
      <c r="E47" s="2">
        <v>0.60623733699321702</v>
      </c>
      <c r="F47" s="2">
        <v>-1.9068235335764901E-2</v>
      </c>
      <c r="G47" s="2">
        <v>3.0105389925205301</v>
      </c>
    </row>
    <row r="48" spans="1:7">
      <c r="A48" s="2">
        <v>47</v>
      </c>
      <c r="B48" s="2">
        <v>0.81308580935001296</v>
      </c>
      <c r="C48" s="2">
        <v>-2.4649048709197699E-3</v>
      </c>
      <c r="D48" s="2">
        <v>3.2143243512405899</v>
      </c>
      <c r="E48" s="2">
        <v>0.19890016317367501</v>
      </c>
      <c r="F48" s="2">
        <v>4.2042581028454099E-3</v>
      </c>
      <c r="G48" s="2">
        <v>3.1115913943112199</v>
      </c>
    </row>
    <row r="49" spans="1:7">
      <c r="A49" s="2">
        <v>48</v>
      </c>
      <c r="B49" s="2">
        <v>0.62555465847253799</v>
      </c>
      <c r="C49" s="2">
        <v>1.0693381596804601E-2</v>
      </c>
      <c r="D49" s="2">
        <v>3.09821887230662</v>
      </c>
      <c r="E49" s="2">
        <v>0.16032575070857999</v>
      </c>
      <c r="F49" s="2">
        <v>1.3941833673175801E-2</v>
      </c>
      <c r="G49" s="2">
        <v>3.2620565792987399</v>
      </c>
    </row>
    <row r="50" spans="1:7">
      <c r="A50" s="2">
        <v>49</v>
      </c>
      <c r="B50" s="2">
        <v>0.62795206407705895</v>
      </c>
      <c r="C50" s="2">
        <v>8.4907254766809093E-3</v>
      </c>
      <c r="D50" s="2">
        <v>3.1010486149052898</v>
      </c>
      <c r="E50" s="2">
        <v>0.49825354665517801</v>
      </c>
      <c r="F50" s="2">
        <v>1.43640468845755E-2</v>
      </c>
      <c r="G50" s="2">
        <v>2.6104098983278101</v>
      </c>
    </row>
    <row r="51" spans="1:7" hidden="1">
      <c r="A51" s="2">
        <v>50</v>
      </c>
      <c r="B51" s="2">
        <v>0.79524765610694803</v>
      </c>
      <c r="C51" s="2">
        <v>1.97834257236594E-2</v>
      </c>
      <c r="D51" s="2">
        <v>3.16300927334043</v>
      </c>
      <c r="E51" s="2">
        <v>0</v>
      </c>
      <c r="F51" s="2">
        <v>0</v>
      </c>
      <c r="G51" s="2">
        <v>0</v>
      </c>
    </row>
    <row r="52" spans="1:7">
      <c r="A52" s="2">
        <v>51</v>
      </c>
      <c r="B52" s="2">
        <v>0.82957085371017403</v>
      </c>
      <c r="C52" s="2">
        <v>-1.33480020369987E-2</v>
      </c>
      <c r="D52" s="2">
        <v>3.21823690558446</v>
      </c>
      <c r="E52" s="2">
        <v>0.83553992509841901</v>
      </c>
      <c r="F52" s="2">
        <v>1.13784295935115E-3</v>
      </c>
      <c r="G52" s="2">
        <v>3.3612302061008599</v>
      </c>
    </row>
    <row r="53" spans="1:7">
      <c r="A53" s="2">
        <v>52</v>
      </c>
      <c r="B53" s="2">
        <v>0.77780530601739795</v>
      </c>
      <c r="C53" s="2">
        <v>1.16934186193118E-2</v>
      </c>
      <c r="D53" s="2">
        <v>3.12120970264015</v>
      </c>
      <c r="E53" s="2">
        <v>0.82152450084686202</v>
      </c>
      <c r="F53" s="2">
        <v>-5.8859063489169396E-4</v>
      </c>
      <c r="G53" s="2">
        <v>3.29936636375272</v>
      </c>
    </row>
    <row r="54" spans="1:7">
      <c r="A54" s="2">
        <v>53</v>
      </c>
      <c r="B54" s="2">
        <v>0.79581412672996499</v>
      </c>
      <c r="C54" s="2">
        <v>5.3791180015973997E-3</v>
      </c>
      <c r="D54" s="2">
        <v>3.01596191770592</v>
      </c>
      <c r="E54" s="2">
        <v>0.85777111351489999</v>
      </c>
      <c r="F54" s="2">
        <v>1.0687081366495601E-2</v>
      </c>
      <c r="G54" s="2">
        <v>3.0301913973071302</v>
      </c>
    </row>
    <row r="55" spans="1:7" hidden="1">
      <c r="A55" s="2">
        <v>54</v>
      </c>
      <c r="B55" s="2">
        <v>0.717158313840627</v>
      </c>
      <c r="C55" s="2">
        <v>2.1612961381948001E-2</v>
      </c>
      <c r="D55" s="2">
        <v>3.24381095975578</v>
      </c>
      <c r="E55" s="2">
        <v>0</v>
      </c>
      <c r="F55" s="2">
        <v>0</v>
      </c>
      <c r="G55" s="2">
        <v>0</v>
      </c>
    </row>
    <row r="56" spans="1:7" hidden="1">
      <c r="A56" s="2">
        <v>55</v>
      </c>
      <c r="B56" s="2">
        <v>0.69124262531598402</v>
      </c>
      <c r="C56" s="2">
        <v>3.0573870574361799E-3</v>
      </c>
      <c r="D56" s="2">
        <v>2.9855089324430901</v>
      </c>
      <c r="E56" s="2">
        <v>0</v>
      </c>
      <c r="F56" s="2">
        <v>0</v>
      </c>
      <c r="G56" s="2">
        <v>0</v>
      </c>
    </row>
    <row r="57" spans="1:7">
      <c r="A57" s="2">
        <v>56</v>
      </c>
      <c r="B57" s="2">
        <v>0.72712140530347802</v>
      </c>
      <c r="C57" s="2">
        <v>-2.76428310604148E-3</v>
      </c>
      <c r="D57" s="2">
        <v>3.1057879130927302</v>
      </c>
      <c r="E57" s="2">
        <v>0.61771984025835902</v>
      </c>
      <c r="F57" s="2">
        <v>-3.54357858906118E-3</v>
      </c>
      <c r="G57" s="2">
        <v>3.3024639185577001</v>
      </c>
    </row>
    <row r="58" spans="1:7">
      <c r="A58" s="2">
        <v>57</v>
      </c>
      <c r="B58" s="2">
        <v>0.83030132452646799</v>
      </c>
      <c r="C58" s="2">
        <v>1.8172746414203599E-2</v>
      </c>
      <c r="D58" s="2">
        <v>3.1455458978176698</v>
      </c>
      <c r="E58" s="2">
        <v>0.52607434988021795</v>
      </c>
      <c r="F58" s="2">
        <v>2.55597221360967E-2</v>
      </c>
      <c r="G58" s="2">
        <v>2.7381257903402401</v>
      </c>
    </row>
    <row r="59" spans="1:7">
      <c r="A59" s="2">
        <v>58</v>
      </c>
      <c r="B59" s="2">
        <v>0.81585196654001801</v>
      </c>
      <c r="C59" s="2">
        <v>8.5352007576144895E-4</v>
      </c>
      <c r="D59" s="2">
        <v>3.26983559451598</v>
      </c>
      <c r="E59" s="2">
        <v>0.43685754388570702</v>
      </c>
      <c r="F59" s="2">
        <v>-1.5509107940932401E-2</v>
      </c>
      <c r="G59" s="2">
        <v>3.18163790221283</v>
      </c>
    </row>
    <row r="60" spans="1:7" hidden="1">
      <c r="A60" s="2">
        <v>59</v>
      </c>
      <c r="B60" s="2">
        <v>0.79423239231109599</v>
      </c>
      <c r="C60" s="2">
        <v>-1.43187081884184E-2</v>
      </c>
      <c r="D60" s="2">
        <v>3.2400328016129798</v>
      </c>
      <c r="E60" s="2">
        <v>0</v>
      </c>
      <c r="F60" s="2">
        <v>0</v>
      </c>
      <c r="G60" s="2">
        <v>0</v>
      </c>
    </row>
    <row r="61" spans="1:7">
      <c r="A61" s="2">
        <v>60</v>
      </c>
      <c r="B61" s="2">
        <v>0.64617309967676795</v>
      </c>
      <c r="C61" s="2">
        <v>-1.1161343443972E-3</v>
      </c>
      <c r="D61" s="2">
        <v>3.1154531309291702</v>
      </c>
      <c r="E61" s="2">
        <v>0.47071919217705699</v>
      </c>
      <c r="F61" s="2">
        <v>6.0783068348282399E-3</v>
      </c>
      <c r="G61" s="2">
        <v>3.0544730157062001</v>
      </c>
    </row>
    <row r="62" spans="1:7">
      <c r="A62" s="2">
        <v>61</v>
      </c>
      <c r="B62" s="2">
        <v>0.82449956238269795</v>
      </c>
      <c r="C62" s="2">
        <v>1.94376038391154E-2</v>
      </c>
      <c r="D62" s="2">
        <v>3.0320636532663299</v>
      </c>
      <c r="E62" s="2">
        <v>0.401465871681769</v>
      </c>
      <c r="F62" s="2">
        <v>2.4230505076213601E-2</v>
      </c>
      <c r="G62" s="2">
        <v>3.2403517185136499</v>
      </c>
    </row>
    <row r="63" spans="1:7">
      <c r="A63" s="2">
        <v>62</v>
      </c>
      <c r="B63" s="2">
        <v>0.93902254104614202</v>
      </c>
      <c r="C63" s="2">
        <v>-9.6749732720454E-3</v>
      </c>
      <c r="D63" s="2">
        <v>3.1210294295226202</v>
      </c>
      <c r="E63" s="2">
        <v>0.69240348041057498</v>
      </c>
      <c r="F63" s="2">
        <v>-2.1260702888264899E-3</v>
      </c>
      <c r="G63" s="2">
        <v>3.1418011168453699</v>
      </c>
    </row>
    <row r="64" spans="1:7">
      <c r="A64" s="2">
        <v>63</v>
      </c>
      <c r="B64" s="2">
        <v>0.95105695724487305</v>
      </c>
      <c r="C64" s="2">
        <v>3.7685254715000799E-3</v>
      </c>
      <c r="D64" s="2">
        <v>3.0925503190618899</v>
      </c>
      <c r="E64" s="2">
        <v>0.58399631828069598</v>
      </c>
      <c r="F64" s="2">
        <v>3.1620222574303997E-2</v>
      </c>
      <c r="G64" s="2">
        <v>3.0825452292184101</v>
      </c>
    </row>
    <row r="65" spans="1:7">
      <c r="A65" s="2">
        <v>64</v>
      </c>
      <c r="B65" s="2">
        <v>0.75562500208616201</v>
      </c>
      <c r="C65" s="2">
        <v>2.14111238812244E-2</v>
      </c>
      <c r="D65" s="2">
        <v>3.2538316047543501</v>
      </c>
      <c r="E65" s="2">
        <v>0.491944884881377</v>
      </c>
      <c r="F65" s="2">
        <v>3.4892199607714498E-3</v>
      </c>
      <c r="G65" s="2">
        <v>2.8873200961373899</v>
      </c>
    </row>
    <row r="66" spans="1:7">
      <c r="A66" s="2">
        <v>65</v>
      </c>
      <c r="B66" s="2">
        <v>0.598647514979044</v>
      </c>
      <c r="C66" s="2">
        <v>-1.0419219771393399E-2</v>
      </c>
      <c r="D66" s="2">
        <v>3.2313848483021901</v>
      </c>
      <c r="E66" s="2">
        <v>0.482420414686203</v>
      </c>
      <c r="F66" s="2">
        <v>-3.4304618125062798E-3</v>
      </c>
      <c r="G66" s="2">
        <v>3.3649455208504699</v>
      </c>
    </row>
    <row r="67" spans="1:7">
      <c r="A67" s="2">
        <v>66</v>
      </c>
      <c r="B67" s="2">
        <v>0.71862350900967897</v>
      </c>
      <c r="C67" s="2">
        <v>6.8611930216867104E-3</v>
      </c>
      <c r="D67" s="2">
        <v>3.1414467807834101</v>
      </c>
      <c r="E67" s="2">
        <v>0.42128138989210101</v>
      </c>
      <c r="F67" s="2">
        <v>1.0028568169794199E-2</v>
      </c>
      <c r="G67" s="2">
        <v>3.1995431843787601</v>
      </c>
    </row>
    <row r="68" spans="1:7">
      <c r="A68" s="2">
        <v>67</v>
      </c>
      <c r="B68" s="2">
        <v>0.79276879628499297</v>
      </c>
      <c r="C68" s="2">
        <v>1.99872791253656E-2</v>
      </c>
      <c r="D68" s="2">
        <v>3.1038930317672602</v>
      </c>
      <c r="E68" s="2">
        <v>0.44914700742810898</v>
      </c>
      <c r="F68" s="2">
        <v>-5.3132179578412302E-3</v>
      </c>
      <c r="G68" s="2">
        <v>3.2336083457401399</v>
      </c>
    </row>
    <row r="69" spans="1:7">
      <c r="A69" s="2">
        <v>68</v>
      </c>
      <c r="B69" s="2">
        <v>0.752806525677442</v>
      </c>
      <c r="C69" s="2">
        <v>-6.8106349726981801E-3</v>
      </c>
      <c r="D69" s="2">
        <v>2.94325603542539</v>
      </c>
      <c r="E69" s="2">
        <v>0.43600972369313201</v>
      </c>
      <c r="F69" s="2">
        <v>1.40141557605613E-2</v>
      </c>
      <c r="G69" s="2">
        <v>2.9413315247701299</v>
      </c>
    </row>
    <row r="70" spans="1:7">
      <c r="A70" s="2">
        <v>69</v>
      </c>
      <c r="B70" s="2">
        <v>0.58334667732318202</v>
      </c>
      <c r="C70" s="2">
        <v>1.6199691878943299E-2</v>
      </c>
      <c r="D70" s="2">
        <v>2.9566525126896899</v>
      </c>
      <c r="E70" s="2">
        <v>7.7858403325080802E-2</v>
      </c>
      <c r="F70" s="2">
        <v>9.9375150518881093E-3</v>
      </c>
      <c r="G70" s="2">
        <v>1.8862259252790099</v>
      </c>
    </row>
    <row r="71" spans="1:7">
      <c r="A71" s="2">
        <v>70</v>
      </c>
      <c r="B71" s="2">
        <v>0.74929708242416304</v>
      </c>
      <c r="C71" s="2">
        <v>2.33189439119563E-2</v>
      </c>
      <c r="D71" s="2">
        <v>3.3027339464639298</v>
      </c>
      <c r="E71" s="2">
        <v>0.481252877041697</v>
      </c>
      <c r="F71" s="2">
        <v>2.8071063190873598E-2</v>
      </c>
      <c r="G71" s="2">
        <v>2.8422128301349301</v>
      </c>
    </row>
    <row r="72" spans="1:7" hidden="1">
      <c r="A72" s="2">
        <v>71</v>
      </c>
      <c r="B72" s="2">
        <v>0.53150019794702497</v>
      </c>
      <c r="C72" s="2">
        <v>3.8070739669548902E-2</v>
      </c>
      <c r="D72" s="2">
        <v>2.7269376087330199</v>
      </c>
      <c r="E72" s="2">
        <v>0</v>
      </c>
      <c r="F72" s="2">
        <v>0</v>
      </c>
      <c r="G72" s="2">
        <v>0</v>
      </c>
    </row>
    <row r="73" spans="1:7">
      <c r="A73" s="2">
        <v>72</v>
      </c>
      <c r="B73" s="2">
        <v>0.21419134736060999</v>
      </c>
      <c r="C73" s="2">
        <v>2.1167615310904601E-2</v>
      </c>
      <c r="D73" s="2">
        <v>2.4911407512328698</v>
      </c>
      <c r="E73" s="2">
        <v>0.256025120615959</v>
      </c>
      <c r="F73" s="2">
        <v>1.31961134565088E-2</v>
      </c>
      <c r="G73" s="2">
        <v>2.61292294689436</v>
      </c>
    </row>
    <row r="74" spans="1:7">
      <c r="A74" s="2">
        <v>73</v>
      </c>
      <c r="B74" s="2">
        <v>0.82771317164103098</v>
      </c>
      <c r="C74" s="2">
        <v>-7.6059676996524195E-4</v>
      </c>
      <c r="D74" s="2">
        <v>3.11247038845169</v>
      </c>
      <c r="E74" s="2">
        <v>0.55124294757842995</v>
      </c>
      <c r="F74" s="2">
        <v>3.4284021720090103E-2</v>
      </c>
      <c r="G74" s="2">
        <v>3.1838281484811901</v>
      </c>
    </row>
    <row r="75" spans="1:7">
      <c r="A75" s="2">
        <v>74</v>
      </c>
      <c r="B75" s="2">
        <v>0.62854613363742795</v>
      </c>
      <c r="C75" s="2">
        <v>4.7648422824653203E-3</v>
      </c>
      <c r="D75" s="2">
        <v>2.7805966978033001</v>
      </c>
      <c r="E75" s="2">
        <v>0.59717853367328599</v>
      </c>
      <c r="F75" s="2">
        <v>3.1739801282948499E-3</v>
      </c>
      <c r="G75" s="2">
        <v>2.6479643847373899</v>
      </c>
    </row>
    <row r="76" spans="1:7">
      <c r="A76" s="2">
        <v>75</v>
      </c>
      <c r="B76" s="2">
        <v>0.74651551991701104</v>
      </c>
      <c r="C76" s="2">
        <v>5.9990722022664703E-3</v>
      </c>
      <c r="D76" s="2">
        <v>2.9317884728307</v>
      </c>
      <c r="E76" s="2">
        <v>0.352621814236044</v>
      </c>
      <c r="F76" s="2">
        <v>6.2071863101458196E-3</v>
      </c>
      <c r="G76" s="2">
        <v>2.8582859427606202</v>
      </c>
    </row>
    <row r="77" spans="1:7">
      <c r="A77" s="2">
        <v>76</v>
      </c>
      <c r="B77" s="2">
        <v>0.66088760892550102</v>
      </c>
      <c r="C77" s="2">
        <v>2.5030215627512099E-2</v>
      </c>
      <c r="D77" s="2">
        <v>3.23074094016612</v>
      </c>
      <c r="E77" s="2">
        <v>0.42342905327677699</v>
      </c>
      <c r="F77" s="2">
        <v>6.1177936405624102E-3</v>
      </c>
      <c r="G77" s="2">
        <v>2.8751345119722398</v>
      </c>
    </row>
    <row r="78" spans="1:7">
      <c r="A78" s="2">
        <v>77</v>
      </c>
      <c r="B78" s="2">
        <v>0.46849596500396701</v>
      </c>
      <c r="C78" s="2">
        <v>1.0525018211183099E-2</v>
      </c>
      <c r="D78" s="2">
        <v>3.1882566229848002</v>
      </c>
      <c r="E78" s="2">
        <v>0.232767399400472</v>
      </c>
      <c r="F78" s="2">
        <v>4.6208418932103196E-3</v>
      </c>
      <c r="G78" s="2">
        <v>2.7813876007042002</v>
      </c>
    </row>
    <row r="79" spans="1:7">
      <c r="A79" s="2">
        <v>78</v>
      </c>
      <c r="B79" s="2">
        <v>0.75232004125912899</v>
      </c>
      <c r="C79" s="2">
        <v>1.17368708237914E-2</v>
      </c>
      <c r="D79" s="2">
        <v>3.1975758768645801</v>
      </c>
      <c r="E79" s="2">
        <v>0.36322532594203899</v>
      </c>
      <c r="F79" s="2">
        <v>1.07710066229067E-2</v>
      </c>
      <c r="G79" s="2">
        <v>3.2959015619510699</v>
      </c>
    </row>
    <row r="80" spans="1:7">
      <c r="A80" s="2">
        <v>79</v>
      </c>
      <c r="B80" s="2">
        <v>0.40723571926355301</v>
      </c>
      <c r="C80" s="2">
        <v>2.2970256060014901E-2</v>
      </c>
      <c r="D80" s="2">
        <v>3.2321916981142</v>
      </c>
      <c r="E80" s="2">
        <v>6.1959922313690102E-2</v>
      </c>
      <c r="F80" s="2">
        <v>1.5893876997580401E-2</v>
      </c>
      <c r="G80" s="2">
        <v>1.9724072360223599</v>
      </c>
    </row>
    <row r="81" spans="1:7">
      <c r="A81" s="2">
        <v>80</v>
      </c>
      <c r="B81" s="2">
        <v>0.54607281088828996</v>
      </c>
      <c r="C81" s="2">
        <v>1.9138907699147702E-2</v>
      </c>
      <c r="D81" s="2">
        <v>3.0848691888919602</v>
      </c>
      <c r="E81" s="2">
        <v>0.266304845611254</v>
      </c>
      <c r="F81" s="2">
        <v>4.4321848577529403E-3</v>
      </c>
      <c r="G81" s="2">
        <v>3.1419522096525099</v>
      </c>
    </row>
    <row r="82" spans="1:7">
      <c r="A82" s="2">
        <v>81</v>
      </c>
      <c r="B82" s="2">
        <v>0.58313934008280399</v>
      </c>
      <c r="C82" s="2">
        <v>1.0624685895747801E-2</v>
      </c>
      <c r="D82" s="2">
        <v>3.0419777539337001</v>
      </c>
      <c r="E82" s="2">
        <v>0.54384025683005599</v>
      </c>
      <c r="F82" s="2">
        <v>-1.4967257910569699E-4</v>
      </c>
      <c r="G82" s="2">
        <v>3.1933337633269501</v>
      </c>
    </row>
    <row r="83" spans="1:7" hidden="1">
      <c r="A83" s="2">
        <v>82</v>
      </c>
      <c r="B83" s="2">
        <v>0.67166795209050101</v>
      </c>
      <c r="C83" s="2">
        <v>-1.2318609657149E-2</v>
      </c>
      <c r="D83" s="2">
        <v>3.2556540237456901</v>
      </c>
      <c r="E83" s="2">
        <v>0</v>
      </c>
      <c r="F83" s="2">
        <v>0</v>
      </c>
      <c r="G83" s="2">
        <v>0</v>
      </c>
    </row>
    <row r="84" spans="1:7">
      <c r="A84" s="2">
        <v>83</v>
      </c>
      <c r="B84" s="2">
        <v>0.73934220075607304</v>
      </c>
      <c r="C84" s="2">
        <v>-1.5901016801617499E-2</v>
      </c>
      <c r="D84" s="2">
        <v>3.2533520891799101</v>
      </c>
      <c r="E84" s="2">
        <v>0.64850965291261597</v>
      </c>
      <c r="F84" s="2">
        <v>-4.6859832646767002E-3</v>
      </c>
      <c r="G84" s="2">
        <v>3.1978976367216299</v>
      </c>
    </row>
    <row r="85" spans="1:7" hidden="1">
      <c r="A85" s="2">
        <v>84</v>
      </c>
      <c r="B85" s="2">
        <v>0.86626380085945098</v>
      </c>
      <c r="C85" s="2">
        <v>-6.1497727424892901E-3</v>
      </c>
      <c r="D85" s="2">
        <v>3.2723703104958899</v>
      </c>
      <c r="E85" s="2">
        <v>0</v>
      </c>
      <c r="F85" s="2">
        <v>0</v>
      </c>
      <c r="G85" s="2">
        <v>0</v>
      </c>
    </row>
    <row r="86" spans="1:7">
      <c r="A86" s="2">
        <v>85</v>
      </c>
      <c r="B86" s="2">
        <v>0.59826772411664297</v>
      </c>
      <c r="C86" s="2">
        <v>-5.3757513089376296E-3</v>
      </c>
      <c r="D86" s="2">
        <v>3.2398231082995501</v>
      </c>
      <c r="E86" s="2">
        <v>0.50823777417341798</v>
      </c>
      <c r="F86" s="2">
        <v>2.2919223832059701E-2</v>
      </c>
      <c r="G86" s="2">
        <v>2.9465493435187899</v>
      </c>
    </row>
    <row r="87" spans="1:7">
      <c r="A87" s="2">
        <v>86</v>
      </c>
      <c r="B87" s="2">
        <v>0.65348944067954995</v>
      </c>
      <c r="C87" s="2">
        <v>3.8576635249025701E-2</v>
      </c>
      <c r="D87" s="2">
        <v>3.0640463086991101</v>
      </c>
      <c r="E87" s="2">
        <v>0.47942499443888598</v>
      </c>
      <c r="F87" s="2">
        <v>1.8217657002280601E-2</v>
      </c>
      <c r="G87" s="2">
        <v>2.6873094449066501</v>
      </c>
    </row>
    <row r="88" spans="1:7">
      <c r="A88" s="2">
        <v>87</v>
      </c>
      <c r="B88" s="2">
        <v>0.60686961561441399</v>
      </c>
      <c r="C88" s="2">
        <v>1.52905744981794E-2</v>
      </c>
      <c r="D88" s="2">
        <v>3.25910268046542</v>
      </c>
      <c r="E88" s="2">
        <v>0.41618031822144902</v>
      </c>
      <c r="F88" s="2">
        <v>4.4769383126830303E-3</v>
      </c>
      <c r="G88" s="2">
        <v>2.9053917055926699</v>
      </c>
    </row>
    <row r="89" spans="1:7" hidden="1">
      <c r="A89" s="2">
        <v>88</v>
      </c>
      <c r="B89" s="2">
        <v>0.710398688912391</v>
      </c>
      <c r="C89" s="2">
        <v>-3.9149729026917096E-3</v>
      </c>
      <c r="D89" s="2">
        <v>3.2578115934294298</v>
      </c>
      <c r="E89" s="2">
        <v>0</v>
      </c>
      <c r="F89" s="2">
        <v>0</v>
      </c>
      <c r="G89" s="2">
        <v>0</v>
      </c>
    </row>
    <row r="90" spans="1:7">
      <c r="A90" s="2">
        <v>89</v>
      </c>
      <c r="B90" s="2">
        <v>0.79561235755681903</v>
      </c>
      <c r="C90" s="2">
        <v>6.4496821052473204E-3</v>
      </c>
      <c r="D90" s="2">
        <v>3.0418453057125401</v>
      </c>
      <c r="E90" s="2">
        <v>0.69164422899484601</v>
      </c>
      <c r="F90" s="2">
        <v>-2.8861665462991399E-3</v>
      </c>
      <c r="G90" s="2">
        <v>2.93284339999905</v>
      </c>
    </row>
    <row r="91" spans="1:7" hidden="1">
      <c r="A91" s="2">
        <v>90</v>
      </c>
      <c r="B91" s="2">
        <v>0.64018987677991301</v>
      </c>
      <c r="C91" s="2">
        <v>7.4687916308775401E-3</v>
      </c>
      <c r="D91" s="2">
        <v>3.2300114497534</v>
      </c>
      <c r="E91" s="2">
        <v>0</v>
      </c>
      <c r="F91" s="2">
        <v>0</v>
      </c>
      <c r="G91" s="2">
        <v>0</v>
      </c>
    </row>
    <row r="92" spans="1:7">
      <c r="A92" s="2">
        <v>91</v>
      </c>
      <c r="B92" s="2">
        <v>0.57318237423896701</v>
      </c>
      <c r="C92" s="2">
        <v>6.92939656620087E-3</v>
      </c>
      <c r="D92" s="2">
        <v>3.16547038490849</v>
      </c>
      <c r="E92" s="2">
        <v>0.41654776036739299</v>
      </c>
      <c r="F92" s="2">
        <v>1.1316085590692601E-2</v>
      </c>
      <c r="G92" s="2">
        <v>3.1763192931908399</v>
      </c>
    </row>
    <row r="93" spans="1:7" hidden="1">
      <c r="A93" s="2">
        <v>92</v>
      </c>
      <c r="B93" s="2">
        <v>0.760637935996055</v>
      </c>
      <c r="C93" s="2">
        <v>-6.72294538060018E-3</v>
      </c>
      <c r="D93" s="2">
        <v>3.0984374437562998</v>
      </c>
      <c r="E93" s="2">
        <v>0</v>
      </c>
      <c r="F93" s="2">
        <v>0</v>
      </c>
      <c r="G93" s="2">
        <v>0</v>
      </c>
    </row>
    <row r="94" spans="1:7">
      <c r="A94" s="2">
        <v>93</v>
      </c>
      <c r="B94" s="2">
        <v>0.68623365089297295</v>
      </c>
      <c r="C94" s="2">
        <v>-3.33332680504465E-2</v>
      </c>
      <c r="D94" s="2">
        <v>3.2442087007681999</v>
      </c>
      <c r="E94" s="2">
        <v>0.64962664991617203</v>
      </c>
      <c r="F94" s="2">
        <v>-9.7477185005203602E-3</v>
      </c>
      <c r="G94" s="2">
        <v>2.8720738475144301</v>
      </c>
    </row>
    <row r="95" spans="1:7">
      <c r="A95" s="2">
        <v>94</v>
      </c>
      <c r="B95" s="2">
        <v>0.784006083011627</v>
      </c>
      <c r="C95" s="2">
        <v>8.0848567063256296E-3</v>
      </c>
      <c r="D95" s="2">
        <v>3.1663480117896601</v>
      </c>
      <c r="E95" s="2">
        <v>0.64402157068252497</v>
      </c>
      <c r="F95" s="2">
        <v>1.2813851484445101E-3</v>
      </c>
      <c r="G95" s="2">
        <v>3.21147363352173</v>
      </c>
    </row>
    <row r="96" spans="1:7">
      <c r="A96" s="2">
        <v>95</v>
      </c>
      <c r="B96" s="2">
        <v>0.870330506563186</v>
      </c>
      <c r="C96" s="2">
        <v>4.7038070313135403E-3</v>
      </c>
      <c r="D96" s="2">
        <v>3.1671034547715702</v>
      </c>
      <c r="E96" s="2">
        <v>0.68289041519164995</v>
      </c>
      <c r="F96" s="2">
        <v>2.9160416368533799E-2</v>
      </c>
      <c r="G96" s="2">
        <v>3.2868986291993001</v>
      </c>
    </row>
    <row r="97" spans="1:7" hidden="1">
      <c r="A97" s="2">
        <v>96</v>
      </c>
      <c r="B97" s="2">
        <v>0.74676569551229399</v>
      </c>
      <c r="C97" s="2">
        <v>1.44957075158789E-2</v>
      </c>
      <c r="D97" s="2">
        <v>3.1225662624508699</v>
      </c>
      <c r="E97" s="2">
        <v>0</v>
      </c>
      <c r="F97" s="2">
        <v>0</v>
      </c>
      <c r="G97" s="2">
        <v>0</v>
      </c>
    </row>
    <row r="98" spans="1:7" hidden="1">
      <c r="A98" s="2">
        <v>97</v>
      </c>
      <c r="B98" s="2">
        <v>0.83265388011932295</v>
      </c>
      <c r="C98" s="2">
        <v>1.0096603543392899E-2</v>
      </c>
      <c r="D98" s="2">
        <v>3.2389472077011798</v>
      </c>
      <c r="E98" s="2">
        <v>0</v>
      </c>
      <c r="F98" s="2">
        <v>0</v>
      </c>
      <c r="G98" s="2">
        <v>0</v>
      </c>
    </row>
    <row r="99" spans="1:7">
      <c r="A99" s="2">
        <v>98</v>
      </c>
      <c r="B99" s="2">
        <v>0.61441156268119801</v>
      </c>
      <c r="C99" s="2">
        <v>2.9933230099326E-2</v>
      </c>
      <c r="D99" s="2">
        <v>3.2640939776344902</v>
      </c>
      <c r="E99" s="2">
        <v>6.6406488418579102E-2</v>
      </c>
      <c r="F99" s="2">
        <v>1.18647078930607E-2</v>
      </c>
      <c r="G99" s="2">
        <v>1.8656930317270199</v>
      </c>
    </row>
    <row r="100" spans="1:7">
      <c r="A100" s="2">
        <v>99</v>
      </c>
      <c r="B100" s="2">
        <v>0.75194824735323496</v>
      </c>
      <c r="C100" s="2">
        <v>2.3719500471053999E-2</v>
      </c>
      <c r="D100" s="2">
        <v>3.0254253613504298</v>
      </c>
      <c r="E100" s="2">
        <v>0.331057749688625</v>
      </c>
      <c r="F100" s="2">
        <v>1.8589342978341201E-2</v>
      </c>
      <c r="G100" s="2">
        <v>2.8060562838275702</v>
      </c>
    </row>
    <row r="101" spans="1:7">
      <c r="A101" s="2">
        <v>100</v>
      </c>
      <c r="B101" s="2">
        <v>0.52207649747530605</v>
      </c>
      <c r="C101" s="2">
        <v>-1.4097792686011201E-2</v>
      </c>
      <c r="D101" s="2">
        <v>3.0848131688333602</v>
      </c>
      <c r="E101" s="2">
        <v>0.67143374681472701</v>
      </c>
      <c r="F101" s="2">
        <v>-1.9062031695675101E-2</v>
      </c>
      <c r="G101" s="2">
        <v>2.8876760230756102</v>
      </c>
    </row>
    <row r="102" spans="1:7">
      <c r="A102" s="2">
        <v>101</v>
      </c>
      <c r="B102" s="2">
        <v>0.87302832305431299</v>
      </c>
      <c r="C102" s="2">
        <v>4.1563276491842702E-3</v>
      </c>
      <c r="D102" s="2">
        <v>3.2929117074468901</v>
      </c>
      <c r="E102" s="2">
        <v>0.85384164253870598</v>
      </c>
      <c r="F102" s="2">
        <v>-3.28538997741745E-3</v>
      </c>
      <c r="G102" s="2">
        <v>3.2563559412292902</v>
      </c>
    </row>
    <row r="103" spans="1:7">
      <c r="A103" s="2">
        <v>102</v>
      </c>
      <c r="B103" s="2">
        <v>0.81171157956123297</v>
      </c>
      <c r="C103" s="2">
        <v>1.64209887011178E-2</v>
      </c>
      <c r="D103" s="2">
        <v>3.2398586372973299</v>
      </c>
      <c r="E103" s="2">
        <v>0.69406513373056999</v>
      </c>
      <c r="F103" s="2">
        <v>2.4897342014692798E-2</v>
      </c>
      <c r="G103" s="2">
        <v>3.11626906403459</v>
      </c>
    </row>
    <row r="104" spans="1:7">
      <c r="A104" s="2">
        <v>103</v>
      </c>
      <c r="B104" s="2">
        <v>0.78901805281639104</v>
      </c>
      <c r="C104" s="2">
        <v>6.0737381567232502E-3</v>
      </c>
      <c r="D104" s="2">
        <v>3.1914386663613001</v>
      </c>
      <c r="E104" s="2">
        <v>5.5080205202102599E-2</v>
      </c>
      <c r="F104" s="2">
        <v>2.1537120299740298E-2</v>
      </c>
      <c r="G104" s="2">
        <v>2.7337592345170201</v>
      </c>
    </row>
    <row r="105" spans="1:7">
      <c r="A105" s="2">
        <v>104</v>
      </c>
      <c r="B105" s="2">
        <v>0.90853191912174203</v>
      </c>
      <c r="C105" s="2">
        <v>-4.5617601062466397E-3</v>
      </c>
      <c r="D105" s="2">
        <v>3.2174818088381301</v>
      </c>
      <c r="E105" s="2">
        <v>0.61411187052726701</v>
      </c>
      <c r="F105" s="2">
        <v>1.8706208260816402E-2</v>
      </c>
      <c r="G105" s="2">
        <v>3.2635859131590399</v>
      </c>
    </row>
    <row r="106" spans="1:7" hidden="1">
      <c r="A106" s="2">
        <v>105</v>
      </c>
      <c r="B106" s="2">
        <v>0.25727427502473099</v>
      </c>
      <c r="C106" s="2">
        <v>1.50332582571432E-2</v>
      </c>
      <c r="D106" s="2">
        <v>2.4955975672766502</v>
      </c>
      <c r="E106" s="2">
        <v>0</v>
      </c>
      <c r="F106" s="2">
        <v>0</v>
      </c>
      <c r="G106" s="2">
        <v>0</v>
      </c>
    </row>
    <row r="107" spans="1:7">
      <c r="A107" s="2">
        <v>106</v>
      </c>
      <c r="B107" s="2">
        <v>0.95078837871551503</v>
      </c>
      <c r="C107" s="2">
        <v>1.43514774473807E-2</v>
      </c>
      <c r="D107" s="2">
        <v>3.1342968993134002</v>
      </c>
      <c r="E107" s="2">
        <v>0.67694032192230202</v>
      </c>
      <c r="F107" s="2">
        <v>-1.24997456789562E-2</v>
      </c>
      <c r="G107" s="2">
        <v>3.1722487660805001</v>
      </c>
    </row>
    <row r="108" spans="1:7">
      <c r="A108" s="2">
        <v>107</v>
      </c>
      <c r="B108" s="2">
        <v>0.83227034211158701</v>
      </c>
      <c r="C108" s="2">
        <v>1.48508123910602E-2</v>
      </c>
      <c r="D108" s="2">
        <v>3.2083745489665301</v>
      </c>
      <c r="E108" s="2">
        <v>0.58971222639083798</v>
      </c>
      <c r="F108" s="2">
        <v>3.62325284865225E-3</v>
      </c>
      <c r="G108" s="2">
        <v>3.08330643785153</v>
      </c>
    </row>
    <row r="109" spans="1:7">
      <c r="A109" s="2">
        <v>108</v>
      </c>
      <c r="B109" s="2">
        <v>0.81763469427823998</v>
      </c>
      <c r="C109" s="2">
        <v>-1.36376808313232E-2</v>
      </c>
      <c r="D109" s="2">
        <v>3.08710532000087</v>
      </c>
      <c r="E109" s="2">
        <v>8.5432656109332997E-2</v>
      </c>
      <c r="F109" s="2">
        <v>3.2198926047172401E-2</v>
      </c>
      <c r="G109" s="2">
        <v>3.1853567622433201</v>
      </c>
    </row>
    <row r="110" spans="1:7" hidden="1">
      <c r="A110" s="2">
        <v>109</v>
      </c>
      <c r="B110" s="2">
        <v>0.55625803023576703</v>
      </c>
      <c r="C110" s="2">
        <v>1.3072462449017001E-2</v>
      </c>
      <c r="D110" s="2">
        <v>3.1640495811156399</v>
      </c>
      <c r="E110" s="2">
        <v>0</v>
      </c>
      <c r="F110" s="2">
        <v>0</v>
      </c>
      <c r="G110" s="2">
        <v>0</v>
      </c>
    </row>
    <row r="111" spans="1:7">
      <c r="A111" s="2">
        <v>110</v>
      </c>
      <c r="B111" s="2">
        <v>0.68325236439704895</v>
      </c>
      <c r="C111" s="2">
        <v>-6.3793503199001097E-3</v>
      </c>
      <c r="D111" s="2">
        <v>3.19577207339678</v>
      </c>
      <c r="E111" s="2">
        <v>0.20555133124192501</v>
      </c>
      <c r="F111" s="2">
        <v>-1.0408811650035399E-2</v>
      </c>
      <c r="G111" s="2">
        <v>3.3626529133910501</v>
      </c>
    </row>
    <row r="112" spans="1:7">
      <c r="A112" s="2">
        <v>111</v>
      </c>
      <c r="B112" s="2">
        <v>0.74859678745269698</v>
      </c>
      <c r="C112" s="2">
        <v>-5.7712389041189001E-3</v>
      </c>
      <c r="D112" s="2">
        <v>3.2320916272045102</v>
      </c>
      <c r="E112" s="2">
        <v>0.27923292666673599</v>
      </c>
      <c r="F112" s="2">
        <v>9.8608493767748905E-3</v>
      </c>
      <c r="G112" s="2">
        <v>2.7081272904767602</v>
      </c>
    </row>
    <row r="113" spans="1:7">
      <c r="A113" s="2">
        <v>112</v>
      </c>
      <c r="B113" s="2">
        <v>0.85825625061988797</v>
      </c>
      <c r="C113" s="2">
        <v>1.50735122061718E-3</v>
      </c>
      <c r="D113" s="2">
        <v>3.288745857606</v>
      </c>
      <c r="E113" s="2">
        <v>0.73064048091570499</v>
      </c>
      <c r="F113" s="2">
        <v>2.7983386335961302E-4</v>
      </c>
      <c r="G113" s="2">
        <v>3.1365747363838499</v>
      </c>
    </row>
    <row r="114" spans="1:7" hidden="1">
      <c r="A114" s="2">
        <v>113</v>
      </c>
      <c r="B114" s="2">
        <v>0.65022626519203097</v>
      </c>
      <c r="C114" s="2">
        <v>-4.1796997745985097E-3</v>
      </c>
      <c r="D114" s="2">
        <v>3.1930792467943099</v>
      </c>
      <c r="E114" s="2">
        <v>0</v>
      </c>
      <c r="F114" s="2">
        <v>0</v>
      </c>
      <c r="G114" s="2">
        <v>0</v>
      </c>
    </row>
    <row r="115" spans="1:7">
      <c r="A115" s="2">
        <v>114</v>
      </c>
      <c r="B115" s="2">
        <v>0.62513597806294696</v>
      </c>
      <c r="C115" s="2">
        <v>2.0085011085273601E-2</v>
      </c>
      <c r="D115" s="2">
        <v>3.1338569396651801</v>
      </c>
      <c r="E115" s="2">
        <v>0.49036579330762198</v>
      </c>
      <c r="F115" s="2">
        <v>-4.9248657972664001E-3</v>
      </c>
      <c r="G115" s="2">
        <v>3.0451022072758498</v>
      </c>
    </row>
    <row r="116" spans="1:7" hidden="1">
      <c r="A116" s="2">
        <v>115</v>
      </c>
      <c r="B116" s="2">
        <v>0.83001714348792999</v>
      </c>
      <c r="C116" s="2">
        <v>9.1190576814669001E-3</v>
      </c>
      <c r="D116" s="2">
        <v>3.1239841686968801</v>
      </c>
      <c r="E116" s="2">
        <v>0</v>
      </c>
      <c r="F116" s="2">
        <v>0</v>
      </c>
      <c r="G116" s="2">
        <v>0</v>
      </c>
    </row>
    <row r="117" spans="1:7" hidden="1">
      <c r="A117" s="2">
        <v>116</v>
      </c>
      <c r="B117" s="2">
        <v>0.78162332624196995</v>
      </c>
      <c r="C117" s="2">
        <v>1.7289678503842301E-2</v>
      </c>
      <c r="D117" s="2">
        <v>3.0360257008712002</v>
      </c>
      <c r="E117" s="2">
        <v>0</v>
      </c>
      <c r="F117" s="2">
        <v>0</v>
      </c>
      <c r="G117" s="2">
        <v>0</v>
      </c>
    </row>
    <row r="118" spans="1:7" hidden="1">
      <c r="A118" s="2">
        <v>117</v>
      </c>
      <c r="B118" s="2">
        <v>0.85782037973403902</v>
      </c>
      <c r="C118" s="2">
        <v>-1.29462538261432E-2</v>
      </c>
      <c r="D118" s="2">
        <v>3.2192602696237702</v>
      </c>
      <c r="E118" s="2">
        <v>0</v>
      </c>
      <c r="F118" s="2">
        <v>0</v>
      </c>
      <c r="G118" s="2">
        <v>0</v>
      </c>
    </row>
    <row r="119" spans="1:7">
      <c r="A119" s="2">
        <v>118</v>
      </c>
      <c r="B119" s="2">
        <v>0.69026680787404304</v>
      </c>
      <c r="C119" s="2">
        <v>-3.14873026430674E-2</v>
      </c>
      <c r="D119" s="2">
        <v>2.93694487231136</v>
      </c>
      <c r="E119" s="2">
        <v>9.7323998808860696E-2</v>
      </c>
      <c r="F119" s="2">
        <v>1.14226422900927E-2</v>
      </c>
      <c r="G119" s="2">
        <v>2.6032143961249599</v>
      </c>
    </row>
    <row r="120" spans="1:7">
      <c r="A120" s="2">
        <v>119</v>
      </c>
      <c r="B120" s="2">
        <v>0.74430921673774697</v>
      </c>
      <c r="C120" s="2">
        <v>1.6677817691572699E-3</v>
      </c>
      <c r="D120" s="2">
        <v>3.2153388285152502</v>
      </c>
      <c r="E120" s="2">
        <v>0.39332568645477201</v>
      </c>
      <c r="F120" s="2">
        <v>-1.34955436139307E-2</v>
      </c>
      <c r="G120" s="2">
        <v>2.88601339513363</v>
      </c>
    </row>
    <row r="121" spans="1:7">
      <c r="A121" s="2">
        <v>120</v>
      </c>
      <c r="B121" s="2">
        <v>0.56799325719475702</v>
      </c>
      <c r="C121" s="2">
        <v>-7.0450849128071901E-3</v>
      </c>
      <c r="D121" s="2">
        <v>3.3631694499900302</v>
      </c>
      <c r="E121" s="2">
        <v>0.54943374991416905</v>
      </c>
      <c r="F121" s="2">
        <v>-3.24290828442883E-3</v>
      </c>
      <c r="G121" s="2">
        <v>3.06362203390528</v>
      </c>
    </row>
    <row r="122" spans="1:7">
      <c r="A122" s="2">
        <v>121</v>
      </c>
      <c r="B122" s="2">
        <v>0.66664482839405503</v>
      </c>
      <c r="C122" s="2">
        <v>-3.1135429897901001E-3</v>
      </c>
      <c r="D122" s="2">
        <v>3.1001990256098502</v>
      </c>
      <c r="E122" s="2">
        <v>6.0963563621044103E-2</v>
      </c>
      <c r="F122" s="2">
        <v>1.10979760808156E-2</v>
      </c>
      <c r="G122" s="2">
        <v>2.6490086393253498</v>
      </c>
    </row>
    <row r="123" spans="1:7" hidden="1">
      <c r="A123" s="2">
        <v>122</v>
      </c>
      <c r="B123" s="2">
        <v>0.69515551626682204</v>
      </c>
      <c r="C123" s="2">
        <v>-6.4343859479798395E-4</v>
      </c>
      <c r="D123" s="2">
        <v>3.1106801205880599</v>
      </c>
      <c r="E123" s="2">
        <v>0</v>
      </c>
      <c r="F123" s="2">
        <v>0</v>
      </c>
      <c r="G123" s="2">
        <v>0</v>
      </c>
    </row>
    <row r="124" spans="1:7">
      <c r="A124" s="2">
        <v>123</v>
      </c>
      <c r="B124" s="2">
        <v>0.65656665712594897</v>
      </c>
      <c r="C124" s="2">
        <v>7.0400584777825497E-3</v>
      </c>
      <c r="D124" s="2">
        <v>3.2052558043934498</v>
      </c>
      <c r="E124" s="2">
        <v>0.16777761280536599</v>
      </c>
      <c r="F124" s="2">
        <v>1.12165950680207E-2</v>
      </c>
      <c r="G124" s="2">
        <v>2.7132951433574202</v>
      </c>
    </row>
    <row r="125" spans="1:7">
      <c r="A125" s="2">
        <v>124</v>
      </c>
      <c r="B125" s="2">
        <v>0.68710393706957495</v>
      </c>
      <c r="C125" s="2">
        <v>2.2184570352332299E-2</v>
      </c>
      <c r="D125" s="2">
        <v>3.0712949653743302</v>
      </c>
      <c r="E125" s="2">
        <v>0.59218348562717404</v>
      </c>
      <c r="F125" s="2">
        <v>3.3502056421454499E-2</v>
      </c>
      <c r="G125" s="2">
        <v>3.2247010886707201</v>
      </c>
    </row>
    <row r="126" spans="1:7" hidden="1">
      <c r="A126" s="2">
        <v>125</v>
      </c>
      <c r="B126" s="2">
        <v>0.82982466618219997</v>
      </c>
      <c r="C126" s="2">
        <v>1.9740554133062901E-2</v>
      </c>
      <c r="D126" s="2">
        <v>3.0914275974259202</v>
      </c>
      <c r="E126" s="2">
        <v>0</v>
      </c>
      <c r="F126" s="2">
        <v>0</v>
      </c>
      <c r="G126" s="2">
        <v>0</v>
      </c>
    </row>
    <row r="127" spans="1:7">
      <c r="A127" s="2">
        <v>126</v>
      </c>
      <c r="B127" s="2">
        <v>0.81072809298833204</v>
      </c>
      <c r="C127" s="2">
        <v>7.0965305277189998E-3</v>
      </c>
      <c r="D127" s="2">
        <v>3.02933449898409</v>
      </c>
      <c r="E127" s="2">
        <v>6.5656989812850897E-2</v>
      </c>
      <c r="F127" s="2">
        <v>1.1488744705559301E-2</v>
      </c>
      <c r="G127" s="2">
        <v>1.82626332828088</v>
      </c>
    </row>
    <row r="128" spans="1:7" hidden="1">
      <c r="A128" s="2">
        <v>127</v>
      </c>
      <c r="B128" s="2">
        <v>0.78640167415142004</v>
      </c>
      <c r="C128" s="2">
        <v>2.9230981024832101E-2</v>
      </c>
      <c r="D128" s="2">
        <v>3.2758045114487699</v>
      </c>
      <c r="E128" s="2">
        <v>0</v>
      </c>
      <c r="F128" s="2">
        <v>0</v>
      </c>
      <c r="G128" s="2">
        <v>0</v>
      </c>
    </row>
    <row r="129" spans="1:7">
      <c r="A129" s="2">
        <v>128</v>
      </c>
      <c r="B129" s="2">
        <v>0.85041421651840199</v>
      </c>
      <c r="C129" s="2">
        <v>1.8043726036442501E-3</v>
      </c>
      <c r="D129" s="2">
        <v>2.9550658988587699</v>
      </c>
      <c r="E129" s="2">
        <v>0.60961058735847395</v>
      </c>
      <c r="F129" s="2">
        <v>-8.0005851346776E-3</v>
      </c>
      <c r="G129" s="2">
        <v>3.0547663261904998</v>
      </c>
    </row>
    <row r="130" spans="1:7">
      <c r="A130" s="2">
        <v>129</v>
      </c>
      <c r="B130" s="2">
        <v>0.57971447706222501</v>
      </c>
      <c r="C130" s="2">
        <v>1.9461864736013398E-2</v>
      </c>
      <c r="D130" s="2">
        <v>2.9291410448209101</v>
      </c>
      <c r="E130" s="2">
        <v>8.9927174150943701E-2</v>
      </c>
      <c r="F130" s="2">
        <v>1.64077530927642E-2</v>
      </c>
      <c r="G130" s="2">
        <v>1.8967803741482601</v>
      </c>
    </row>
    <row r="131" spans="1:7">
      <c r="A131" s="2">
        <v>130</v>
      </c>
      <c r="B131" s="2">
        <v>0.79833146929740895</v>
      </c>
      <c r="C131" s="2">
        <v>2.55695839847878E-2</v>
      </c>
      <c r="D131" s="2">
        <v>2.8840917751656399</v>
      </c>
      <c r="E131" s="2">
        <v>0.51224426428476899</v>
      </c>
      <c r="F131" s="2">
        <v>1.3829276850432301E-2</v>
      </c>
      <c r="G131" s="2">
        <v>2.6152520616233201</v>
      </c>
    </row>
    <row r="132" spans="1:7">
      <c r="A132" s="2">
        <v>131</v>
      </c>
      <c r="B132" s="2">
        <v>0.61373108625411898</v>
      </c>
      <c r="C132" s="2">
        <v>4.7071738263163897E-3</v>
      </c>
      <c r="D132" s="2">
        <v>3.2941069004001502</v>
      </c>
      <c r="E132" s="2">
        <v>0.50680927280336596</v>
      </c>
      <c r="F132" s="2">
        <v>1.0537011115140099E-2</v>
      </c>
      <c r="G132" s="2">
        <v>2.83926575405413</v>
      </c>
    </row>
    <row r="133" spans="1:7">
      <c r="A133" s="2">
        <v>132</v>
      </c>
      <c r="B133" s="2">
        <v>0.61359539814293296</v>
      </c>
      <c r="C133" s="2">
        <v>-1.46616721511292E-2</v>
      </c>
      <c r="D133" s="2">
        <v>3.0535820794875601</v>
      </c>
      <c r="E133" s="2">
        <v>0.493467332795262</v>
      </c>
      <c r="F133" s="2">
        <v>1.39516538379496E-2</v>
      </c>
      <c r="G133" s="2">
        <v>2.6996978017499802</v>
      </c>
    </row>
    <row r="134" spans="1:7">
      <c r="A134" s="2">
        <v>133</v>
      </c>
      <c r="B134" s="2">
        <v>0.66330793499946505</v>
      </c>
      <c r="C134" s="2">
        <v>-4.1192230955928704E-3</v>
      </c>
      <c r="D134" s="2">
        <v>2.9336313193873198</v>
      </c>
      <c r="E134" s="2">
        <v>0.44253469755252201</v>
      </c>
      <c r="F134" s="2">
        <v>4.9253365987444997E-4</v>
      </c>
      <c r="G134" s="2">
        <v>3.1214162380079302</v>
      </c>
    </row>
    <row r="135" spans="1:7">
      <c r="A135" s="2">
        <v>134</v>
      </c>
      <c r="B135" s="2">
        <v>0.80021125078201205</v>
      </c>
      <c r="C135" s="2">
        <v>1.12595823476302E-2</v>
      </c>
      <c r="D135" s="2">
        <v>3.1100589009147002</v>
      </c>
      <c r="E135" s="2">
        <v>0.68857265015443103</v>
      </c>
      <c r="F135" s="2">
        <v>-1.53947318089275E-2</v>
      </c>
      <c r="G135" s="2">
        <v>2.8575565053533598</v>
      </c>
    </row>
    <row r="136" spans="1:7">
      <c r="A136" s="2">
        <v>135</v>
      </c>
      <c r="B136" s="2">
        <v>0.91818578541278795</v>
      </c>
      <c r="C136" s="2">
        <v>1.4581689318325699E-2</v>
      </c>
      <c r="D136" s="2">
        <v>2.9666909411913802</v>
      </c>
      <c r="E136" s="2">
        <v>0.49940009911854999</v>
      </c>
      <c r="F136" s="2">
        <v>-1.0205053546002299E-2</v>
      </c>
      <c r="G136" s="2">
        <v>2.9333522280355901</v>
      </c>
    </row>
    <row r="137" spans="1:7">
      <c r="A137" s="2">
        <v>136</v>
      </c>
      <c r="B137" s="2">
        <v>0.76199546158313702</v>
      </c>
      <c r="C137" s="2">
        <v>2.2977514648940201E-2</v>
      </c>
      <c r="D137" s="2">
        <v>3.2222933643328999</v>
      </c>
      <c r="E137" s="2">
        <v>0.36921638250350902</v>
      </c>
      <c r="F137" s="2">
        <v>-2.7806103196390498E-3</v>
      </c>
      <c r="G137" s="2">
        <v>3.1441624554410299</v>
      </c>
    </row>
    <row r="138" spans="1:7" hidden="1">
      <c r="A138" s="2">
        <v>137</v>
      </c>
      <c r="B138" s="2">
        <v>0.78315215408801997</v>
      </c>
      <c r="C138" s="2">
        <v>1.5980833303277799E-2</v>
      </c>
      <c r="D138" s="2">
        <v>3.2136359786215101</v>
      </c>
      <c r="E138" s="2">
        <v>0</v>
      </c>
      <c r="F138" s="2">
        <v>0</v>
      </c>
      <c r="G138" s="2">
        <v>0</v>
      </c>
    </row>
    <row r="139" spans="1:7">
      <c r="A139" s="2">
        <v>138</v>
      </c>
      <c r="B139" s="2">
        <v>0.788690686225891</v>
      </c>
      <c r="C139" s="2">
        <v>4.0455124638833599E-2</v>
      </c>
      <c r="D139" s="2">
        <v>2.90510818049707</v>
      </c>
      <c r="E139" s="2">
        <v>0.31962826661765498</v>
      </c>
      <c r="F139" s="2">
        <v>1.1828245951228099E-2</v>
      </c>
      <c r="G139" s="2">
        <v>3.1362064191424799</v>
      </c>
    </row>
    <row r="140" spans="1:7">
      <c r="A140" s="2">
        <v>139</v>
      </c>
      <c r="B140" s="2">
        <v>0.78466526418924298</v>
      </c>
      <c r="C140" s="2">
        <v>3.4045763347352299E-2</v>
      </c>
      <c r="D140" s="2">
        <v>3.1591900887622901</v>
      </c>
      <c r="E140" s="2">
        <v>8.0336317420005798E-2</v>
      </c>
      <c r="F140" s="2">
        <v>1.42020216813651E-2</v>
      </c>
      <c r="G140" s="2">
        <v>1.91410857232781</v>
      </c>
    </row>
    <row r="141" spans="1:7">
      <c r="A141" s="2">
        <v>140</v>
      </c>
      <c r="B141" s="2">
        <v>0.73677033185958796</v>
      </c>
      <c r="C141" s="2">
        <v>3.0755888229536999E-2</v>
      </c>
      <c r="D141" s="2">
        <v>3.0819951258672602</v>
      </c>
      <c r="E141" s="2">
        <v>0.29791502654552399</v>
      </c>
      <c r="F141" s="2">
        <v>6.2516450940250899E-3</v>
      </c>
      <c r="G141" s="2">
        <v>3.0916275931058999</v>
      </c>
    </row>
    <row r="142" spans="1:7" hidden="1">
      <c r="A142" s="2">
        <v>141</v>
      </c>
      <c r="B142" s="2">
        <v>0.65259835869073801</v>
      </c>
      <c r="C142" s="2">
        <v>2.3491598283742398E-3</v>
      </c>
      <c r="D142" s="2">
        <v>3.2322092401328799</v>
      </c>
      <c r="E142" s="2">
        <v>0</v>
      </c>
      <c r="F142" s="2">
        <v>0</v>
      </c>
      <c r="G142" s="2">
        <v>0</v>
      </c>
    </row>
    <row r="143" spans="1:7">
      <c r="A143" s="2">
        <v>142</v>
      </c>
      <c r="B143" s="2">
        <v>0.736720124880472</v>
      </c>
      <c r="C143" s="2">
        <v>1.40161103771075E-2</v>
      </c>
      <c r="D143" s="2">
        <v>2.93508481960103</v>
      </c>
      <c r="E143" s="2">
        <v>0.418802985921502</v>
      </c>
      <c r="F143" s="2">
        <v>2.6767306710356601E-2</v>
      </c>
      <c r="G143" s="2">
        <v>3.2212436973427399</v>
      </c>
    </row>
    <row r="144" spans="1:7">
      <c r="A144" s="2">
        <v>143</v>
      </c>
      <c r="B144" s="2">
        <v>0.968166723847389</v>
      </c>
      <c r="C144" s="2">
        <v>1.02710278514077E-2</v>
      </c>
      <c r="D144" s="2">
        <v>3.23533853056326</v>
      </c>
      <c r="E144" s="2">
        <v>0.43454066539804098</v>
      </c>
      <c r="F144" s="2">
        <v>6.4176124890830497E-3</v>
      </c>
      <c r="G144" s="2">
        <v>3.14240697897222</v>
      </c>
    </row>
    <row r="145" spans="1:7">
      <c r="A145" s="2">
        <v>144</v>
      </c>
      <c r="B145" s="2">
        <v>0.89422603845596305</v>
      </c>
      <c r="C145" s="2">
        <v>-1.5813536834106402E-2</v>
      </c>
      <c r="D145" s="2">
        <v>3.1532261240830701</v>
      </c>
      <c r="E145" s="2">
        <v>4.9650851637125001E-2</v>
      </c>
      <c r="F145" s="2">
        <v>-1.70877325224978E-2</v>
      </c>
      <c r="G145" s="2">
        <v>2.8150083691651799</v>
      </c>
    </row>
    <row r="146" spans="1:7" hidden="1">
      <c r="A146" s="2">
        <v>145</v>
      </c>
      <c r="B146" s="2">
        <v>0.82841435074806202</v>
      </c>
      <c r="C146" s="2">
        <v>3.09655529900498E-3</v>
      </c>
      <c r="D146" s="2">
        <v>3.0471160524920502</v>
      </c>
      <c r="E146" s="2">
        <v>0</v>
      </c>
      <c r="F146" s="2">
        <v>0</v>
      </c>
      <c r="G146" s="2">
        <v>0</v>
      </c>
    </row>
    <row r="147" spans="1:7">
      <c r="A147" s="2">
        <v>146</v>
      </c>
      <c r="B147" s="2">
        <v>0.54655521363019899</v>
      </c>
      <c r="C147" s="2">
        <v>5.3566420356021497E-3</v>
      </c>
      <c r="D147" s="2">
        <v>3.2470756117700499</v>
      </c>
      <c r="E147" s="2">
        <v>0.59461887627840004</v>
      </c>
      <c r="F147" s="2">
        <v>-7.6368788813269304E-3</v>
      </c>
      <c r="G147" s="2">
        <v>2.8140503352635502</v>
      </c>
    </row>
    <row r="148" spans="1:7" hidden="1">
      <c r="A148" s="2">
        <v>147</v>
      </c>
      <c r="B148" s="2">
        <v>0.68084340989589598</v>
      </c>
      <c r="C148" s="2">
        <v>1.7901832988690101E-2</v>
      </c>
      <c r="D148" s="2">
        <v>3.0696966402994001</v>
      </c>
      <c r="E148" s="2">
        <v>0</v>
      </c>
      <c r="F148" s="2">
        <v>0</v>
      </c>
      <c r="G148" s="2">
        <v>0</v>
      </c>
    </row>
    <row r="149" spans="1:7">
      <c r="A149" s="2">
        <v>148</v>
      </c>
      <c r="B149" s="2">
        <v>0.82031616568565302</v>
      </c>
      <c r="C149" s="2">
        <v>-3.6089035749718298E-3</v>
      </c>
      <c r="D149" s="2">
        <v>2.9478683675010502</v>
      </c>
      <c r="E149" s="2">
        <v>0.50771877914667096</v>
      </c>
      <c r="F149" s="2">
        <v>2.4889953907344099E-2</v>
      </c>
      <c r="G149" s="2">
        <v>3.0389587261188602</v>
      </c>
    </row>
    <row r="150" spans="1:7">
      <c r="A150" s="2">
        <v>149</v>
      </c>
      <c r="B150" s="2">
        <v>0.72034387663006705</v>
      </c>
      <c r="C150" s="2">
        <v>2.62128455231023E-2</v>
      </c>
      <c r="D150" s="2">
        <v>2.9020762644570399</v>
      </c>
      <c r="E150" s="2">
        <v>0.57411959022283499</v>
      </c>
      <c r="F150" s="2">
        <v>2.95009418664093E-3</v>
      </c>
      <c r="G150" s="2">
        <v>2.8634772885904201</v>
      </c>
    </row>
    <row r="151" spans="1:7">
      <c r="A151" s="2">
        <v>150</v>
      </c>
      <c r="B151" s="2">
        <v>0.70614136258760996</v>
      </c>
      <c r="C151" s="2">
        <v>2.26115732415475E-2</v>
      </c>
      <c r="D151" s="2">
        <v>3.0334687273321599</v>
      </c>
      <c r="E151" s="2">
        <v>0.51987551401058796</v>
      </c>
      <c r="F151" s="2">
        <v>-1.2496604802147201E-3</v>
      </c>
      <c r="G151" s="2">
        <v>2.7506780862264599</v>
      </c>
    </row>
    <row r="152" spans="1:7">
      <c r="A152" s="2">
        <v>151</v>
      </c>
      <c r="B152" s="2">
        <v>0.67137292772531498</v>
      </c>
      <c r="C152" s="2">
        <v>-1.5742090212867901E-3</v>
      </c>
      <c r="D152" s="2">
        <v>2.7849479736760898</v>
      </c>
      <c r="E152" s="2">
        <v>0.59317352250218303</v>
      </c>
      <c r="F152" s="2">
        <v>-5.3450236808309497E-3</v>
      </c>
      <c r="G152" s="2">
        <v>2.7397141791042698</v>
      </c>
    </row>
    <row r="153" spans="1:7" hidden="1">
      <c r="A153" s="2">
        <v>152</v>
      </c>
      <c r="B153" s="2">
        <v>0.78744560480117798</v>
      </c>
      <c r="C153" s="2">
        <v>1.3743702332469999E-2</v>
      </c>
      <c r="D153" s="2">
        <v>2.9747474028870902</v>
      </c>
      <c r="E153" s="2">
        <v>0</v>
      </c>
      <c r="F153" s="2">
        <v>0</v>
      </c>
      <c r="G153" s="2">
        <v>0</v>
      </c>
    </row>
    <row r="154" spans="1:7" hidden="1">
      <c r="A154" s="2">
        <v>153</v>
      </c>
      <c r="B154" s="2">
        <v>0.79292170405387796</v>
      </c>
      <c r="C154" s="2">
        <v>1.6089374443104099E-2</v>
      </c>
      <c r="D154" s="2">
        <v>3.1198229286570598</v>
      </c>
      <c r="E154" s="2">
        <v>0</v>
      </c>
      <c r="F154" s="2">
        <v>0</v>
      </c>
      <c r="G154" s="2">
        <v>0</v>
      </c>
    </row>
    <row r="155" spans="1:7">
      <c r="A155" s="2">
        <v>154</v>
      </c>
      <c r="B155" s="2">
        <v>0.63240273296833005</v>
      </c>
      <c r="C155" s="2">
        <v>-6.8133181241836196E-3</v>
      </c>
      <c r="D155" s="2">
        <v>3.2198925389674402</v>
      </c>
      <c r="E155" s="2">
        <v>0.52060714922845297</v>
      </c>
      <c r="F155" s="2">
        <v>1.2611692407200999E-2</v>
      </c>
      <c r="G155" s="2">
        <v>2.2526636124671602</v>
      </c>
    </row>
    <row r="156" spans="1:7">
      <c r="A156" s="2">
        <v>155</v>
      </c>
      <c r="B156" s="2">
        <v>0.69685705502827899</v>
      </c>
      <c r="C156" s="2">
        <v>-7.8631632939597795E-3</v>
      </c>
      <c r="D156" s="2">
        <v>3.1977209620778</v>
      </c>
      <c r="E156" s="2">
        <v>0.14093758165836301</v>
      </c>
      <c r="F156" s="2">
        <v>2.25332447591064E-3</v>
      </c>
      <c r="G156" s="2">
        <v>2.33281332657912</v>
      </c>
    </row>
    <row r="157" spans="1:7">
      <c r="A157" s="2">
        <v>156</v>
      </c>
      <c r="B157" s="2">
        <v>0.78579833358526197</v>
      </c>
      <c r="C157" s="2">
        <v>1.2755250470590999E-2</v>
      </c>
      <c r="D157" s="2">
        <v>3.2549947490663702</v>
      </c>
      <c r="E157" s="2">
        <v>0.61967669799923897</v>
      </c>
      <c r="F157" s="2">
        <v>1.02967394626682E-2</v>
      </c>
      <c r="G157" s="2">
        <v>2.6857838834038401</v>
      </c>
    </row>
    <row r="158" spans="1:7" hidden="1">
      <c r="A158" s="2">
        <v>157</v>
      </c>
      <c r="B158" s="2">
        <v>0.82056796550750699</v>
      </c>
      <c r="C158" s="2">
        <v>-6.6113426418275001E-3</v>
      </c>
      <c r="D158" s="2">
        <v>3.2384199178064801</v>
      </c>
      <c r="E158" s="2">
        <v>0</v>
      </c>
      <c r="F158" s="2">
        <v>0</v>
      </c>
      <c r="G158" s="2">
        <v>0</v>
      </c>
    </row>
    <row r="159" spans="1:7">
      <c r="A159" s="2">
        <v>158</v>
      </c>
      <c r="B159" s="2">
        <v>0.80224141478538502</v>
      </c>
      <c r="C159" s="2">
        <v>-1.4491315638088999E-2</v>
      </c>
      <c r="D159" s="2">
        <v>3.3812513839277298</v>
      </c>
      <c r="E159" s="2">
        <v>0.90923168261845899</v>
      </c>
      <c r="F159" s="2">
        <v>7.7955064257544298E-3</v>
      </c>
      <c r="G159" s="2">
        <v>3.2510303381047398</v>
      </c>
    </row>
    <row r="160" spans="1:7">
      <c r="A160" s="2">
        <v>159</v>
      </c>
      <c r="B160" s="2">
        <v>0.68882122784852895</v>
      </c>
      <c r="C160" s="2">
        <v>1.8046039710590302E-2</v>
      </c>
      <c r="D160" s="2">
        <v>3.1495460842819898</v>
      </c>
      <c r="E160" s="2">
        <v>0.63201381340622897</v>
      </c>
      <c r="F160" s="2">
        <v>2.25460024574928E-2</v>
      </c>
      <c r="G160" s="2">
        <v>2.9354259233079398</v>
      </c>
    </row>
    <row r="161" spans="1:7">
      <c r="A161" s="2">
        <v>160</v>
      </c>
      <c r="B161" s="2">
        <v>0.71233982741832702</v>
      </c>
      <c r="C161" s="2">
        <v>9.9111763841463509E-3</v>
      </c>
      <c r="D161" s="2">
        <v>3.2342740575805702</v>
      </c>
      <c r="E161" s="2">
        <v>0.59374905377626397</v>
      </c>
      <c r="F161" s="2">
        <v>1.44925499677839E-2</v>
      </c>
      <c r="G161" s="2">
        <v>2.0483977251371699</v>
      </c>
    </row>
    <row r="162" spans="1:7">
      <c r="A162" s="2">
        <v>161</v>
      </c>
      <c r="B162" s="2">
        <v>0.83508054167032197</v>
      </c>
      <c r="C162" s="2">
        <v>-1.06859099811327E-2</v>
      </c>
      <c r="D162" s="2">
        <v>3.0813049833991699</v>
      </c>
      <c r="E162" s="2">
        <v>0.51380845531821195</v>
      </c>
      <c r="F162" s="2">
        <v>-6.2724511181038098E-3</v>
      </c>
      <c r="G162" s="2">
        <v>2.8894329783876</v>
      </c>
    </row>
    <row r="163" spans="1:7">
      <c r="A163" s="2">
        <v>162</v>
      </c>
      <c r="B163" s="2">
        <v>0.78635228872299101</v>
      </c>
      <c r="C163" s="2">
        <v>2.2930526539409898E-2</v>
      </c>
      <c r="D163" s="2">
        <v>3.1535322228043698</v>
      </c>
      <c r="E163" s="2">
        <v>0.73224107772111802</v>
      </c>
      <c r="F163" s="2">
        <v>4.9177927865871399E-3</v>
      </c>
      <c r="G163" s="2">
        <v>3.0332492500428101</v>
      </c>
    </row>
    <row r="164" spans="1:7">
      <c r="A164" s="2">
        <v>163</v>
      </c>
      <c r="B164" s="2">
        <v>0.86966139078140203</v>
      </c>
      <c r="C164" s="2">
        <v>4.2238807750883902E-4</v>
      </c>
      <c r="D164" s="2">
        <v>2.8147553994795</v>
      </c>
      <c r="E164" s="2">
        <v>0.51419972628355004</v>
      </c>
      <c r="F164" s="2">
        <v>6.34893506302436E-3</v>
      </c>
      <c r="G164" s="2">
        <v>2.66749120448846</v>
      </c>
    </row>
    <row r="165" spans="1:7">
      <c r="A165" s="2">
        <v>164</v>
      </c>
      <c r="B165" s="2">
        <v>0.96884086728095997</v>
      </c>
      <c r="C165" s="2">
        <v>1.06374845766075E-2</v>
      </c>
      <c r="D165" s="2">
        <v>3.2452102839355099</v>
      </c>
      <c r="E165" s="2">
        <v>0.67397153377532903</v>
      </c>
      <c r="F165" s="2">
        <v>-1.84827596747556E-2</v>
      </c>
      <c r="G165" s="2">
        <v>3.2960055321773001</v>
      </c>
    </row>
    <row r="166" spans="1:7">
      <c r="A166" s="2">
        <v>165</v>
      </c>
      <c r="B166" s="2">
        <v>0.63058552145957902</v>
      </c>
      <c r="C166" s="2">
        <v>-9.4215473672107902E-3</v>
      </c>
      <c r="D166" s="2">
        <v>3.3015705626747498</v>
      </c>
      <c r="E166" s="2">
        <v>0.654749795794487</v>
      </c>
      <c r="F166" s="2">
        <v>-7.5256336158879798E-3</v>
      </c>
      <c r="G166" s="2">
        <v>3.4397096070409998</v>
      </c>
    </row>
    <row r="167" spans="1:7">
      <c r="A167" s="2">
        <v>166</v>
      </c>
      <c r="B167" s="2">
        <v>0.55639033578336194</v>
      </c>
      <c r="C167" s="2">
        <v>1.9133298258177299E-2</v>
      </c>
      <c r="D167" s="2">
        <v>2.9405454409584202</v>
      </c>
      <c r="E167" s="2">
        <v>0.55728595107793799</v>
      </c>
      <c r="F167" s="2">
        <v>-7.1888945036747004E-3</v>
      </c>
      <c r="G167" s="2">
        <v>3.1330635939410501</v>
      </c>
    </row>
    <row r="168" spans="1:7" hidden="1">
      <c r="A168" s="2">
        <v>167</v>
      </c>
      <c r="B168" s="2">
        <v>0.683422371745109</v>
      </c>
      <c r="C168" s="2">
        <v>-3.5432206745431502E-3</v>
      </c>
      <c r="D168" s="2">
        <v>3.1240266294927799</v>
      </c>
      <c r="E168" s="2">
        <v>0</v>
      </c>
      <c r="F168" s="2">
        <v>0</v>
      </c>
      <c r="G168" s="2">
        <v>0</v>
      </c>
    </row>
    <row r="169" spans="1:7">
      <c r="A169" s="2">
        <v>168</v>
      </c>
      <c r="B169" s="2">
        <v>0.782216817140579</v>
      </c>
      <c r="C169" s="2">
        <v>-1.00831878106781E-2</v>
      </c>
      <c r="D169" s="2">
        <v>3.3067128298011998</v>
      </c>
      <c r="E169" s="2">
        <v>0.50307634224494302</v>
      </c>
      <c r="F169" s="2">
        <v>-8.5255355140780795E-3</v>
      </c>
      <c r="G169" s="2">
        <v>3.2509225855491199</v>
      </c>
    </row>
    <row r="170" spans="1:7" hidden="1">
      <c r="A170" s="2">
        <v>169</v>
      </c>
      <c r="B170" s="2">
        <v>0.80409507950146997</v>
      </c>
      <c r="C170" s="2">
        <v>1.0134393845995899E-3</v>
      </c>
      <c r="D170" s="2">
        <v>3.2570597123300802</v>
      </c>
      <c r="E170" s="2">
        <v>0</v>
      </c>
      <c r="F170" s="2">
        <v>0</v>
      </c>
      <c r="G170" s="2">
        <v>0</v>
      </c>
    </row>
    <row r="171" spans="1:7">
      <c r="A171" s="2">
        <v>170</v>
      </c>
      <c r="B171" s="2">
        <v>0.73952415585517794</v>
      </c>
      <c r="C171" s="2">
        <v>6.9832169953958304E-3</v>
      </c>
      <c r="D171" s="2">
        <v>2.93897187158578</v>
      </c>
      <c r="E171" s="2">
        <v>0.595212742686271</v>
      </c>
      <c r="F171" s="2">
        <v>-1.49598315660952E-2</v>
      </c>
      <c r="G171" s="2">
        <v>3.1931577632432702</v>
      </c>
    </row>
    <row r="172" spans="1:7">
      <c r="A172" s="2">
        <v>171</v>
      </c>
      <c r="B172" s="2">
        <v>0.86271435618400505</v>
      </c>
      <c r="C172" s="2">
        <v>2.2279641397133801E-2</v>
      </c>
      <c r="D172" s="2">
        <v>3.18294205407273</v>
      </c>
      <c r="E172" s="2">
        <v>0.17669162154197601</v>
      </c>
      <c r="F172" s="2">
        <v>1.26615784440531E-3</v>
      </c>
      <c r="G172" s="2">
        <v>3.2539481676987401</v>
      </c>
    </row>
    <row r="173" spans="1:7">
      <c r="A173" s="2">
        <v>172</v>
      </c>
      <c r="B173" s="2">
        <v>0.83843876421451502</v>
      </c>
      <c r="C173" s="2">
        <v>3.7351774645077898E-4</v>
      </c>
      <c r="D173" s="2">
        <v>3.0661959268019001</v>
      </c>
      <c r="E173" s="2">
        <v>0.70775244633356704</v>
      </c>
      <c r="F173" s="2">
        <v>7.2268965575640696E-3</v>
      </c>
      <c r="G173" s="2">
        <v>3.1265665447714701</v>
      </c>
    </row>
    <row r="174" spans="1:7">
      <c r="A174" s="2">
        <v>173</v>
      </c>
      <c r="B174" s="2">
        <v>0.46395517140626902</v>
      </c>
      <c r="C174" s="2">
        <v>1.5745255280775899E-2</v>
      </c>
      <c r="D174" s="2">
        <v>3.0776735569025999</v>
      </c>
      <c r="E174" s="2">
        <v>0.30271894484758299</v>
      </c>
      <c r="F174" s="2">
        <v>9.3575353089363402E-3</v>
      </c>
      <c r="G174" s="2">
        <v>2.8103721894273601</v>
      </c>
    </row>
    <row r="175" spans="1:7">
      <c r="A175" s="2">
        <v>174</v>
      </c>
      <c r="B175" s="2">
        <v>0.82415118813514698</v>
      </c>
      <c r="C175" s="2">
        <v>6.1054599718055099E-3</v>
      </c>
      <c r="D175" s="2">
        <v>2.9802770833136201</v>
      </c>
      <c r="E175" s="2">
        <v>0.85862257083256999</v>
      </c>
      <c r="F175" s="2">
        <v>2.1597803933701601E-2</v>
      </c>
      <c r="G175" s="2">
        <v>3.06309455909309</v>
      </c>
    </row>
    <row r="176" spans="1:7">
      <c r="A176" s="2">
        <v>175</v>
      </c>
      <c r="B176" s="2">
        <v>0.82358364462852396</v>
      </c>
      <c r="C176" s="2">
        <v>1.1102815394240399E-2</v>
      </c>
      <c r="D176" s="2">
        <v>2.9114667803445502</v>
      </c>
      <c r="E176" s="2">
        <v>0.70365037520726503</v>
      </c>
      <c r="F176" s="2">
        <v>6.2824500798017999E-3</v>
      </c>
      <c r="G176" s="2">
        <v>2.9703745886642698</v>
      </c>
    </row>
    <row r="177" spans="1:7" hidden="1">
      <c r="A177" s="2">
        <v>176</v>
      </c>
      <c r="B177" s="2">
        <v>0.79045468568801802</v>
      </c>
      <c r="C177" s="2">
        <v>-1.5433857220173699E-2</v>
      </c>
      <c r="D177" s="2">
        <v>2.79043555814718</v>
      </c>
      <c r="E177" s="2">
        <v>0</v>
      </c>
      <c r="F177" s="2">
        <v>0</v>
      </c>
      <c r="G177" s="2">
        <v>0</v>
      </c>
    </row>
    <row r="178" spans="1:7" hidden="1">
      <c r="A178" s="2">
        <v>177</v>
      </c>
      <c r="B178" s="2">
        <v>0.87436349391937196</v>
      </c>
      <c r="C178" s="2">
        <v>3.6528068163282502E-2</v>
      </c>
      <c r="D178" s="2">
        <v>3.08328664898858</v>
      </c>
      <c r="E178" s="2">
        <v>0</v>
      </c>
      <c r="F178" s="2">
        <v>0</v>
      </c>
      <c r="G178" s="2">
        <v>0</v>
      </c>
    </row>
    <row r="179" spans="1:7">
      <c r="A179" s="2">
        <v>178</v>
      </c>
      <c r="B179" s="2">
        <v>0.870564917723337</v>
      </c>
      <c r="C179" s="2">
        <v>5.1065487510508004E-3</v>
      </c>
      <c r="D179" s="2">
        <v>3.2470583658849699</v>
      </c>
      <c r="E179" s="2">
        <v>0.49233193695545102</v>
      </c>
      <c r="F179" s="2">
        <v>1.80851794682865E-2</v>
      </c>
      <c r="G179" s="2">
        <v>3.0053601166667399</v>
      </c>
    </row>
    <row r="180" spans="1:7">
      <c r="A180" s="2">
        <v>179</v>
      </c>
      <c r="B180" s="2">
        <v>0.82941337426503503</v>
      </c>
      <c r="C180" s="2">
        <v>1.21975254322161E-2</v>
      </c>
      <c r="D180" s="2">
        <v>3.1350317569314599</v>
      </c>
      <c r="E180" s="2">
        <v>0.51932446472346705</v>
      </c>
      <c r="F180" s="2">
        <v>1.92418447353182E-2</v>
      </c>
      <c r="G180" s="2">
        <v>3.1869961765599699</v>
      </c>
    </row>
    <row r="181" spans="1:7" hidden="1">
      <c r="A181" s="2">
        <v>180</v>
      </c>
      <c r="B181" s="2">
        <v>0.80504079908132498</v>
      </c>
      <c r="C181" s="2">
        <v>2.5037598774848398E-2</v>
      </c>
      <c r="D181" s="2">
        <v>3.18742981476918</v>
      </c>
      <c r="E181" s="2">
        <v>0</v>
      </c>
      <c r="F181" s="2">
        <v>0</v>
      </c>
      <c r="G181" s="2">
        <v>0</v>
      </c>
    </row>
    <row r="182" spans="1:7">
      <c r="A182" s="2">
        <v>181</v>
      </c>
      <c r="B182" s="2">
        <v>0.75088700652122498</v>
      </c>
      <c r="C182" s="2">
        <v>3.3966135240572397E-2</v>
      </c>
      <c r="D182" s="2">
        <v>3.24373860576859</v>
      </c>
      <c r="E182" s="2">
        <v>0.66372450813650996</v>
      </c>
      <c r="F182" s="2">
        <v>1.46329162982601E-2</v>
      </c>
      <c r="G182" s="2">
        <v>2.6657401358110002</v>
      </c>
    </row>
    <row r="183" spans="1:7">
      <c r="A183" s="2">
        <v>182</v>
      </c>
      <c r="B183" s="2">
        <v>0.85433175166447906</v>
      </c>
      <c r="C183" s="2">
        <v>9.1910795834621393E-3</v>
      </c>
      <c r="D183" s="2">
        <v>3.1531470472194201</v>
      </c>
      <c r="E183" s="2">
        <v>0.46359898149967099</v>
      </c>
      <c r="F183" s="2">
        <v>4.0279994585833501E-3</v>
      </c>
      <c r="G183" s="2">
        <v>2.6218075943784198</v>
      </c>
    </row>
    <row r="184" spans="1:7">
      <c r="A184" s="2">
        <v>183</v>
      </c>
      <c r="B184" s="2">
        <v>0.77970875501632597</v>
      </c>
      <c r="C184" s="2">
        <v>1.00143533334559E-2</v>
      </c>
      <c r="D184" s="2">
        <v>2.97137385027867</v>
      </c>
      <c r="E184" s="2">
        <v>0.41552095487713803</v>
      </c>
      <c r="F184" s="2">
        <v>6.7187738107366002E-3</v>
      </c>
      <c r="G184" s="2">
        <v>2.9766185183685399</v>
      </c>
    </row>
    <row r="185" spans="1:7" hidden="1">
      <c r="A185" s="2">
        <v>184</v>
      </c>
      <c r="B185" s="2">
        <v>0.73112416863441398</v>
      </c>
      <c r="C185" s="2">
        <v>2.3496865878059801E-2</v>
      </c>
      <c r="D185" s="2">
        <v>3.1925322513129899</v>
      </c>
      <c r="E185" s="2">
        <v>0</v>
      </c>
      <c r="F185" s="2">
        <v>0</v>
      </c>
      <c r="G185" s="2">
        <v>0</v>
      </c>
    </row>
    <row r="186" spans="1:7">
      <c r="A186" s="2">
        <v>185</v>
      </c>
      <c r="B186" s="2">
        <v>0.40742208063602398</v>
      </c>
      <c r="C186" s="2">
        <v>2.6983972466418E-2</v>
      </c>
      <c r="D186" s="2">
        <v>3.14204764540658</v>
      </c>
      <c r="E186" s="2">
        <v>0.27152760823567701</v>
      </c>
      <c r="F186" s="2">
        <v>3.3792312039876002E-3</v>
      </c>
      <c r="G186" s="2">
        <v>3.0668579908386699</v>
      </c>
    </row>
    <row r="187" spans="1:7">
      <c r="A187" s="2">
        <v>186</v>
      </c>
      <c r="B187" s="2">
        <v>0.53918503224849701</v>
      </c>
      <c r="C187" s="2">
        <v>2.47174550286288E-2</v>
      </c>
      <c r="D187" s="2">
        <v>2.72731605433929</v>
      </c>
      <c r="E187" s="2">
        <v>7.3560886085033403E-2</v>
      </c>
      <c r="F187" s="2">
        <v>7.8318975557039004E-3</v>
      </c>
      <c r="G187" s="2">
        <v>1.8396843369290501</v>
      </c>
    </row>
    <row r="188" spans="1:7">
      <c r="A188" s="2">
        <v>187</v>
      </c>
      <c r="B188" s="2">
        <v>0.78402521088719301</v>
      </c>
      <c r="C188" s="2">
        <v>1.7423875793197902E-2</v>
      </c>
      <c r="D188" s="2">
        <v>3.0956626712523998</v>
      </c>
      <c r="E188" s="2">
        <v>0.595437061041593</v>
      </c>
      <c r="F188" s="2">
        <v>-1.43032168761592E-3</v>
      </c>
      <c r="G188" s="2">
        <v>2.7690134157363699</v>
      </c>
    </row>
    <row r="189" spans="1:7">
      <c r="A189" s="2">
        <v>188</v>
      </c>
      <c r="B189" s="2">
        <v>0.94176995754241899</v>
      </c>
      <c r="C189" s="2">
        <v>-6.7575203383303897E-4</v>
      </c>
      <c r="D189" s="2">
        <v>3.1653649771130499</v>
      </c>
      <c r="E189" s="2">
        <v>0.52425533533096302</v>
      </c>
      <c r="F189" s="2">
        <v>-1.5870590836442398E-2</v>
      </c>
      <c r="G189" s="2">
        <v>3.07608691609239</v>
      </c>
    </row>
    <row r="190" spans="1:7" hidden="1">
      <c r="A190" s="2">
        <v>189</v>
      </c>
      <c r="B190" s="2">
        <v>0.72295351624488802</v>
      </c>
      <c r="C190" s="2">
        <v>2.6533384312472898E-2</v>
      </c>
      <c r="D190" s="2">
        <v>3.0623634934436401</v>
      </c>
      <c r="E190" s="2">
        <v>0</v>
      </c>
      <c r="F190" s="2">
        <v>0</v>
      </c>
      <c r="G190" s="2">
        <v>0</v>
      </c>
    </row>
    <row r="191" spans="1:7">
      <c r="A191" s="2">
        <v>190</v>
      </c>
      <c r="B191" s="2">
        <v>0.51145482063293402</v>
      </c>
      <c r="C191" s="2">
        <v>1.90671010784958E-2</v>
      </c>
      <c r="D191" s="2">
        <v>2.9712411752236201</v>
      </c>
      <c r="E191" s="2">
        <v>0.52200041711330403</v>
      </c>
      <c r="F191" s="2">
        <v>1.38657319953452E-2</v>
      </c>
      <c r="G191" s="2">
        <v>2.82306016206548</v>
      </c>
    </row>
    <row r="192" spans="1:7">
      <c r="A192" s="2">
        <v>191</v>
      </c>
      <c r="B192" s="2">
        <v>0.80962618589401203</v>
      </c>
      <c r="C192" s="2">
        <v>1.68972082615539E-3</v>
      </c>
      <c r="D192" s="2">
        <v>2.9650508368398998</v>
      </c>
      <c r="E192" s="2">
        <v>0.70185887217521603</v>
      </c>
      <c r="F192" s="2">
        <v>-1.33513299290911E-2</v>
      </c>
      <c r="G192" s="2">
        <v>2.9252338181994002</v>
      </c>
    </row>
    <row r="193" spans="1:7" hidden="1">
      <c r="A193" s="2">
        <v>192</v>
      </c>
      <c r="B193" s="2">
        <v>0.34119504690170199</v>
      </c>
      <c r="C193" s="2">
        <v>6.4593213959263096E-3</v>
      </c>
      <c r="D193" s="2">
        <v>3.23782148954797</v>
      </c>
      <c r="E193" s="2">
        <v>0</v>
      </c>
      <c r="F193" s="2">
        <v>0</v>
      </c>
      <c r="G193" s="2">
        <v>0</v>
      </c>
    </row>
    <row r="194" spans="1:7" hidden="1">
      <c r="A194" s="2">
        <v>193</v>
      </c>
      <c r="B194" s="2">
        <v>0.64310462400317103</v>
      </c>
      <c r="C194" s="2">
        <v>-1.04895120908867E-2</v>
      </c>
      <c r="D194" s="2">
        <v>2.9541601970178202</v>
      </c>
      <c r="E194" s="2">
        <v>0</v>
      </c>
      <c r="F194" s="2">
        <v>0</v>
      </c>
      <c r="G194" s="2">
        <v>0</v>
      </c>
    </row>
    <row r="195" spans="1:7">
      <c r="A195" s="2">
        <v>194</v>
      </c>
      <c r="B195" s="2">
        <v>0.51905519266923195</v>
      </c>
      <c r="C195" s="2">
        <v>-6.6274254590119597E-3</v>
      </c>
      <c r="D195" s="2">
        <v>2.7752807557569898</v>
      </c>
      <c r="E195" s="2">
        <v>0.54863331715265895</v>
      </c>
      <c r="F195" s="2">
        <v>-1.2954508860508401E-2</v>
      </c>
      <c r="G195" s="2">
        <v>2.71101412295921</v>
      </c>
    </row>
    <row r="196" spans="1:7" hidden="1">
      <c r="A196" s="2">
        <v>195</v>
      </c>
      <c r="B196" s="2">
        <v>0.68087257444858496</v>
      </c>
      <c r="C196" s="2">
        <v>2.58687615544568E-2</v>
      </c>
      <c r="D196" s="2">
        <v>3.0687630685463301</v>
      </c>
      <c r="E196" s="2">
        <v>0</v>
      </c>
      <c r="F196" s="2">
        <v>0</v>
      </c>
      <c r="G196" s="2">
        <v>0</v>
      </c>
    </row>
    <row r="197" spans="1:7">
      <c r="A197" s="2">
        <v>196</v>
      </c>
      <c r="B197" s="2">
        <v>0.89917680025100699</v>
      </c>
      <c r="C197" s="2">
        <v>-6.2504164441147397E-3</v>
      </c>
      <c r="D197" s="2">
        <v>3.2938564290195802</v>
      </c>
      <c r="E197" s="2">
        <v>0.218915365636348</v>
      </c>
      <c r="F197" s="2">
        <v>-1.4529090812750599E-2</v>
      </c>
      <c r="G197" s="2">
        <v>2.9600513572635299</v>
      </c>
    </row>
    <row r="198" spans="1:7" hidden="1">
      <c r="A198" s="2">
        <v>197</v>
      </c>
      <c r="B198" s="2">
        <v>0.786785207688808</v>
      </c>
      <c r="C198" s="2">
        <v>1.48314843585106E-3</v>
      </c>
      <c r="D198" s="2">
        <v>3.0253261277121899</v>
      </c>
      <c r="E198" s="2">
        <v>0</v>
      </c>
      <c r="F198" s="2">
        <v>0</v>
      </c>
      <c r="G198" s="2">
        <v>0</v>
      </c>
    </row>
    <row r="199" spans="1:7">
      <c r="A199" s="2">
        <v>198</v>
      </c>
      <c r="B199" s="2">
        <v>0.71660770773887605</v>
      </c>
      <c r="C199" s="2">
        <v>1.20830136752491E-2</v>
      </c>
      <c r="D199" s="2">
        <v>2.9321327476239198</v>
      </c>
      <c r="E199" s="2">
        <v>0.46616931632161102</v>
      </c>
      <c r="F199" s="2">
        <v>1.07360148882378E-2</v>
      </c>
      <c r="G199" s="2">
        <v>2.4257325481805898</v>
      </c>
    </row>
    <row r="200" spans="1:7" hidden="1">
      <c r="A200" s="2">
        <v>199</v>
      </c>
      <c r="B200" s="2">
        <v>0.84297087788581804</v>
      </c>
      <c r="C200" s="2">
        <v>-9.9993823467059407E-4</v>
      </c>
      <c r="D200" s="2">
        <v>3.2495886363118398</v>
      </c>
      <c r="E200" s="2">
        <v>0</v>
      </c>
      <c r="F200" s="2">
        <v>0</v>
      </c>
      <c r="G200" s="2">
        <v>0</v>
      </c>
    </row>
    <row r="201" spans="1:7">
      <c r="A201" s="2">
        <v>200</v>
      </c>
      <c r="B201" s="2">
        <v>0.75563652515411295</v>
      </c>
      <c r="C201" s="2">
        <v>-1.7702751355074E-3</v>
      </c>
      <c r="D201" s="2">
        <v>3.0062544892059799</v>
      </c>
      <c r="E201" s="2">
        <v>0.17156866192817599</v>
      </c>
      <c r="F201" s="2">
        <v>1.8507754714646801E-2</v>
      </c>
      <c r="G201" s="2">
        <v>3.20248202402093</v>
      </c>
    </row>
    <row r="202" spans="1:7">
      <c r="A202" s="2">
        <v>201</v>
      </c>
      <c r="B202" s="2">
        <v>0.72290344536304396</v>
      </c>
      <c r="C202" s="2">
        <v>-2.6655574400433701E-3</v>
      </c>
      <c r="D202" s="2">
        <v>2.9921362708083499</v>
      </c>
      <c r="E202" s="2">
        <v>0.39592482894658998</v>
      </c>
      <c r="F202" s="2">
        <v>7.3959954428577303E-3</v>
      </c>
      <c r="G202" s="2">
        <v>2.9681410524671299</v>
      </c>
    </row>
    <row r="203" spans="1:7">
      <c r="A203" s="2">
        <v>202</v>
      </c>
      <c r="B203" s="2">
        <v>0.69475316256284703</v>
      </c>
      <c r="C203" s="2">
        <v>6.6803155605184E-3</v>
      </c>
      <c r="D203" s="2">
        <v>2.9724431261414801</v>
      </c>
      <c r="E203" s="2">
        <v>0.54467051774263298</v>
      </c>
      <c r="F203" s="2">
        <v>9.1786058902537798E-3</v>
      </c>
      <c r="G203" s="2">
        <v>2.82078542511807</v>
      </c>
    </row>
    <row r="204" spans="1:7">
      <c r="A204" s="2">
        <v>203</v>
      </c>
      <c r="B204" s="2">
        <v>0.62977653741836503</v>
      </c>
      <c r="C204" s="2">
        <v>1.7654264268239701E-2</v>
      </c>
      <c r="D204" s="2">
        <v>2.7301848484741802</v>
      </c>
      <c r="E204" s="2">
        <v>0.59288550540804796</v>
      </c>
      <c r="F204" s="2">
        <v>7.3852895408110797E-3</v>
      </c>
      <c r="G204" s="2">
        <v>2.9544812733047001</v>
      </c>
    </row>
    <row r="205" spans="1:7">
      <c r="A205" s="2">
        <v>204</v>
      </c>
      <c r="B205" s="2">
        <v>0.58424188693364398</v>
      </c>
      <c r="C205" s="2">
        <v>2.2566991144875202E-3</v>
      </c>
      <c r="D205" s="2">
        <v>3.25260513547699</v>
      </c>
      <c r="E205" s="2">
        <v>0.39332568645477201</v>
      </c>
      <c r="F205" s="2">
        <v>-1.34955436139307E-2</v>
      </c>
      <c r="G205" s="2">
        <v>2.88601339513363</v>
      </c>
    </row>
    <row r="206" spans="1:7">
      <c r="A206" s="2">
        <v>205</v>
      </c>
      <c r="B206" s="2">
        <v>0.88722612857818595</v>
      </c>
      <c r="C206" s="2">
        <v>1.0836667711284401E-2</v>
      </c>
      <c r="D206" s="2">
        <v>3.2714630839338201</v>
      </c>
      <c r="E206" s="2">
        <v>0.13518971577286701</v>
      </c>
      <c r="F206" s="2">
        <v>4.6176077213910799E-4</v>
      </c>
      <c r="G206" s="2">
        <v>3.2658210133639298</v>
      </c>
    </row>
    <row r="207" spans="1:7">
      <c r="A207" s="2">
        <v>206</v>
      </c>
      <c r="B207" s="2">
        <v>0.74377087131142605</v>
      </c>
      <c r="C207" s="2">
        <v>1.21715412639602E-2</v>
      </c>
      <c r="D207" s="2">
        <v>3.23339595631739</v>
      </c>
      <c r="E207" s="2">
        <v>0.61907254718243998</v>
      </c>
      <c r="F207" s="2">
        <v>1.43717449755813E-2</v>
      </c>
      <c r="G207" s="2">
        <v>2.7219169591651</v>
      </c>
    </row>
    <row r="208" spans="1:7">
      <c r="A208" s="2">
        <v>207</v>
      </c>
      <c r="B208" s="2">
        <v>0.74534136056900002</v>
      </c>
      <c r="C208" s="2">
        <v>-1.55316723286489E-2</v>
      </c>
      <c r="D208" s="2">
        <v>2.9403745086119999</v>
      </c>
      <c r="E208" s="2">
        <v>0.49364331737160599</v>
      </c>
      <c r="F208" s="2">
        <v>-4.23047376510155E-3</v>
      </c>
      <c r="G208" s="2">
        <v>2.3626257890038902</v>
      </c>
    </row>
    <row r="209" spans="1:7">
      <c r="A209" s="2">
        <v>208</v>
      </c>
      <c r="B209" s="2">
        <v>0.57465022305647495</v>
      </c>
      <c r="C209" s="2">
        <v>1.87002644121569E-2</v>
      </c>
      <c r="D209" s="2">
        <v>3.2619089870662998</v>
      </c>
      <c r="E209" s="2">
        <v>0.304329603910446</v>
      </c>
      <c r="F209" s="2">
        <v>1.5392274882248799E-2</v>
      </c>
      <c r="G209" s="2">
        <v>2.8992238778054098</v>
      </c>
    </row>
    <row r="210" spans="1:7">
      <c r="A210" s="2">
        <v>209</v>
      </c>
      <c r="B210" s="2">
        <v>0.76600143462419501</v>
      </c>
      <c r="C210" s="2">
        <v>-8.1335411531370007E-3</v>
      </c>
      <c r="D210" s="2">
        <v>3.1505833357605799</v>
      </c>
      <c r="E210" s="2">
        <v>0.68990357518196099</v>
      </c>
      <c r="F210" s="2">
        <v>-1.19691998565188E-2</v>
      </c>
      <c r="G210" s="2">
        <v>2.8368103404474101</v>
      </c>
    </row>
    <row r="211" spans="1:7" hidden="1">
      <c r="A211" s="2">
        <v>210</v>
      </c>
      <c r="B211" s="2">
        <v>0.67504867911338795</v>
      </c>
      <c r="C211" s="2">
        <v>8.2656876327824504E-3</v>
      </c>
      <c r="D211" s="2">
        <v>3.11680769090143</v>
      </c>
      <c r="E211" s="2">
        <v>0</v>
      </c>
      <c r="F211" s="2">
        <v>0</v>
      </c>
      <c r="G211" s="2">
        <v>0</v>
      </c>
    </row>
    <row r="212" spans="1:7">
      <c r="A212" s="2">
        <v>211</v>
      </c>
      <c r="B212" s="2">
        <v>0.77012007435162799</v>
      </c>
      <c r="C212" s="2">
        <v>-1.09957879605655E-2</v>
      </c>
      <c r="D212" s="2">
        <v>3.0931832216215001</v>
      </c>
      <c r="E212" s="2">
        <v>0.25114976987242699</v>
      </c>
      <c r="F212" s="2">
        <v>6.8864676735387303E-3</v>
      </c>
      <c r="G212" s="2">
        <v>3.0236901062771699</v>
      </c>
    </row>
    <row r="213" spans="1:7">
      <c r="A213" s="2">
        <v>212</v>
      </c>
      <c r="B213" s="2">
        <v>0.74005448818206698</v>
      </c>
      <c r="C213" s="2">
        <v>1.8918600545507001E-2</v>
      </c>
      <c r="D213" s="2">
        <v>3.0604604612073398</v>
      </c>
      <c r="E213" s="2">
        <v>0.61051785945892301</v>
      </c>
      <c r="F213" s="2">
        <v>3.0178055519588201E-2</v>
      </c>
      <c r="G213" s="2">
        <v>3.1891232957121498</v>
      </c>
    </row>
    <row r="214" spans="1:7">
      <c r="A214" s="2">
        <v>213</v>
      </c>
      <c r="B214" s="2">
        <v>0.74701525767644195</v>
      </c>
      <c r="C214" s="2">
        <v>2.4279764648638201E-2</v>
      </c>
      <c r="D214" s="2">
        <v>2.95541658396133</v>
      </c>
      <c r="E214" s="2">
        <v>0.76719111204147294</v>
      </c>
      <c r="F214" s="2">
        <v>3.032416097418E-2</v>
      </c>
      <c r="G214" s="2">
        <v>3.1989185579944901</v>
      </c>
    </row>
    <row r="215" spans="1:7">
      <c r="A215" s="2">
        <v>214</v>
      </c>
      <c r="B215" s="2">
        <v>0.46411636968453701</v>
      </c>
      <c r="C215" s="2">
        <v>1.0333064004096001E-2</v>
      </c>
      <c r="D215" s="2">
        <v>3.1608225260878502</v>
      </c>
      <c r="E215" s="2">
        <v>0.42492296174168498</v>
      </c>
      <c r="F215" s="2">
        <v>5.9498864451133599E-3</v>
      </c>
      <c r="G215" s="2">
        <v>3.0595408765419099</v>
      </c>
    </row>
    <row r="216" spans="1:7">
      <c r="A216" s="2">
        <v>215</v>
      </c>
      <c r="B216" s="2">
        <v>0.787567198276519</v>
      </c>
      <c r="C216" s="2">
        <v>6.06151556922363E-3</v>
      </c>
      <c r="D216" s="2">
        <v>3.1537109888064099</v>
      </c>
      <c r="E216" s="2">
        <v>0.36731369793414997</v>
      </c>
      <c r="F216" s="2">
        <v>-7.4401347728185697E-3</v>
      </c>
      <c r="G216" s="2">
        <v>3.0173836011631101</v>
      </c>
    </row>
    <row r="217" spans="1:7">
      <c r="A217" s="2">
        <v>216</v>
      </c>
      <c r="B217" s="2">
        <v>0.91386370360851199</v>
      </c>
      <c r="C217" s="2">
        <v>4.0616041453556102E-4</v>
      </c>
      <c r="D217" s="2">
        <v>2.93165047204733</v>
      </c>
      <c r="E217" s="2">
        <v>0.56604264676570804</v>
      </c>
      <c r="F217" s="2">
        <v>-3.60601125124471E-3</v>
      </c>
      <c r="G217" s="2">
        <v>2.25396984138226</v>
      </c>
    </row>
    <row r="218" spans="1:7">
      <c r="A218" s="2">
        <v>217</v>
      </c>
      <c r="B218" s="2">
        <v>0.78604802489280701</v>
      </c>
      <c r="C218" s="2">
        <v>4.38186418807111E-3</v>
      </c>
      <c r="D218" s="2">
        <v>3.1706351545732598</v>
      </c>
      <c r="E218" s="2">
        <v>0.59421327461798901</v>
      </c>
      <c r="F218" s="2">
        <v>1.2791779955586899E-2</v>
      </c>
      <c r="G218" s="2">
        <v>3.26773584411024</v>
      </c>
    </row>
    <row r="219" spans="1:7" hidden="1">
      <c r="A219" s="2">
        <v>218</v>
      </c>
      <c r="B219" s="2">
        <v>0.79404447227716402</v>
      </c>
      <c r="C219" s="2">
        <v>1.85886209445798E-2</v>
      </c>
      <c r="D219" s="2">
        <v>3.3590817871447598</v>
      </c>
      <c r="E219" s="2">
        <v>0</v>
      </c>
      <c r="F219" s="2">
        <v>0</v>
      </c>
      <c r="G219" s="2">
        <v>0</v>
      </c>
    </row>
    <row r="220" spans="1:7" hidden="1">
      <c r="A220" s="2">
        <v>219</v>
      </c>
      <c r="B220" s="2">
        <v>0.73598488420247998</v>
      </c>
      <c r="C220" s="2">
        <v>1.00169168898536E-2</v>
      </c>
      <c r="D220" s="2">
        <v>3.2629148364010199</v>
      </c>
      <c r="E220" s="2">
        <v>0</v>
      </c>
      <c r="F220" s="2">
        <v>0</v>
      </c>
      <c r="G220" s="2">
        <v>0</v>
      </c>
    </row>
    <row r="221" spans="1:7">
      <c r="A221" s="2">
        <v>220</v>
      </c>
      <c r="B221" s="2">
        <v>0.67917824685573502</v>
      </c>
      <c r="C221" s="2">
        <v>2.5322569403932898E-3</v>
      </c>
      <c r="D221" s="2">
        <v>3.25151039994374</v>
      </c>
      <c r="E221" s="2">
        <v>0.522027198225259</v>
      </c>
      <c r="F221" s="2">
        <v>4.6045479251555204E-3</v>
      </c>
      <c r="G221" s="2">
        <v>1.9019706641504299</v>
      </c>
    </row>
    <row r="222" spans="1:7">
      <c r="A222" s="2">
        <v>221</v>
      </c>
      <c r="B222" s="2">
        <v>0.68790486454963595</v>
      </c>
      <c r="C222" s="2">
        <v>6.2606311087165501E-4</v>
      </c>
      <c r="D222" s="2">
        <v>3.4391462395621599</v>
      </c>
      <c r="E222" s="2">
        <v>0.73221218585967995</v>
      </c>
      <c r="F222" s="2">
        <v>-3.3700039866414399E-3</v>
      </c>
      <c r="G222" s="2">
        <v>3.1016730313212699</v>
      </c>
    </row>
    <row r="223" spans="1:7">
      <c r="A223" s="2">
        <v>222</v>
      </c>
      <c r="B223" s="2">
        <v>0.84132996201515198</v>
      </c>
      <c r="C223" s="2">
        <v>3.28679871229011E-2</v>
      </c>
      <c r="D223" s="2">
        <v>3.12877596140269</v>
      </c>
      <c r="E223" s="2">
        <v>0.40783798694610501</v>
      </c>
      <c r="F223" s="2">
        <v>6.1114903822740901E-2</v>
      </c>
      <c r="G223" s="2">
        <v>3.0589956651735801</v>
      </c>
    </row>
    <row r="224" spans="1:7">
      <c r="A224" s="2">
        <v>223</v>
      </c>
      <c r="B224" s="2">
        <v>0.83960951864719302</v>
      </c>
      <c r="C224" s="2">
        <v>1.26298484453024E-2</v>
      </c>
      <c r="D224" s="2">
        <v>3.04661409672218</v>
      </c>
      <c r="E224" s="2">
        <v>0.81296347081661202</v>
      </c>
      <c r="F224" s="2">
        <v>2.08466185575584E-2</v>
      </c>
      <c r="G224" s="2">
        <v>3.0378196641040902</v>
      </c>
    </row>
    <row r="225" spans="1:7">
      <c r="A225" s="2">
        <v>224</v>
      </c>
      <c r="B225" s="2">
        <v>0.68113537629445398</v>
      </c>
      <c r="C225" s="2">
        <v>-1.7960854399971901E-2</v>
      </c>
      <c r="D225" s="2">
        <v>3.3727329397311299</v>
      </c>
      <c r="E225" s="2">
        <v>0.78174692392349199</v>
      </c>
      <c r="F225" s="2">
        <v>-1.20798881521011E-3</v>
      </c>
      <c r="G225" s="2">
        <v>2.8391126188994602</v>
      </c>
    </row>
    <row r="226" spans="1:7" hidden="1">
      <c r="A226" s="2">
        <v>225</v>
      </c>
      <c r="B226" s="2">
        <v>0.73638463020324696</v>
      </c>
      <c r="C226" s="2">
        <v>2.2482743816008399E-2</v>
      </c>
      <c r="D226" s="2">
        <v>3.1077978439773202</v>
      </c>
      <c r="E226" s="2">
        <v>0</v>
      </c>
      <c r="F226" s="2">
        <v>0</v>
      </c>
      <c r="G226" s="2">
        <v>0</v>
      </c>
    </row>
    <row r="227" spans="1:7">
      <c r="A227" s="2">
        <v>226</v>
      </c>
      <c r="B227" s="2">
        <v>0.54828163236379601</v>
      </c>
      <c r="C227" s="2">
        <v>3.3321967365872E-2</v>
      </c>
      <c r="D227" s="2">
        <v>3.29836042637683</v>
      </c>
      <c r="E227" s="2">
        <v>0.51715455111116104</v>
      </c>
      <c r="F227" s="2">
        <v>1.2814993568995601E-2</v>
      </c>
      <c r="G227" s="2">
        <v>3.02234534697704</v>
      </c>
    </row>
    <row r="228" spans="1:7">
      <c r="A228" s="2">
        <v>227</v>
      </c>
      <c r="B228" s="2">
        <v>0.67510312795639005</v>
      </c>
      <c r="C228" s="2">
        <v>1.1358937680983901E-2</v>
      </c>
      <c r="D228" s="2">
        <v>3.06111450945349</v>
      </c>
      <c r="E228" s="2">
        <v>0.61472750827670097</v>
      </c>
      <c r="F228" s="2">
        <v>-2.89033172696306E-3</v>
      </c>
      <c r="G228" s="2">
        <v>2.7449544377863799</v>
      </c>
    </row>
    <row r="229" spans="1:7">
      <c r="A229" s="2">
        <v>228</v>
      </c>
      <c r="B229" s="2">
        <v>0.52366305390993695</v>
      </c>
      <c r="C229" s="2">
        <v>1.86125318550362E-2</v>
      </c>
      <c r="D229" s="2">
        <v>2.94398425209683</v>
      </c>
      <c r="E229" s="2">
        <v>0.175893334671854</v>
      </c>
      <c r="F229" s="2">
        <v>1.1223474558605E-2</v>
      </c>
      <c r="G229" s="2">
        <v>2.9297897899012399</v>
      </c>
    </row>
    <row r="230" spans="1:7">
      <c r="A230" s="2">
        <v>229</v>
      </c>
      <c r="B230" s="2">
        <v>0.79536535590887003</v>
      </c>
      <c r="C230" s="2">
        <v>1.1225321751488101E-2</v>
      </c>
      <c r="D230" s="2">
        <v>2.8255583006153602</v>
      </c>
      <c r="E230" s="2">
        <v>0.20888487994670801</v>
      </c>
      <c r="F230" s="2">
        <v>1.38454404065058E-3</v>
      </c>
      <c r="G230" s="2">
        <v>3.2003549114354</v>
      </c>
    </row>
    <row r="231" spans="1:7" hidden="1">
      <c r="A231" s="2">
        <v>230</v>
      </c>
      <c r="B231" s="2">
        <v>0.51572276279330198</v>
      </c>
      <c r="C231" s="2">
        <v>2.03929557640911E-2</v>
      </c>
      <c r="D231" s="2">
        <v>3.2475350280887501</v>
      </c>
      <c r="E231" s="2">
        <v>0</v>
      </c>
      <c r="F231" s="2">
        <v>0</v>
      </c>
      <c r="G231" s="2">
        <v>0</v>
      </c>
    </row>
    <row r="232" spans="1:7">
      <c r="A232" s="2">
        <v>231</v>
      </c>
      <c r="B232" s="2">
        <v>0.73919690648714698</v>
      </c>
      <c r="C232" s="2">
        <v>3.0257114574867498E-3</v>
      </c>
      <c r="D232" s="2">
        <v>3.1590934834173598</v>
      </c>
      <c r="E232" s="2">
        <v>7.1240209043025901E-2</v>
      </c>
      <c r="F232" s="2">
        <v>4.3781857262672396E-3</v>
      </c>
      <c r="G232" s="2">
        <v>1.7975936863047199</v>
      </c>
    </row>
    <row r="233" spans="1:7">
      <c r="A233" s="2">
        <v>232</v>
      </c>
      <c r="B233" s="2">
        <v>0.64365874727566996</v>
      </c>
      <c r="C233" s="2">
        <v>2.3408149834022E-2</v>
      </c>
      <c r="D233" s="2">
        <v>3.11755764644486</v>
      </c>
      <c r="E233" s="2">
        <v>0.314400725066661</v>
      </c>
      <c r="F233" s="2">
        <v>1.29784372821912E-2</v>
      </c>
      <c r="G233" s="2">
        <v>3.1968680305664399</v>
      </c>
    </row>
    <row r="234" spans="1:7" hidden="1">
      <c r="A234" s="2">
        <v>233</v>
      </c>
      <c r="B234" s="2">
        <v>0.84539265632629301</v>
      </c>
      <c r="C234" s="2">
        <v>1.6882590158071399E-2</v>
      </c>
      <c r="D234" s="2">
        <v>3.0848386779814598</v>
      </c>
      <c r="E234" s="2">
        <v>0</v>
      </c>
      <c r="F234" s="2">
        <v>0</v>
      </c>
      <c r="G234" s="2">
        <v>0</v>
      </c>
    </row>
    <row r="235" spans="1:7">
      <c r="A235" s="2">
        <v>234</v>
      </c>
      <c r="B235" s="2">
        <v>0.88019870221614804</v>
      </c>
      <c r="C235" s="2">
        <v>9.7455901750915699E-3</v>
      </c>
      <c r="D235" s="2">
        <v>2.9990699459694299</v>
      </c>
      <c r="E235" s="2">
        <v>0.518626749515533</v>
      </c>
      <c r="F235" s="2">
        <v>1.52922547227802E-2</v>
      </c>
      <c r="G235" s="2">
        <v>3.33340196642652</v>
      </c>
    </row>
    <row r="236" spans="1:7">
      <c r="A236" s="2">
        <v>235</v>
      </c>
      <c r="B236" s="2">
        <v>0.892526134848594</v>
      </c>
      <c r="C236" s="2">
        <v>2.66663927648285E-2</v>
      </c>
      <c r="D236" s="2">
        <v>3.25146549737716</v>
      </c>
      <c r="E236" s="2">
        <v>0.49007025361061002</v>
      </c>
      <c r="F236" s="2">
        <v>1.33271856643171E-2</v>
      </c>
      <c r="G236" s="2">
        <v>2.28646492016787</v>
      </c>
    </row>
    <row r="237" spans="1:7">
      <c r="A237" s="2">
        <v>236</v>
      </c>
      <c r="B237" s="2">
        <v>0.93348755836486796</v>
      </c>
      <c r="C237" s="2">
        <v>4.65166800205301E-3</v>
      </c>
      <c r="D237" s="2">
        <v>2.9644975195280598</v>
      </c>
      <c r="E237" s="2">
        <v>0.70909081101417504</v>
      </c>
      <c r="F237" s="2">
        <v>7.4105272806377796E-3</v>
      </c>
      <c r="G237" s="2">
        <v>2.8888829444367001</v>
      </c>
    </row>
    <row r="238" spans="1:7">
      <c r="A238" s="2">
        <v>237</v>
      </c>
      <c r="B238" s="2">
        <v>0.48963394016027401</v>
      </c>
      <c r="C238" s="2">
        <v>4.10656598319233E-3</v>
      </c>
      <c r="D238" s="2">
        <v>2.8438680061851902</v>
      </c>
      <c r="E238" s="2">
        <v>0.28716373443603499</v>
      </c>
      <c r="F238" s="2">
        <v>8.6450566565368092E-3</v>
      </c>
      <c r="G238" s="2">
        <v>3.1698163972852602</v>
      </c>
    </row>
    <row r="239" spans="1:7" hidden="1">
      <c r="A239" s="2">
        <v>238</v>
      </c>
      <c r="B239" s="2">
        <v>0.73031851053237895</v>
      </c>
      <c r="C239" s="2">
        <v>1.16071488065152E-2</v>
      </c>
      <c r="D239" s="2">
        <v>2.92837013437628</v>
      </c>
      <c r="E239" s="2">
        <v>0</v>
      </c>
      <c r="F239" s="2">
        <v>0</v>
      </c>
      <c r="G239" s="2">
        <v>0</v>
      </c>
    </row>
    <row r="240" spans="1:7">
      <c r="A240" s="2">
        <v>239</v>
      </c>
      <c r="B240" s="2">
        <v>0.66494542360305697</v>
      </c>
      <c r="C240" s="2">
        <v>-1.0547388163820001E-2</v>
      </c>
      <c r="D240" s="2">
        <v>2.9541850193660202</v>
      </c>
      <c r="E240" s="2">
        <v>5.3677994757890701E-2</v>
      </c>
      <c r="F240" s="2">
        <v>7.63335140742071E-3</v>
      </c>
      <c r="G240" s="2">
        <v>1.83461075115454</v>
      </c>
    </row>
    <row r="241" spans="1:7">
      <c r="A241" s="2">
        <v>240</v>
      </c>
      <c r="B241" s="2">
        <v>0.74394979700446096</v>
      </c>
      <c r="C241" s="2">
        <v>-6.4071959087664797E-3</v>
      </c>
      <c r="D241" s="2">
        <v>2.9421762546808901</v>
      </c>
      <c r="E241" s="2">
        <v>0.62564304471015897</v>
      </c>
      <c r="F241" s="2">
        <v>-5.5035116541013397E-4</v>
      </c>
      <c r="G241" s="2">
        <v>2.8638573439064099</v>
      </c>
    </row>
    <row r="242" spans="1:7">
      <c r="A242" s="2">
        <v>241</v>
      </c>
      <c r="B242" s="2">
        <v>0.63520818948745705</v>
      </c>
      <c r="C242" s="2">
        <v>2.97351710775819E-2</v>
      </c>
      <c r="D242" s="2">
        <v>3.0245022213190098</v>
      </c>
      <c r="E242" s="2">
        <v>0.61294464394450099</v>
      </c>
      <c r="F242" s="2">
        <v>2.12507326250259E-2</v>
      </c>
      <c r="G242" s="2">
        <v>2.6212007418842198</v>
      </c>
    </row>
    <row r="243" spans="1:7">
      <c r="A243" s="2">
        <v>242</v>
      </c>
      <c r="B243" s="2">
        <v>0.78021714836359002</v>
      </c>
      <c r="C243" s="2">
        <v>3.1665855597549898E-2</v>
      </c>
      <c r="D243" s="2">
        <v>3.23261469400641</v>
      </c>
      <c r="E243" s="2">
        <v>6.2956199049949604E-2</v>
      </c>
      <c r="F243" s="2">
        <v>1.37884564083883E-2</v>
      </c>
      <c r="G243" s="2">
        <v>2.4886464834763902</v>
      </c>
    </row>
    <row r="244" spans="1:7">
      <c r="A244" s="2">
        <v>243</v>
      </c>
      <c r="B244" s="2">
        <v>0.90279847383499101</v>
      </c>
      <c r="C244" s="2">
        <v>3.00874248640337E-2</v>
      </c>
      <c r="D244" s="2">
        <v>3.2330073595815301</v>
      </c>
      <c r="E244" s="2">
        <v>0.46561407670378602</v>
      </c>
      <c r="F244" s="2">
        <v>8.5283669027911204E-3</v>
      </c>
      <c r="G244" s="2">
        <v>2.9232960758119799</v>
      </c>
    </row>
    <row r="245" spans="1:7">
      <c r="A245" s="2">
        <v>244</v>
      </c>
      <c r="B245" s="2">
        <v>0.67909420281648603</v>
      </c>
      <c r="C245" s="2">
        <v>2.0376157764880599E-2</v>
      </c>
      <c r="D245" s="2">
        <v>3.28592868002396</v>
      </c>
      <c r="E245" s="2">
        <v>0.56441405415534895</v>
      </c>
      <c r="F245" s="2">
        <v>2.2447361868280702E-3</v>
      </c>
      <c r="G245" s="2">
        <v>3.62021112634172</v>
      </c>
    </row>
    <row r="246" spans="1:7">
      <c r="A246" s="2">
        <v>245</v>
      </c>
      <c r="B246" s="2">
        <v>0.83348040580749505</v>
      </c>
      <c r="C246" s="2">
        <v>-1.20310728935393E-2</v>
      </c>
      <c r="D246" s="2">
        <v>3.1335692673170601</v>
      </c>
      <c r="E246" s="2">
        <v>0.50310861070950796</v>
      </c>
      <c r="F246" s="2">
        <v>5.9211059164934899E-3</v>
      </c>
      <c r="G246" s="2">
        <v>3.2442850721644101</v>
      </c>
    </row>
    <row r="247" spans="1:7">
      <c r="A247" s="2">
        <v>246</v>
      </c>
      <c r="B247" s="2">
        <v>0.84272604435682297</v>
      </c>
      <c r="C247" s="2">
        <v>6.8580750023765598E-3</v>
      </c>
      <c r="D247" s="2">
        <v>3.1653270582363899</v>
      </c>
      <c r="E247" s="2">
        <v>0.62012779712677002</v>
      </c>
      <c r="F247" s="2">
        <v>5.8512726342030397E-4</v>
      </c>
      <c r="G247" s="2">
        <v>3.2451173944264902</v>
      </c>
    </row>
    <row r="248" spans="1:7" hidden="1">
      <c r="A248" s="2">
        <v>247</v>
      </c>
      <c r="B248" s="2">
        <v>0.22747305780649099</v>
      </c>
      <c r="C248" s="2">
        <v>3.4660769747018698E-2</v>
      </c>
      <c r="D248" s="2">
        <v>2.9331098010145502</v>
      </c>
      <c r="E248" s="2">
        <v>0</v>
      </c>
      <c r="F248" s="2">
        <v>0</v>
      </c>
      <c r="G248" s="2">
        <v>0</v>
      </c>
    </row>
    <row r="249" spans="1:7">
      <c r="A249" s="2">
        <v>248</v>
      </c>
      <c r="B249" s="2">
        <v>0.838746897876262</v>
      </c>
      <c r="C249" s="2">
        <v>-1.33747261910839E-2</v>
      </c>
      <c r="D249" s="2">
        <v>3.2560873702780202</v>
      </c>
      <c r="E249" s="2">
        <v>0.92265005111694298</v>
      </c>
      <c r="F249" s="2">
        <v>1.9740537086944999E-2</v>
      </c>
      <c r="G249" s="2">
        <v>3.2270153511341602</v>
      </c>
    </row>
    <row r="250" spans="1:7">
      <c r="A250" s="2">
        <v>249</v>
      </c>
      <c r="B250" s="2">
        <v>0.79436973482370299</v>
      </c>
      <c r="C250" s="2">
        <v>3.9497373816125801E-3</v>
      </c>
      <c r="D250" s="2">
        <v>3.0137776454334899</v>
      </c>
      <c r="E250" s="2">
        <v>0.78023434281349102</v>
      </c>
      <c r="F250" s="2">
        <v>-5.8584427733581598E-3</v>
      </c>
      <c r="G250" s="2">
        <v>3.1427014932402599</v>
      </c>
    </row>
    <row r="251" spans="1:7" hidden="1">
      <c r="A251" s="2">
        <v>250</v>
      </c>
      <c r="B251" s="2">
        <v>0.61718523502349798</v>
      </c>
      <c r="C251" s="2">
        <v>9.2759405353177692E-3</v>
      </c>
      <c r="D251" s="2">
        <v>3.17447247430131</v>
      </c>
      <c r="E251" s="2">
        <v>0</v>
      </c>
      <c r="F251" s="2">
        <v>0</v>
      </c>
      <c r="G251" s="2">
        <v>0</v>
      </c>
    </row>
    <row r="252" spans="1:7">
      <c r="A252" s="2">
        <v>251</v>
      </c>
      <c r="B252" s="2">
        <v>0.47694109380245198</v>
      </c>
      <c r="C252" s="2">
        <v>3.0095679608712299E-2</v>
      </c>
      <c r="D252" s="2">
        <v>2.9653447634144601</v>
      </c>
      <c r="E252" s="2">
        <v>0.53709324200948005</v>
      </c>
      <c r="F252" s="2">
        <v>1.24908618067386E-2</v>
      </c>
      <c r="G252" s="2">
        <v>2.6127456850395698</v>
      </c>
    </row>
    <row r="253" spans="1:7">
      <c r="A253" s="2">
        <v>252</v>
      </c>
      <c r="B253" s="2">
        <v>0.71733929030597199</v>
      </c>
      <c r="C253" s="2">
        <v>-3.0523452941800099E-2</v>
      </c>
      <c r="D253" s="2">
        <v>3.07261554797741</v>
      </c>
      <c r="E253" s="2">
        <v>0.40592068433761502</v>
      </c>
      <c r="F253" s="2">
        <v>1.25418226160949E-2</v>
      </c>
      <c r="G253" s="2">
        <v>3.00145534584103</v>
      </c>
    </row>
    <row r="254" spans="1:7">
      <c r="A254" s="2">
        <v>253</v>
      </c>
      <c r="B254" s="2">
        <v>0.82859355211257901</v>
      </c>
      <c r="C254" s="2">
        <v>-6.2281849554430798E-4</v>
      </c>
      <c r="D254" s="2">
        <v>2.9799930084072099</v>
      </c>
      <c r="E254" s="2">
        <v>0.85862257083256999</v>
      </c>
      <c r="F254" s="2">
        <v>2.1597803933701601E-2</v>
      </c>
      <c r="G254" s="2">
        <v>3.06309455909309</v>
      </c>
    </row>
    <row r="255" spans="1:7" hidden="1">
      <c r="A255" s="2">
        <v>254</v>
      </c>
      <c r="B255" s="2">
        <v>0.730927914381027</v>
      </c>
      <c r="C255" s="2">
        <v>2.5035756943421902E-3</v>
      </c>
      <c r="D255" s="2">
        <v>3.2961237417381399</v>
      </c>
      <c r="E255" s="2">
        <v>0</v>
      </c>
      <c r="F255" s="2">
        <v>0</v>
      </c>
      <c r="G255" s="2">
        <v>0</v>
      </c>
    </row>
    <row r="256" spans="1:7">
      <c r="A256" s="2">
        <v>255</v>
      </c>
      <c r="B256" s="2">
        <v>0.42470008134841902</v>
      </c>
      <c r="C256" s="2">
        <v>5.2700585785197797E-2</v>
      </c>
      <c r="D256" s="2">
        <v>2.4611392495922502</v>
      </c>
      <c r="E256" s="2">
        <v>0.68410165607929196</v>
      </c>
      <c r="F256" s="2">
        <v>-3.47010410862669E-3</v>
      </c>
      <c r="G256" s="2">
        <v>2.34082101086651</v>
      </c>
    </row>
    <row r="257" spans="1:7">
      <c r="A257" s="2">
        <v>256</v>
      </c>
      <c r="B257" s="2">
        <v>0.47189372777938798</v>
      </c>
      <c r="C257" s="2">
        <v>5.2063815851326398E-3</v>
      </c>
      <c r="D257" s="2">
        <v>3.0832520042792302</v>
      </c>
      <c r="E257" s="2">
        <v>8.8209867477416895E-2</v>
      </c>
      <c r="F257" s="2">
        <v>8.6656967223678293E-3</v>
      </c>
      <c r="G257" s="2">
        <v>2.45079806581469</v>
      </c>
    </row>
    <row r="258" spans="1:7">
      <c r="A258" s="2">
        <v>257</v>
      </c>
      <c r="B258" s="2">
        <v>0.810750812292099</v>
      </c>
      <c r="C258" s="2">
        <v>-9.5736267450531303E-3</v>
      </c>
      <c r="D258" s="2">
        <v>3.2492727104028298</v>
      </c>
      <c r="E258" s="2">
        <v>0.57268900424241997</v>
      </c>
      <c r="F258" s="2">
        <v>4.61133503369026E-3</v>
      </c>
      <c r="G258" s="2">
        <v>2.9585675806574701</v>
      </c>
    </row>
    <row r="259" spans="1:7">
      <c r="A259" s="2">
        <v>258</v>
      </c>
      <c r="B259" s="2">
        <v>0.75878291577100698</v>
      </c>
      <c r="C259" s="2">
        <v>1.0433040424574699E-2</v>
      </c>
      <c r="D259" s="2">
        <v>3.2091694947492901</v>
      </c>
      <c r="E259" s="2">
        <v>0.51101675629615695</v>
      </c>
      <c r="F259" s="2">
        <v>8.1971450253703795E-4</v>
      </c>
      <c r="G259" s="2">
        <v>2.91978859687512</v>
      </c>
    </row>
    <row r="260" spans="1:7" hidden="1">
      <c r="A260" s="2">
        <v>259</v>
      </c>
      <c r="B260" s="2">
        <v>0.677877032756805</v>
      </c>
      <c r="C260" s="2">
        <v>2.2757171010792301E-2</v>
      </c>
      <c r="D260" s="2">
        <v>3.22497256532905</v>
      </c>
      <c r="E260" s="2">
        <v>0</v>
      </c>
      <c r="F260" s="2">
        <v>0</v>
      </c>
      <c r="G260" s="2">
        <v>0</v>
      </c>
    </row>
    <row r="261" spans="1:7">
      <c r="A261" s="2">
        <v>260</v>
      </c>
      <c r="B261" s="2">
        <v>0.59555613001187602</v>
      </c>
      <c r="C261" s="2">
        <v>-7.9664360628539602E-3</v>
      </c>
      <c r="D261" s="2">
        <v>3.1421550406640701</v>
      </c>
      <c r="E261" s="2">
        <v>0.48933626338839498</v>
      </c>
      <c r="F261" s="2">
        <v>1.28375300870651E-2</v>
      </c>
      <c r="G261" s="2">
        <v>2.2563711738816599</v>
      </c>
    </row>
    <row r="262" spans="1:7">
      <c r="A262" s="2">
        <v>261</v>
      </c>
      <c r="B262" s="2">
        <v>0.76877951249480203</v>
      </c>
      <c r="C262" s="2">
        <v>6.9248102648344901E-4</v>
      </c>
      <c r="D262" s="2">
        <v>2.8895631203240599</v>
      </c>
      <c r="E262" s="2">
        <v>0.35176260396838099</v>
      </c>
      <c r="F262" s="2">
        <v>3.09395769214732E-2</v>
      </c>
      <c r="G262" s="2">
        <v>3.2539552622359</v>
      </c>
    </row>
    <row r="263" spans="1:7">
      <c r="A263" s="2">
        <v>262</v>
      </c>
      <c r="B263" s="2">
        <v>0.28392077982425601</v>
      </c>
      <c r="C263" s="2">
        <v>2.2686392186415098E-2</v>
      </c>
      <c r="D263" s="2">
        <v>3.1883826194538498</v>
      </c>
      <c r="E263" s="2">
        <v>9.6570275723934104E-2</v>
      </c>
      <c r="F263" s="2">
        <v>1.8036228935915902E-2</v>
      </c>
      <c r="G263" s="2">
        <v>1.99700566556244</v>
      </c>
    </row>
    <row r="264" spans="1:7" hidden="1">
      <c r="A264" s="2">
        <v>263</v>
      </c>
      <c r="B264" s="2">
        <v>0.59352524578571297</v>
      </c>
      <c r="C264" s="2">
        <v>1.2368471106626E-2</v>
      </c>
      <c r="D264" s="2">
        <v>3.2299930061248001</v>
      </c>
      <c r="E264" s="2">
        <v>0</v>
      </c>
      <c r="F264" s="2">
        <v>0</v>
      </c>
      <c r="G264" s="2">
        <v>0</v>
      </c>
    </row>
    <row r="265" spans="1:7">
      <c r="A265" s="2">
        <v>264</v>
      </c>
      <c r="B265" s="2">
        <v>0.78101498484611498</v>
      </c>
      <c r="C265" s="2">
        <v>-2.2558812873633301E-3</v>
      </c>
      <c r="D265" s="2">
        <v>3.1725883313776602</v>
      </c>
      <c r="E265" s="2">
        <v>0.67011573910713196</v>
      </c>
      <c r="F265" s="2">
        <v>-6.12178146164943E-4</v>
      </c>
      <c r="G265" s="2">
        <v>2.7849029323066099</v>
      </c>
    </row>
    <row r="266" spans="1:7">
      <c r="A266" s="2">
        <v>265</v>
      </c>
      <c r="B266" s="2">
        <v>0.59020180503527297</v>
      </c>
      <c r="C266" s="2">
        <v>1.3684098966763199E-2</v>
      </c>
      <c r="D266" s="2">
        <v>3.078968627988</v>
      </c>
      <c r="E266" s="2">
        <v>0.42548074759542898</v>
      </c>
      <c r="F266" s="2">
        <v>1.0478389660128099E-2</v>
      </c>
      <c r="G266" s="2">
        <v>3.2812053853033798</v>
      </c>
    </row>
    <row r="267" spans="1:7" hidden="1">
      <c r="A267" s="2">
        <v>266</v>
      </c>
      <c r="B267" s="2">
        <v>0.75255048274993896</v>
      </c>
      <c r="C267" s="2">
        <v>-1.07096219292155E-2</v>
      </c>
      <c r="D267" s="2">
        <v>3.1945808022435802</v>
      </c>
      <c r="E267" s="2">
        <v>0</v>
      </c>
      <c r="F267" s="2">
        <v>0</v>
      </c>
      <c r="G267" s="2">
        <v>0</v>
      </c>
    </row>
    <row r="268" spans="1:7">
      <c r="A268" s="2">
        <v>267</v>
      </c>
      <c r="B268" s="2">
        <v>0.66427156329154902</v>
      </c>
      <c r="C268" s="2">
        <v>-2.8308375043012E-2</v>
      </c>
      <c r="D268" s="2">
        <v>3.0772828371280898</v>
      </c>
      <c r="E268" s="2">
        <v>0.108440026640892</v>
      </c>
      <c r="F268" s="2">
        <v>1.4446062578301101E-2</v>
      </c>
      <c r="G268" s="2">
        <v>1.9451348598007501</v>
      </c>
    </row>
    <row r="269" spans="1:7" hidden="1">
      <c r="A269" s="2">
        <v>268</v>
      </c>
      <c r="B269" s="2">
        <v>0.52012043694655097</v>
      </c>
      <c r="C269" s="2">
        <v>2.5728871437188699E-2</v>
      </c>
      <c r="D269" s="2">
        <v>3.1504347829624502</v>
      </c>
      <c r="E269" s="2">
        <v>0</v>
      </c>
      <c r="F269" s="2">
        <v>0</v>
      </c>
      <c r="G269" s="2">
        <v>0</v>
      </c>
    </row>
    <row r="270" spans="1:7">
      <c r="A270" s="2">
        <v>269</v>
      </c>
      <c r="B270" s="2">
        <v>0.857765913009643</v>
      </c>
      <c r="C270" s="2">
        <v>1.55661802438622E-2</v>
      </c>
      <c r="D270" s="2">
        <v>2.90169466360706</v>
      </c>
      <c r="E270" s="2">
        <v>0.26396575445930098</v>
      </c>
      <c r="F270" s="2">
        <v>1.0050727990333E-2</v>
      </c>
      <c r="G270" s="2">
        <v>2.9682671945749899</v>
      </c>
    </row>
    <row r="271" spans="1:7">
      <c r="A271" s="2">
        <v>270</v>
      </c>
      <c r="B271" s="2">
        <v>0.83687880635261502</v>
      </c>
      <c r="C271" s="2">
        <v>3.07734263624279E-2</v>
      </c>
      <c r="D271" s="2">
        <v>3.1934485201224501</v>
      </c>
      <c r="E271" s="2">
        <v>0.31999330408871102</v>
      </c>
      <c r="F271" s="2">
        <v>8.6864898576219894E-3</v>
      </c>
      <c r="G271" s="2">
        <v>2.8544218449824399</v>
      </c>
    </row>
  </sheetData>
  <autoFilter ref="A1:G271" xr:uid="{EC23FC95-0A9A-3140-A7F3-93D8E7B6A2F6}">
    <filterColumn colId="4">
      <filters>
        <filter val="0.049650852"/>
        <filter val="0.053677995"/>
        <filter val="0.055080205"/>
        <filter val="0.058746267"/>
        <filter val="0.060963564"/>
        <filter val="0.061959922"/>
        <filter val="0.062901199"/>
        <filter val="0.062956199"/>
        <filter val="0.06565699"/>
        <filter val="0.066406488"/>
        <filter val="0.068241544"/>
        <filter val="0.071240209"/>
        <filter val="0.073560886"/>
        <filter val="0.076544695"/>
        <filter val="0.077858403"/>
        <filter val="0.080336317"/>
        <filter val="0.085432656"/>
        <filter val="0.088209867"/>
        <filter val="0.088940024"/>
        <filter val="0.089927174"/>
        <filter val="0.096570276"/>
        <filter val="0.097323999"/>
        <filter val="0.108440027"/>
        <filter val="0.128569588"/>
        <filter val="0.135189716"/>
        <filter val="0.140937582"/>
        <filter val="0.160325751"/>
        <filter val="0.164996061"/>
        <filter val="0.16529892"/>
        <filter val="0.167777613"/>
        <filter val="0.171568662"/>
        <filter val="0.175893335"/>
        <filter val="0.176691622"/>
        <filter val="0.179115757"/>
        <filter val="0.185535029"/>
        <filter val="0.198900163"/>
        <filter val="0.205551331"/>
        <filter val="0.20888488"/>
        <filter val="0.218915366"/>
        <filter val="0.232767399"/>
        <filter val="0.240045667"/>
        <filter val="0.25114977"/>
        <filter val="0.256025121"/>
        <filter val="0.260228243"/>
        <filter val="0.263965754"/>
        <filter val="0.266304846"/>
        <filter val="0.271527608"/>
        <filter val="0.279232927"/>
        <filter val="0.287163734"/>
        <filter val="0.290525258"/>
        <filter val="0.297915027"/>
        <filter val="0.302718945"/>
        <filter val="0.304329604"/>
        <filter val="0.314400725"/>
        <filter val="0.319628267"/>
        <filter val="0.319993304"/>
        <filter val="0.330003694"/>
        <filter val="0.33105775"/>
        <filter val="0.351762604"/>
        <filter val="0.352621814"/>
        <filter val="0.363225326"/>
        <filter val="0.367313698"/>
        <filter val="0.369216383"/>
        <filter val="0.381974712"/>
        <filter val="0.393325686"/>
        <filter val="0.395924829"/>
        <filter val="0.401465872"/>
        <filter val="0.405920684"/>
        <filter val="0.407837987"/>
        <filter val="0.415520955"/>
        <filter val="0.416180318"/>
        <filter val="0.41654776"/>
        <filter val="0.418802986"/>
        <filter val="0.42128139"/>
        <filter val="0.423429053"/>
        <filter val="0.423922643"/>
        <filter val="0.424922962"/>
        <filter val="0.425480748"/>
        <filter val="0.434540665"/>
        <filter val="0.436009724"/>
        <filter val="0.436857544"/>
        <filter val="0.442534698"/>
        <filter val="0.449147007"/>
        <filter val="0.463598981"/>
        <filter val="0.465614077"/>
        <filter val="0.466169316"/>
        <filter val="0.470719192"/>
        <filter val="0.479424994"/>
        <filter val="0.481252877"/>
        <filter val="0.482420415"/>
        <filter val="0.482662755"/>
        <filter val="0.489336263"/>
        <filter val="0.490070254"/>
        <filter val="0.490365793"/>
        <filter val="0.491944885"/>
        <filter val="0.492331937"/>
        <filter val="0.493467333"/>
        <filter val="0.493643317"/>
        <filter val="0.498253547"/>
        <filter val="0.499400099"/>
        <filter val="0.503076342"/>
        <filter val="0.503108611"/>
        <filter val="0.506809273"/>
        <filter val="0.507718779"/>
        <filter val="0.508237774"/>
        <filter val="0.511016756"/>
        <filter val="0.512244264"/>
        <filter val="0.513703456"/>
        <filter val="0.513808455"/>
        <filter val="0.514199726"/>
        <filter val="0.516959447"/>
        <filter val="0.517154551"/>
        <filter val="0.51862675"/>
        <filter val="0.519324465"/>
        <filter val="0.519875514"/>
        <filter val="0.520607149"/>
        <filter val="0.522000417"/>
        <filter val="0.522027198"/>
        <filter val="0.524145104"/>
        <filter val="0.524255335"/>
        <filter val="0.52607435"/>
        <filter val="0.53255827"/>
        <filter val="0.537093242"/>
        <filter val="0.540812995"/>
        <filter val="0.543840257"/>
        <filter val="0.544670518"/>
        <filter val="0.548633317"/>
        <filter val="0.54943375"/>
        <filter val="0.551242948"/>
        <filter val="0.557285951"/>
        <filter val="0.564414054"/>
        <filter val="0.566042647"/>
        <filter val="0.572689004"/>
        <filter val="0.572836156"/>
        <filter val="0.57411959"/>
        <filter val="0.583996318"/>
        <filter val="0.589712226"/>
        <filter val="0.592183486"/>
        <filter val="0.592885505"/>
        <filter val="0.593103233"/>
        <filter val="0.593173523"/>
        <filter val="0.593749054"/>
        <filter val="0.594213275"/>
        <filter val="0.594618876"/>
        <filter val="0.595212743"/>
        <filter val="0.595437061"/>
        <filter val="0.597178534"/>
        <filter val="0.604902342"/>
        <filter val="0.606237337"/>
        <filter val="0.609610587"/>
        <filter val="0.610517859"/>
        <filter val="0.612944644"/>
        <filter val="0.614111871"/>
        <filter val="0.614727508"/>
        <filter val="0.61771984"/>
        <filter val="0.619046507"/>
        <filter val="0.619072547"/>
        <filter val="0.619676698"/>
        <filter val="0.620127797"/>
        <filter val="0.625643045"/>
        <filter val="0.632013813"/>
        <filter val="0.644021571"/>
        <filter val="0.648509653"/>
        <filter val="0.64962665"/>
        <filter val="0.654749796"/>
        <filter val="0.663724508"/>
        <filter val="0.670115739"/>
        <filter val="0.671433747"/>
        <filter val="0.673971534"/>
        <filter val="0.676940322"/>
        <filter val="0.682890415"/>
        <filter val="0.684101656"/>
        <filter val="0.68857265"/>
        <filter val="0.689903575"/>
        <filter val="0.691644229"/>
        <filter val="0.69240348"/>
        <filter val="0.694065134"/>
        <filter val="0.701858872"/>
        <filter val="0.703650375"/>
        <filter val="0.707752446"/>
        <filter val="0.709090811"/>
        <filter val="0.72904405"/>
        <filter val="0.730640481"/>
        <filter val="0.732212186"/>
        <filter val="0.732241078"/>
        <filter val="0.767191112"/>
        <filter val="0.775148645"/>
        <filter val="0.780234343"/>
        <filter val="0.781746924"/>
        <filter val="0.785906708"/>
        <filter val="0.798038423"/>
        <filter val="0.812963471"/>
        <filter val="0.821524501"/>
        <filter val="0.835539925"/>
        <filter val="0.83850652"/>
        <filter val="0.853841643"/>
        <filter val="0.857771114"/>
        <filter val="0.858622571"/>
        <filter val="0.909231683"/>
        <filter val="0.922650051"/>
        <filter val="0.963334739"/>
      </filters>
    </filterColumn>
  </autoFilter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C22E3-2E11-3B4F-8EC2-60EA0B6CB4D9}">
  <dimension ref="A1:AL207"/>
  <sheetViews>
    <sheetView tabSelected="1" topLeftCell="F68" zoomScale="68" workbookViewId="0">
      <selection activeCell="P90" sqref="P90"/>
    </sheetView>
  </sheetViews>
  <sheetFormatPr baseColWidth="10" defaultRowHeight="16"/>
  <cols>
    <col min="1" max="1" width="3.6640625" bestFit="1" customWidth="1"/>
    <col min="2" max="2" width="20.5" bestFit="1" customWidth="1"/>
    <col min="3" max="3" width="22" bestFit="1" customWidth="1"/>
    <col min="4" max="4" width="24.5" bestFit="1" customWidth="1"/>
    <col min="5" max="5" width="18.83203125" bestFit="1" customWidth="1"/>
    <col min="6" max="6" width="20.33203125" bestFit="1" customWidth="1"/>
    <col min="7" max="7" width="22.83203125" bestFit="1" customWidth="1"/>
    <col min="11" max="11" width="20.5" bestFit="1" customWidth="1"/>
    <col min="12" max="12" width="22" bestFit="1" customWidth="1"/>
    <col min="13" max="13" width="24.5" bestFit="1" customWidth="1"/>
    <col min="14" max="14" width="18.83203125" bestFit="1" customWidth="1"/>
    <col min="15" max="15" width="20.33203125" bestFit="1" customWidth="1"/>
    <col min="16" max="16" width="22.83203125" bestFit="1" customWidth="1"/>
    <col min="21" max="21" width="22.6640625" customWidth="1"/>
    <col min="36" max="36" width="20.83203125" customWidth="1"/>
  </cols>
  <sheetData>
    <row r="1" spans="1:2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27">
      <c r="A2" s="2">
        <v>1</v>
      </c>
      <c r="B2" s="2">
        <v>0.25122819840908001</v>
      </c>
      <c r="C2" s="2">
        <v>-3.2174216407518902E-3</v>
      </c>
      <c r="D2" s="2">
        <v>3.0517688873711899</v>
      </c>
      <c r="E2" s="2">
        <v>0.17911575734615301</v>
      </c>
      <c r="F2" s="2">
        <v>3.7647019719813102E-3</v>
      </c>
      <c r="G2" s="2">
        <v>1.8106698003407999</v>
      </c>
    </row>
    <row r="3" spans="1:27">
      <c r="A3" s="2">
        <v>2</v>
      </c>
      <c r="B3" s="2">
        <v>0.81983110904693601</v>
      </c>
      <c r="C3" s="2">
        <v>3.9215441597396797E-3</v>
      </c>
      <c r="D3" s="2">
        <v>2.9721997130476101</v>
      </c>
      <c r="E3" s="2">
        <v>0.17156866192817599</v>
      </c>
      <c r="F3" s="2">
        <v>1.8507754714646801E-2</v>
      </c>
      <c r="G3" s="2">
        <v>3.20248202402093</v>
      </c>
    </row>
    <row r="4" spans="1:27">
      <c r="A4" s="2">
        <v>3</v>
      </c>
      <c r="B4" s="2">
        <v>0.79077051579952196</v>
      </c>
      <c r="C4" s="2">
        <v>3.7752885278359198E-3</v>
      </c>
      <c r="D4" s="2">
        <v>3.0052722538879202</v>
      </c>
      <c r="E4" s="2">
        <v>0.39592482894658998</v>
      </c>
      <c r="F4" s="2">
        <v>7.3959954428577303E-3</v>
      </c>
      <c r="G4" s="2">
        <v>2.9681410524671299</v>
      </c>
    </row>
    <row r="5" spans="1:27">
      <c r="A5" s="2">
        <v>4</v>
      </c>
      <c r="B5" s="2">
        <v>0.91306115686893397</v>
      </c>
      <c r="C5" s="2">
        <v>1.45915629856396E-2</v>
      </c>
      <c r="D5" s="2">
        <v>3.2467659256269799</v>
      </c>
      <c r="E5" s="2">
        <v>0.78590670824050901</v>
      </c>
      <c r="F5" s="2">
        <v>1.3267352820594099E-2</v>
      </c>
      <c r="G5" s="2">
        <v>3.2279970884445901</v>
      </c>
    </row>
    <row r="6" spans="1:27">
      <c r="A6" s="2">
        <v>5</v>
      </c>
      <c r="B6" s="2">
        <v>0.89856956402460697</v>
      </c>
      <c r="C6" s="2">
        <v>7.4825981109787297E-3</v>
      </c>
      <c r="D6" s="2">
        <v>3.3764131410540998</v>
      </c>
      <c r="E6" s="2">
        <v>0.838506519794464</v>
      </c>
      <c r="F6" s="2">
        <v>-8.7911936095917305E-3</v>
      </c>
      <c r="G6" s="2">
        <v>3.1717467736497</v>
      </c>
    </row>
    <row r="7" spans="1:27">
      <c r="A7" s="2">
        <v>6</v>
      </c>
      <c r="B7" s="2">
        <v>0.74820980429649298</v>
      </c>
      <c r="C7" s="2">
        <v>2.22832228681864E-2</v>
      </c>
      <c r="D7" s="2">
        <v>3.17398285004142</v>
      </c>
      <c r="E7" s="2">
        <v>0.52414510399103098</v>
      </c>
      <c r="F7" s="2">
        <v>1.4428933689583001E-3</v>
      </c>
      <c r="G7" s="2">
        <v>2.0451354226868101</v>
      </c>
      <c r="K7" s="2" t="s">
        <v>1</v>
      </c>
      <c r="L7" s="2" t="s">
        <v>2</v>
      </c>
      <c r="M7" s="2" t="s">
        <v>3</v>
      </c>
      <c r="N7" s="2" t="s">
        <v>4</v>
      </c>
      <c r="O7" s="2" t="s">
        <v>5</v>
      </c>
      <c r="P7" s="2" t="s">
        <v>6</v>
      </c>
      <c r="V7" t="s">
        <v>1</v>
      </c>
      <c r="W7" t="s">
        <v>2</v>
      </c>
      <c r="X7" t="s">
        <v>3</v>
      </c>
      <c r="Y7" t="s">
        <v>4</v>
      </c>
      <c r="Z7" t="s">
        <v>5</v>
      </c>
      <c r="AA7" t="s">
        <v>6</v>
      </c>
    </row>
    <row r="8" spans="1:27">
      <c r="A8" s="2">
        <v>7</v>
      </c>
      <c r="B8" s="2">
        <v>0.84480773806571896</v>
      </c>
      <c r="C8" s="2">
        <v>-2.0446487805460802E-2</v>
      </c>
      <c r="D8" s="2">
        <v>2.9532397866337301</v>
      </c>
      <c r="E8" s="2">
        <v>5.8746267110109301E-2</v>
      </c>
      <c r="F8" s="2">
        <v>-7.3129635576663001E-4</v>
      </c>
      <c r="G8" s="2">
        <v>2.9279531555895901</v>
      </c>
      <c r="J8" t="s">
        <v>9</v>
      </c>
      <c r="K8" s="1">
        <f>MAX(B2:B207)</f>
        <v>0.96884086728095997</v>
      </c>
      <c r="L8" s="1">
        <f t="shared" ref="L8:P8" si="0">MAX(C2:C207)</f>
        <v>5.2700585785197797E-2</v>
      </c>
      <c r="M8" s="1">
        <f t="shared" si="0"/>
        <v>3.4391462395621599</v>
      </c>
      <c r="N8" s="1">
        <f t="shared" si="0"/>
        <v>0.96333473920822099</v>
      </c>
      <c r="O8" s="1">
        <f t="shared" si="0"/>
        <v>6.1114903822740901E-2</v>
      </c>
      <c r="P8" s="1">
        <f t="shared" si="0"/>
        <v>3.62021112634172</v>
      </c>
      <c r="U8" t="s">
        <v>17</v>
      </c>
      <c r="V8">
        <v>0.96884086728095997</v>
      </c>
      <c r="W8">
        <v>5.2700585785197797E-2</v>
      </c>
      <c r="X8">
        <v>3.4391462395621599</v>
      </c>
      <c r="Y8">
        <v>0.96333473920822099</v>
      </c>
      <c r="Z8">
        <v>6.1114903822740901E-2</v>
      </c>
      <c r="AA8">
        <v>3.62021112634172</v>
      </c>
    </row>
    <row r="9" spans="1:27">
      <c r="A9" s="2">
        <v>8</v>
      </c>
      <c r="B9" s="2">
        <v>0.77639907598495395</v>
      </c>
      <c r="C9" s="2">
        <v>-2.19026199613345E-2</v>
      </c>
      <c r="D9" s="2">
        <v>2.9884054081240699</v>
      </c>
      <c r="E9" s="2">
        <v>0.16499606147408399</v>
      </c>
      <c r="F9" s="2">
        <v>2.87678758624558E-2</v>
      </c>
      <c r="G9" s="2">
        <v>3.2519109929614101</v>
      </c>
      <c r="J9" t="s">
        <v>10</v>
      </c>
      <c r="K9" s="1">
        <f>MIN(B2:B207)</f>
        <v>0.21419134736060999</v>
      </c>
      <c r="L9" s="1">
        <f t="shared" ref="L9:P9" si="1">MIN(C2:C207)</f>
        <v>-3.33332680504465E-2</v>
      </c>
      <c r="M9" s="1">
        <f t="shared" si="1"/>
        <v>2.4611392495922502</v>
      </c>
      <c r="N9" s="1">
        <f t="shared" si="1"/>
        <v>4.9650851637125001E-2</v>
      </c>
      <c r="O9" s="1">
        <f t="shared" si="1"/>
        <v>-2.7250470156036301E-2</v>
      </c>
      <c r="P9" s="1">
        <f t="shared" si="1"/>
        <v>1.7975936863047199</v>
      </c>
      <c r="U9" t="s">
        <v>18</v>
      </c>
      <c r="V9">
        <v>0.21419134736060999</v>
      </c>
      <c r="W9">
        <v>-3.33332680504465E-2</v>
      </c>
      <c r="X9">
        <v>2.4611392495922502</v>
      </c>
      <c r="Y9">
        <v>4.9650851637125001E-2</v>
      </c>
      <c r="Z9">
        <v>-2.7250470156036301E-2</v>
      </c>
      <c r="AA9">
        <v>1.7975936863047199</v>
      </c>
    </row>
    <row r="10" spans="1:27">
      <c r="A10" s="2">
        <v>9</v>
      </c>
      <c r="B10" s="2">
        <v>0.80210686475038495</v>
      </c>
      <c r="C10" s="2">
        <v>5.818575670812E-3</v>
      </c>
      <c r="D10" s="2">
        <v>3.0369284918101802</v>
      </c>
      <c r="E10" s="2">
        <v>0.85777111351489999</v>
      </c>
      <c r="F10" s="2">
        <v>1.0687081366495601E-2</v>
      </c>
      <c r="G10" s="2">
        <v>3.0301913973071302</v>
      </c>
      <c r="J10" t="s">
        <v>11</v>
      </c>
      <c r="K10" s="1">
        <f>AVERAGE(B2:B207)</f>
        <v>0.72379493362038239</v>
      </c>
      <c r="L10" s="1">
        <f t="shared" ref="L10:P10" si="2">AVERAGE(C2:C207)</f>
        <v>7.9380096093595379E-3</v>
      </c>
      <c r="M10" s="1">
        <f t="shared" si="2"/>
        <v>3.1025654853026894</v>
      </c>
      <c r="N10" s="1">
        <f t="shared" si="2"/>
        <v>0.46211309560655955</v>
      </c>
      <c r="O10" s="1">
        <f t="shared" si="2"/>
        <v>7.0081478240453599E-3</v>
      </c>
      <c r="P10" s="1">
        <f t="shared" si="2"/>
        <v>2.8723621348158321</v>
      </c>
      <c r="U10" t="s">
        <v>19</v>
      </c>
      <c r="V10">
        <v>0.72379493362038239</v>
      </c>
      <c r="W10">
        <v>7.9380096093595379E-3</v>
      </c>
      <c r="X10">
        <v>3.1025654853026894</v>
      </c>
      <c r="Y10">
        <v>0.46211309560655955</v>
      </c>
      <c r="Z10">
        <v>7.0081478240453599E-3</v>
      </c>
      <c r="AA10">
        <v>2.8723621348158321</v>
      </c>
    </row>
    <row r="11" spans="1:27">
      <c r="A11" s="2">
        <v>10</v>
      </c>
      <c r="B11" s="2">
        <v>0.43796586990356401</v>
      </c>
      <c r="C11" s="2">
        <v>6.45451945243369E-3</v>
      </c>
      <c r="D11" s="2">
        <v>3.3464803487226198</v>
      </c>
      <c r="E11" s="2">
        <v>0.26022824272513301</v>
      </c>
      <c r="F11" s="2">
        <v>4.0918036718053897E-3</v>
      </c>
      <c r="G11" s="2">
        <v>2.91284449931273</v>
      </c>
      <c r="J11" t="s">
        <v>12</v>
      </c>
      <c r="K11">
        <f>_xlfn.STDEV.S(B2:B207)</f>
        <v>0.13778778591114804</v>
      </c>
      <c r="L11">
        <f t="shared" ref="L11:P11" si="3">_xlfn.STDEV.S(C2:C207)</f>
        <v>1.4522137629563106E-2</v>
      </c>
      <c r="M11">
        <f t="shared" si="3"/>
        <v>0.15411302296775778</v>
      </c>
      <c r="N11">
        <f t="shared" si="3"/>
        <v>0.22278912356556085</v>
      </c>
      <c r="O11">
        <f t="shared" si="3"/>
        <v>1.267286949679209E-2</v>
      </c>
      <c r="P11">
        <f t="shared" si="3"/>
        <v>0.40254758696892967</v>
      </c>
      <c r="U11" t="s">
        <v>20</v>
      </c>
      <c r="V11">
        <v>0.13778778591114804</v>
      </c>
      <c r="W11">
        <v>1.4522137629563106E-2</v>
      </c>
      <c r="X11">
        <v>0.15411302296775778</v>
      </c>
      <c r="Y11">
        <v>0.22278912356556085</v>
      </c>
      <c r="Z11">
        <v>1.267286949679209E-2</v>
      </c>
      <c r="AA11">
        <v>0.40254758696892967</v>
      </c>
    </row>
    <row r="12" spans="1:27">
      <c r="A12" s="2">
        <v>11</v>
      </c>
      <c r="B12" s="2">
        <v>0.84105057716369602</v>
      </c>
      <c r="C12" s="2">
        <v>1.3038514890268899E-3</v>
      </c>
      <c r="D12" s="2">
        <v>3.0812611281917501</v>
      </c>
      <c r="E12" s="2">
        <v>0.38197471201419803</v>
      </c>
      <c r="F12" s="2">
        <v>1.6714353508948499E-2</v>
      </c>
      <c r="G12" s="2">
        <v>2.8842996166705102</v>
      </c>
      <c r="J12" s="4" t="s">
        <v>7</v>
      </c>
      <c r="K12">
        <v>20</v>
      </c>
      <c r="L12">
        <v>20</v>
      </c>
      <c r="M12">
        <v>20</v>
      </c>
      <c r="N12">
        <v>20</v>
      </c>
      <c r="O12">
        <v>20</v>
      </c>
      <c r="P12">
        <v>20</v>
      </c>
    </row>
    <row r="13" spans="1:27">
      <c r="A13" s="2">
        <v>12</v>
      </c>
      <c r="B13" s="2">
        <v>0.80897893508275298</v>
      </c>
      <c r="C13" s="2">
        <v>-2.1669237646369699E-3</v>
      </c>
      <c r="D13" s="2">
        <v>3.0343796471918099</v>
      </c>
      <c r="E13" s="2">
        <v>0.51695944741368205</v>
      </c>
      <c r="F13" s="2">
        <v>-1.4370285447473201E-2</v>
      </c>
      <c r="G13" s="2">
        <v>3.1450921289970601</v>
      </c>
      <c r="J13" s="4" t="s">
        <v>8</v>
      </c>
      <c r="K13" s="1">
        <f>(K8-K9)/19</f>
        <v>3.9718395785281579E-2</v>
      </c>
      <c r="L13" s="1">
        <f t="shared" ref="L13:P13" si="4">(L8-L9)/19</f>
        <v>4.5280975702970683E-3</v>
      </c>
      <c r="M13" s="1">
        <f t="shared" si="4"/>
        <v>5.147405210367946E-2</v>
      </c>
      <c r="N13" s="1">
        <f t="shared" si="4"/>
        <v>4.808862566163663E-2</v>
      </c>
      <c r="O13" s="1">
        <f t="shared" si="4"/>
        <v>4.6508091567777467E-3</v>
      </c>
      <c r="P13" s="1">
        <f t="shared" si="4"/>
        <v>9.5927233686157895E-2</v>
      </c>
    </row>
    <row r="14" spans="1:27">
      <c r="A14" s="2">
        <v>14</v>
      </c>
      <c r="B14" s="2">
        <v>0.70136166457086802</v>
      </c>
      <c r="C14" s="2">
        <v>8.1714955593632493E-3</v>
      </c>
      <c r="D14" s="2">
        <v>2.8895271842642898</v>
      </c>
      <c r="E14" s="2">
        <v>8.89400243759155E-2</v>
      </c>
      <c r="F14" s="2">
        <v>1.1484745571614399E-2</v>
      </c>
      <c r="G14" s="2">
        <v>1.84683167549835</v>
      </c>
    </row>
    <row r="15" spans="1:27">
      <c r="A15" s="2">
        <v>18</v>
      </c>
      <c r="B15" s="2">
        <v>0.61812637249628699</v>
      </c>
      <c r="C15" s="2">
        <v>4.0651971592270401E-2</v>
      </c>
      <c r="D15" s="2">
        <v>3.2524532430351099</v>
      </c>
      <c r="E15" s="2">
        <v>0.33000369369983601</v>
      </c>
      <c r="F15" s="2">
        <v>1.7715507402561E-2</v>
      </c>
      <c r="G15" s="2">
        <v>2.5806821886629199</v>
      </c>
    </row>
    <row r="16" spans="1:27">
      <c r="A16" s="2">
        <v>20</v>
      </c>
      <c r="B16" s="2">
        <v>0.84660413861274697</v>
      </c>
      <c r="C16" s="2">
        <v>1.9421862993221201E-2</v>
      </c>
      <c r="D16" s="2">
        <v>3.2633516360584101</v>
      </c>
      <c r="E16" s="2">
        <v>0.57283615569273605</v>
      </c>
      <c r="F16" s="2">
        <v>-6.5227122059194897E-3</v>
      </c>
      <c r="G16" s="2">
        <v>3.0654204194792301</v>
      </c>
      <c r="V16" t="s">
        <v>17</v>
      </c>
      <c r="W16" t="s">
        <v>18</v>
      </c>
      <c r="X16" t="s">
        <v>19</v>
      </c>
      <c r="Y16" t="s">
        <v>20</v>
      </c>
    </row>
    <row r="17" spans="1:25">
      <c r="A17" s="2">
        <v>21</v>
      </c>
      <c r="B17" s="2">
        <v>0.73152713179588302</v>
      </c>
      <c r="C17" s="2">
        <v>2.0279820196484898E-2</v>
      </c>
      <c r="D17" s="2">
        <v>3.13584937559926</v>
      </c>
      <c r="E17" s="2">
        <v>0.29052525758743197</v>
      </c>
      <c r="F17" s="2">
        <v>1.43162684264979E-2</v>
      </c>
      <c r="G17" s="2">
        <v>3.1293138617654201</v>
      </c>
      <c r="U17" t="s">
        <v>1</v>
      </c>
      <c r="V17">
        <v>0.96884086728095997</v>
      </c>
      <c r="W17">
        <v>0.21419134736060999</v>
      </c>
      <c r="X17">
        <v>0.72379493362038239</v>
      </c>
      <c r="Y17">
        <v>0.13778778591114804</v>
      </c>
    </row>
    <row r="18" spans="1:25">
      <c r="A18" s="2">
        <v>22</v>
      </c>
      <c r="B18" s="2">
        <v>0.53998186290264105</v>
      </c>
      <c r="C18" s="2">
        <v>-1.6117281242003401E-3</v>
      </c>
      <c r="D18" s="2">
        <v>3.2741135278184101</v>
      </c>
      <c r="E18" s="2">
        <v>0.54081299528479498</v>
      </c>
      <c r="F18" s="2">
        <v>2.4282689498157501E-2</v>
      </c>
      <c r="G18" s="2">
        <v>3.1547150171238001</v>
      </c>
      <c r="J18" t="s">
        <v>13</v>
      </c>
      <c r="U18" t="s">
        <v>2</v>
      </c>
      <c r="V18">
        <v>5.2700585785197797E-2</v>
      </c>
      <c r="W18">
        <v>-3.33332680504465E-2</v>
      </c>
      <c r="X18">
        <v>7.9380096093595379E-3</v>
      </c>
      <c r="Y18">
        <v>1.4522137629563106E-2</v>
      </c>
    </row>
    <row r="19" spans="1:25">
      <c r="A19" s="2">
        <v>23</v>
      </c>
      <c r="B19" s="2">
        <v>0.81589469313621499</v>
      </c>
      <c r="C19" s="2">
        <v>2.48026288210095E-3</v>
      </c>
      <c r="D19" s="2">
        <v>2.95306972487522</v>
      </c>
      <c r="E19" s="2">
        <v>0.60490234196185999</v>
      </c>
      <c r="F19" s="2">
        <v>5.7620175992862902E-3</v>
      </c>
      <c r="G19" s="2">
        <v>3.1586213538701302</v>
      </c>
      <c r="J19">
        <v>1</v>
      </c>
      <c r="K19" s="1">
        <f>K9</f>
        <v>0.21419134736060999</v>
      </c>
      <c r="L19" s="1">
        <f t="shared" ref="L19:O19" si="5">L9</f>
        <v>-3.33332680504465E-2</v>
      </c>
      <c r="M19" s="1">
        <f t="shared" si="5"/>
        <v>2.4611392495922502</v>
      </c>
      <c r="N19" s="1">
        <f t="shared" si="5"/>
        <v>4.9650851637125001E-2</v>
      </c>
      <c r="O19" s="1">
        <f t="shared" si="5"/>
        <v>-2.7250470156036301E-2</v>
      </c>
      <c r="P19" s="1">
        <f>P9</f>
        <v>1.7975936863047199</v>
      </c>
      <c r="U19" t="s">
        <v>3</v>
      </c>
      <c r="V19">
        <v>3.4391462395621599</v>
      </c>
      <c r="W19">
        <v>2.4611392495922502</v>
      </c>
      <c r="X19">
        <v>3.1025654853026894</v>
      </c>
      <c r="Y19">
        <v>0.15411302296775778</v>
      </c>
    </row>
    <row r="20" spans="1:25">
      <c r="A20" s="2">
        <v>24</v>
      </c>
      <c r="B20" s="2">
        <v>0.76947704330086697</v>
      </c>
      <c r="C20" s="2">
        <v>-6.6975031951263999E-3</v>
      </c>
      <c r="D20" s="2">
        <v>3.23963102178715</v>
      </c>
      <c r="E20" s="2">
        <v>0.18553502857685</v>
      </c>
      <c r="F20" s="2">
        <v>1.03826772871755E-2</v>
      </c>
      <c r="G20" s="2">
        <v>3.3479013356206</v>
      </c>
      <c r="J20">
        <v>2</v>
      </c>
      <c r="K20" s="1">
        <f>K19+K$13</f>
        <v>0.25390974314589154</v>
      </c>
      <c r="L20" s="1">
        <f>L19+L$13</f>
        <v>-2.8805170480149432E-2</v>
      </c>
      <c r="M20" s="1">
        <f t="shared" ref="M20:P35" si="6">M19+M$13</f>
        <v>2.5126133016959296</v>
      </c>
      <c r="N20" s="1">
        <f t="shared" si="6"/>
        <v>9.7739477298761632E-2</v>
      </c>
      <c r="O20" s="1">
        <f t="shared" si="6"/>
        <v>-2.2599660999258555E-2</v>
      </c>
      <c r="P20" s="1">
        <f t="shared" si="6"/>
        <v>1.8935209199908778</v>
      </c>
      <c r="U20" t="s">
        <v>4</v>
      </c>
      <c r="V20">
        <v>0.96333473920822099</v>
      </c>
      <c r="W20">
        <v>4.9650851637125001E-2</v>
      </c>
      <c r="X20">
        <v>0.46211309560655955</v>
      </c>
      <c r="Y20">
        <v>0.22278912356556085</v>
      </c>
    </row>
    <row r="21" spans="1:25">
      <c r="A21" s="2">
        <v>25</v>
      </c>
      <c r="B21" s="2">
        <v>0.67405023798346497</v>
      </c>
      <c r="C21" s="2">
        <v>6.9270161510672701E-3</v>
      </c>
      <c r="D21" s="2">
        <v>2.8682263486992299</v>
      </c>
      <c r="E21" s="2">
        <v>0.59310323279350996</v>
      </c>
      <c r="F21" s="2">
        <v>-3.2467076607187702E-3</v>
      </c>
      <c r="G21" s="2">
        <v>2.8219079803913201</v>
      </c>
      <c r="J21">
        <v>3</v>
      </c>
      <c r="K21" s="1">
        <f t="shared" ref="K21:K38" si="7">K20+K$13</f>
        <v>0.29362813893117312</v>
      </c>
      <c r="L21" s="1">
        <f t="shared" ref="L21:P38" si="8">L20+L$13</f>
        <v>-2.4277072909852364E-2</v>
      </c>
      <c r="M21" s="1">
        <f t="shared" si="6"/>
        <v>2.5640873537996089</v>
      </c>
      <c r="N21" s="1">
        <f t="shared" si="6"/>
        <v>0.14582810296039828</v>
      </c>
      <c r="O21" s="1">
        <f t="shared" si="6"/>
        <v>-1.7948851842480809E-2</v>
      </c>
      <c r="P21" s="1">
        <f t="shared" si="6"/>
        <v>1.9894481536770356</v>
      </c>
      <c r="U21" t="s">
        <v>5</v>
      </c>
      <c r="V21">
        <v>6.1114903822740901E-2</v>
      </c>
      <c r="W21">
        <v>-2.7250470156036301E-2</v>
      </c>
      <c r="X21">
        <v>7.0081478240453599E-3</v>
      </c>
      <c r="Y21">
        <v>1.267286949679209E-2</v>
      </c>
    </row>
    <row r="22" spans="1:25">
      <c r="A22" s="2">
        <v>27</v>
      </c>
      <c r="B22" s="2">
        <v>0.73030380159616404</v>
      </c>
      <c r="C22" s="2">
        <v>1.4195452679093201E-2</v>
      </c>
      <c r="D22" s="2">
        <v>3.0118462345555899</v>
      </c>
      <c r="E22" s="2">
        <v>0.729044049978256</v>
      </c>
      <c r="F22" s="2">
        <v>-2.7250470156036301E-2</v>
      </c>
      <c r="G22" s="2">
        <v>3.2243705233669702</v>
      </c>
      <c r="J22">
        <v>4</v>
      </c>
      <c r="K22" s="1">
        <f t="shared" si="7"/>
        <v>0.3333465347164547</v>
      </c>
      <c r="L22" s="1">
        <f t="shared" si="8"/>
        <v>-1.9748975339555296E-2</v>
      </c>
      <c r="M22" s="1">
        <f t="shared" si="6"/>
        <v>2.6155614059032883</v>
      </c>
      <c r="N22" s="1">
        <f t="shared" si="6"/>
        <v>0.19391672862203491</v>
      </c>
      <c r="O22" s="1">
        <f t="shared" si="6"/>
        <v>-1.3298042685703063E-2</v>
      </c>
      <c r="P22" s="1">
        <f t="shared" si="6"/>
        <v>2.0853753873631935</v>
      </c>
      <c r="U22" t="s">
        <v>6</v>
      </c>
      <c r="V22">
        <v>3.62021112634172</v>
      </c>
      <c r="W22">
        <v>1.7975936863047199</v>
      </c>
      <c r="X22">
        <v>2.8723621348158321</v>
      </c>
      <c r="Y22">
        <v>0.40254758696892967</v>
      </c>
    </row>
    <row r="23" spans="1:25">
      <c r="A23" s="2">
        <v>28</v>
      </c>
      <c r="B23" s="2">
        <v>0.84634780883788996</v>
      </c>
      <c r="C23" s="2">
        <v>2.0912563119259198E-2</v>
      </c>
      <c r="D23" s="2">
        <v>2.985562873388</v>
      </c>
      <c r="E23" s="2">
        <v>6.8241544067859594E-2</v>
      </c>
      <c r="F23" s="2">
        <v>3.80459128754893E-2</v>
      </c>
      <c r="G23" s="2">
        <v>2.9616866315173902</v>
      </c>
      <c r="J23">
        <v>5</v>
      </c>
      <c r="K23" s="1">
        <f t="shared" si="7"/>
        <v>0.37306493050173628</v>
      </c>
      <c r="L23" s="1">
        <f t="shared" si="8"/>
        <v>-1.5220877769258227E-2</v>
      </c>
      <c r="M23" s="1">
        <f t="shared" si="6"/>
        <v>2.6670354580069677</v>
      </c>
      <c r="N23" s="1">
        <f t="shared" si="6"/>
        <v>0.24200535428367154</v>
      </c>
      <c r="O23" s="1">
        <f t="shared" si="6"/>
        <v>-8.6472335289253174E-3</v>
      </c>
      <c r="P23" s="1">
        <f t="shared" si="6"/>
        <v>2.1813026210493516</v>
      </c>
    </row>
    <row r="24" spans="1:25">
      <c r="A24" s="2">
        <v>30</v>
      </c>
      <c r="B24" s="2">
        <v>0.58156359195709195</v>
      </c>
      <c r="C24" s="2">
        <v>3.1655969164340499E-2</v>
      </c>
      <c r="D24" s="2">
        <v>3.1905128112158501</v>
      </c>
      <c r="E24" s="2">
        <v>0.79803842306136996</v>
      </c>
      <c r="F24" s="2">
        <v>9.61995508315046E-3</v>
      </c>
      <c r="G24" s="2">
        <v>3.1218645107801302</v>
      </c>
      <c r="J24">
        <v>6</v>
      </c>
      <c r="K24" s="1">
        <f t="shared" si="7"/>
        <v>0.41278332628701786</v>
      </c>
      <c r="L24" s="1">
        <f t="shared" si="8"/>
        <v>-1.0692780198961159E-2</v>
      </c>
      <c r="M24" s="1">
        <f t="shared" si="6"/>
        <v>2.7185095101106471</v>
      </c>
      <c r="N24" s="1">
        <f t="shared" si="6"/>
        <v>0.29009397994530817</v>
      </c>
      <c r="O24" s="1">
        <f t="shared" si="6"/>
        <v>-3.9964243721475707E-3</v>
      </c>
      <c r="P24" s="1">
        <f t="shared" si="6"/>
        <v>2.2772298547355097</v>
      </c>
    </row>
    <row r="25" spans="1:25">
      <c r="A25" s="2">
        <v>31</v>
      </c>
      <c r="B25" s="2">
        <v>0.76307187080383299</v>
      </c>
      <c r="C25" s="2">
        <v>1.48728523621774E-2</v>
      </c>
      <c r="D25" s="2">
        <v>3.1509504688451102</v>
      </c>
      <c r="E25" s="2">
        <v>0.53255826979875498</v>
      </c>
      <c r="F25" s="2">
        <v>1.7754138900244201E-2</v>
      </c>
      <c r="G25" s="2">
        <v>3.03084484805257</v>
      </c>
      <c r="J25">
        <v>7</v>
      </c>
      <c r="K25" s="1">
        <f t="shared" si="7"/>
        <v>0.45250172207229944</v>
      </c>
      <c r="L25" s="1">
        <f t="shared" si="8"/>
        <v>-6.1646826286640907E-3</v>
      </c>
      <c r="M25" s="1">
        <f t="shared" si="6"/>
        <v>2.7699835622143265</v>
      </c>
      <c r="N25" s="1">
        <f t="shared" si="6"/>
        <v>0.3381826056069448</v>
      </c>
      <c r="O25" s="1">
        <f t="shared" si="6"/>
        <v>6.5438478463017598E-4</v>
      </c>
      <c r="P25" s="1">
        <f t="shared" si="6"/>
        <v>2.3731570884216677</v>
      </c>
    </row>
    <row r="26" spans="1:25">
      <c r="A26" s="2">
        <v>32</v>
      </c>
      <c r="B26" s="2">
        <v>0.55373166501521998</v>
      </c>
      <c r="C26" s="2">
        <v>1.2232682077247099E-2</v>
      </c>
      <c r="D26" s="2">
        <v>3.14079726512451</v>
      </c>
      <c r="E26" s="2">
        <v>6.2901198863983099E-2</v>
      </c>
      <c r="F26" s="2">
        <v>1.42257386449955E-2</v>
      </c>
      <c r="G26" s="2">
        <v>1.81890066951729</v>
      </c>
      <c r="J26">
        <v>8</v>
      </c>
      <c r="K26" s="1">
        <f t="shared" si="7"/>
        <v>0.49222011785758102</v>
      </c>
      <c r="L26" s="1">
        <f t="shared" si="8"/>
        <v>-1.6365850583670224E-3</v>
      </c>
      <c r="M26" s="1">
        <f t="shared" si="6"/>
        <v>2.8214576143180059</v>
      </c>
      <c r="N26" s="1">
        <f t="shared" si="6"/>
        <v>0.38627123126858143</v>
      </c>
      <c r="O26" s="1">
        <f t="shared" si="6"/>
        <v>5.3051939414079227E-3</v>
      </c>
      <c r="P26" s="1">
        <f t="shared" si="6"/>
        <v>2.4690843221078258</v>
      </c>
    </row>
    <row r="27" spans="1:25">
      <c r="A27" s="2">
        <v>33</v>
      </c>
      <c r="B27" s="2">
        <v>0.81894299387931802</v>
      </c>
      <c r="C27" s="2">
        <v>5.3570707155330402E-3</v>
      </c>
      <c r="D27" s="2">
        <v>3.2091457089327302</v>
      </c>
      <c r="E27" s="2">
        <v>0.96333473920822099</v>
      </c>
      <c r="F27" s="2">
        <v>-2.0612857623895899E-2</v>
      </c>
      <c r="G27" s="2">
        <v>3.0114915633583399</v>
      </c>
      <c r="J27">
        <v>9</v>
      </c>
      <c r="K27" s="1">
        <f t="shared" si="7"/>
        <v>0.5319385136428626</v>
      </c>
      <c r="L27" s="1">
        <f t="shared" si="8"/>
        <v>2.8915125119300458E-3</v>
      </c>
      <c r="M27" s="1">
        <f t="shared" si="6"/>
        <v>2.8729316664216853</v>
      </c>
      <c r="N27" s="1">
        <f t="shared" si="6"/>
        <v>0.43435985693021806</v>
      </c>
      <c r="O27" s="1">
        <f t="shared" si="6"/>
        <v>9.9560030981856694E-3</v>
      </c>
      <c r="P27" s="1">
        <f t="shared" si="6"/>
        <v>2.5650115557939839</v>
      </c>
    </row>
    <row r="28" spans="1:25">
      <c r="A28" s="2">
        <v>34</v>
      </c>
      <c r="B28" s="2">
        <v>0.692170150578022</v>
      </c>
      <c r="C28" s="2">
        <v>3.9480479317601704E-3</v>
      </c>
      <c r="D28" s="2">
        <v>2.8131838537671401</v>
      </c>
      <c r="E28" s="2">
        <v>0.240045666694641</v>
      </c>
      <c r="F28" s="2">
        <v>1.55261272393154E-2</v>
      </c>
      <c r="G28" s="2">
        <v>2.0279491007203201</v>
      </c>
      <c r="J28">
        <v>10</v>
      </c>
      <c r="K28" s="1">
        <f t="shared" si="7"/>
        <v>0.57165690942814418</v>
      </c>
      <c r="L28" s="1">
        <f t="shared" si="8"/>
        <v>7.4196100822271141E-3</v>
      </c>
      <c r="M28" s="1">
        <f t="shared" si="6"/>
        <v>2.9244057185253647</v>
      </c>
      <c r="N28" s="1">
        <f t="shared" si="6"/>
        <v>0.48244848259185469</v>
      </c>
      <c r="O28" s="1">
        <f t="shared" si="6"/>
        <v>1.4606812254963415E-2</v>
      </c>
      <c r="P28" s="1">
        <f t="shared" si="6"/>
        <v>2.660938789480142</v>
      </c>
    </row>
    <row r="29" spans="1:25">
      <c r="A29" s="2">
        <v>35</v>
      </c>
      <c r="B29" s="2">
        <v>0.86087564627329505</v>
      </c>
      <c r="C29" s="2">
        <v>1.0866443722700099E-2</v>
      </c>
      <c r="D29" s="2">
        <v>3.3530554700024702</v>
      </c>
      <c r="E29" s="2">
        <v>7.6544694602489402E-2</v>
      </c>
      <c r="F29" s="2">
        <v>3.34979500220811E-3</v>
      </c>
      <c r="G29" s="2">
        <v>1.8681062951479399</v>
      </c>
      <c r="J29">
        <v>11</v>
      </c>
      <c r="K29" s="1">
        <f t="shared" si="7"/>
        <v>0.61137530521342576</v>
      </c>
      <c r="L29" s="1">
        <f t="shared" si="8"/>
        <v>1.1947707652524182E-2</v>
      </c>
      <c r="M29" s="1">
        <f t="shared" si="6"/>
        <v>2.9758797706290441</v>
      </c>
      <c r="N29" s="1">
        <f t="shared" si="6"/>
        <v>0.53053710825349132</v>
      </c>
      <c r="O29" s="1">
        <f t="shared" si="6"/>
        <v>1.9257621411741161E-2</v>
      </c>
      <c r="P29" s="1">
        <f t="shared" si="6"/>
        <v>2.7568660231663</v>
      </c>
    </row>
    <row r="30" spans="1:25">
      <c r="A30" s="2">
        <v>36</v>
      </c>
      <c r="B30" s="2">
        <v>0.558376510938008</v>
      </c>
      <c r="C30" s="2">
        <v>1.6809537238422299E-2</v>
      </c>
      <c r="D30" s="2">
        <v>2.9597477959226799</v>
      </c>
      <c r="E30" s="2">
        <v>0.12856958806514701</v>
      </c>
      <c r="F30" s="2">
        <v>7.7204355260607196E-3</v>
      </c>
      <c r="G30" s="2">
        <v>1.86678201765234</v>
      </c>
      <c r="J30">
        <v>12</v>
      </c>
      <c r="K30" s="1">
        <f t="shared" si="7"/>
        <v>0.65109370099870734</v>
      </c>
      <c r="L30" s="1">
        <f t="shared" si="8"/>
        <v>1.6475805222821251E-2</v>
      </c>
      <c r="M30" s="1">
        <f t="shared" si="6"/>
        <v>3.0273538227327235</v>
      </c>
      <c r="N30" s="1">
        <f t="shared" si="6"/>
        <v>0.57862573391512795</v>
      </c>
      <c r="O30" s="1">
        <f t="shared" si="6"/>
        <v>2.3908430568518907E-2</v>
      </c>
      <c r="P30" s="1">
        <f t="shared" si="6"/>
        <v>2.8527932568524581</v>
      </c>
    </row>
    <row r="31" spans="1:25">
      <c r="A31" s="2">
        <v>37</v>
      </c>
      <c r="B31" s="2">
        <v>0.29624146968126203</v>
      </c>
      <c r="C31" s="2">
        <v>-3.0236436776931398E-4</v>
      </c>
      <c r="D31" s="2">
        <v>3.25735361492224</v>
      </c>
      <c r="E31" s="2">
        <v>0.42392264306545202</v>
      </c>
      <c r="F31" s="2">
        <v>3.0496333602222502E-2</v>
      </c>
      <c r="G31" s="2">
        <v>3.0380148995079699</v>
      </c>
      <c r="J31">
        <v>13</v>
      </c>
      <c r="K31" s="1">
        <f t="shared" si="7"/>
        <v>0.69081209678398892</v>
      </c>
      <c r="L31" s="1">
        <f t="shared" si="8"/>
        <v>2.1003902793118319E-2</v>
      </c>
      <c r="M31" s="1">
        <f t="shared" si="6"/>
        <v>3.0788278748364029</v>
      </c>
      <c r="N31" s="1">
        <f t="shared" si="6"/>
        <v>0.62671435957676458</v>
      </c>
      <c r="O31" s="1">
        <f t="shared" si="6"/>
        <v>2.8559239725296653E-2</v>
      </c>
      <c r="P31" s="1">
        <f t="shared" si="6"/>
        <v>2.9487204905386162</v>
      </c>
    </row>
    <row r="32" spans="1:25">
      <c r="A32" s="2">
        <v>38</v>
      </c>
      <c r="B32" s="2">
        <v>0.87531815469264895</v>
      </c>
      <c r="C32" s="2">
        <v>1.9327137211986301E-2</v>
      </c>
      <c r="D32" s="2">
        <v>3.2345277029946602</v>
      </c>
      <c r="E32" s="2">
        <v>0.51370345614850499</v>
      </c>
      <c r="F32" s="2">
        <v>5.2545580069640599E-3</v>
      </c>
      <c r="G32" s="2">
        <v>2.3990793434618398</v>
      </c>
      <c r="J32">
        <v>14</v>
      </c>
      <c r="K32" s="1">
        <f t="shared" si="7"/>
        <v>0.7305304925692705</v>
      </c>
      <c r="L32" s="1">
        <f t="shared" si="8"/>
        <v>2.5532000363415387E-2</v>
      </c>
      <c r="M32" s="1">
        <f t="shared" si="6"/>
        <v>3.1303019269400822</v>
      </c>
      <c r="N32" s="1">
        <f t="shared" si="6"/>
        <v>0.67480298523840121</v>
      </c>
      <c r="O32" s="1">
        <f t="shared" si="6"/>
        <v>3.3210048882074399E-2</v>
      </c>
      <c r="P32" s="1">
        <f t="shared" si="6"/>
        <v>3.0446477242247743</v>
      </c>
    </row>
    <row r="33" spans="1:34">
      <c r="A33" s="2">
        <v>40</v>
      </c>
      <c r="B33" s="2">
        <v>0.69449735432863202</v>
      </c>
      <c r="C33" s="2">
        <v>3.5646295936352601E-2</v>
      </c>
      <c r="D33" s="2">
        <v>3.18521917547934</v>
      </c>
      <c r="E33" s="2">
        <v>0.61904650740325395</v>
      </c>
      <c r="F33" s="2">
        <v>9.5329665578836008E-3</v>
      </c>
      <c r="G33" s="2">
        <v>2.9035027515101501</v>
      </c>
      <c r="J33">
        <v>15</v>
      </c>
      <c r="K33" s="1">
        <f t="shared" si="7"/>
        <v>0.77024888835455207</v>
      </c>
      <c r="L33" s="1">
        <f t="shared" si="8"/>
        <v>3.0060097933712455E-2</v>
      </c>
      <c r="M33" s="1">
        <f t="shared" si="6"/>
        <v>3.1817759790437616</v>
      </c>
      <c r="N33" s="1">
        <f t="shared" si="6"/>
        <v>0.72289161090003784</v>
      </c>
      <c r="O33" s="1">
        <f t="shared" si="6"/>
        <v>3.7860858038852148E-2</v>
      </c>
      <c r="P33" s="1">
        <f t="shared" si="6"/>
        <v>3.1405749579109323</v>
      </c>
    </row>
    <row r="34" spans="1:34">
      <c r="A34" s="2">
        <v>41</v>
      </c>
      <c r="B34" s="2">
        <v>0.78746575862169199</v>
      </c>
      <c r="C34" s="2">
        <v>1.8461947557747001E-2</v>
      </c>
      <c r="D34" s="2">
        <v>3.2818757400862699</v>
      </c>
      <c r="E34" s="2">
        <v>0.775148645043373</v>
      </c>
      <c r="F34" s="2">
        <v>4.9312414456794598E-3</v>
      </c>
      <c r="G34" s="2">
        <v>3.16035873617873</v>
      </c>
      <c r="J34">
        <v>16</v>
      </c>
      <c r="K34" s="1">
        <f t="shared" si="7"/>
        <v>0.80996728413983365</v>
      </c>
      <c r="L34" s="1">
        <f t="shared" si="8"/>
        <v>3.4588195504009524E-2</v>
      </c>
      <c r="M34" s="1">
        <f t="shared" si="6"/>
        <v>3.233250031147441</v>
      </c>
      <c r="N34" s="1">
        <f t="shared" si="6"/>
        <v>0.77098023656167447</v>
      </c>
      <c r="O34" s="1">
        <f t="shared" si="6"/>
        <v>4.2511667195629897E-2</v>
      </c>
      <c r="P34" s="1">
        <f t="shared" si="6"/>
        <v>3.2365021915970904</v>
      </c>
    </row>
    <row r="35" spans="1:34">
      <c r="A35" s="2">
        <v>42</v>
      </c>
      <c r="B35" s="2">
        <v>0.826981049776077</v>
      </c>
      <c r="C35" s="2">
        <v>2.1251526654050602E-2</v>
      </c>
      <c r="D35" s="2">
        <v>3.22453470163877</v>
      </c>
      <c r="E35" s="2">
        <v>0.16529892012476899</v>
      </c>
      <c r="F35" s="2">
        <v>4.9615749161135902E-3</v>
      </c>
      <c r="G35" s="2">
        <v>3.0776937232589399</v>
      </c>
      <c r="J35">
        <v>17</v>
      </c>
      <c r="K35" s="1">
        <f t="shared" si="7"/>
        <v>0.84968567992511523</v>
      </c>
      <c r="L35" s="1">
        <f t="shared" si="8"/>
        <v>3.9116293074306592E-2</v>
      </c>
      <c r="M35" s="1">
        <f t="shared" si="6"/>
        <v>3.2847240832511204</v>
      </c>
      <c r="N35" s="1">
        <f t="shared" si="6"/>
        <v>0.8190688622233111</v>
      </c>
      <c r="O35" s="1">
        <f t="shared" si="6"/>
        <v>4.7162476352407647E-2</v>
      </c>
      <c r="P35" s="1">
        <f t="shared" si="6"/>
        <v>3.3324294252832485</v>
      </c>
    </row>
    <row r="36" spans="1:34">
      <c r="A36" s="2">
        <v>45</v>
      </c>
      <c r="B36" s="2">
        <v>0.78063447276751197</v>
      </c>
      <c r="C36" s="2">
        <v>-1.73212872743929E-4</v>
      </c>
      <c r="D36" s="2">
        <v>3.0477853401914801</v>
      </c>
      <c r="E36" s="2">
        <v>0.48266275475422499</v>
      </c>
      <c r="F36" s="2">
        <v>1.6566955179442199E-4</v>
      </c>
      <c r="G36" s="2">
        <v>2.6466926342639998</v>
      </c>
      <c r="J36">
        <v>18</v>
      </c>
      <c r="K36" s="1">
        <f t="shared" si="7"/>
        <v>0.88940407571039681</v>
      </c>
      <c r="L36" s="1">
        <f t="shared" si="8"/>
        <v>4.364439064460366E-2</v>
      </c>
      <c r="M36" s="1">
        <f t="shared" si="8"/>
        <v>3.3361981353547998</v>
      </c>
      <c r="N36" s="1">
        <f t="shared" si="8"/>
        <v>0.86715748788494773</v>
      </c>
      <c r="O36" s="1">
        <f t="shared" si="8"/>
        <v>5.1813285509185396E-2</v>
      </c>
      <c r="P36" s="1">
        <f t="shared" si="8"/>
        <v>3.4283566589694066</v>
      </c>
    </row>
    <row r="37" spans="1:34">
      <c r="A37" s="2">
        <v>46</v>
      </c>
      <c r="B37" s="2">
        <v>0.66465397179126695</v>
      </c>
      <c r="C37" s="2">
        <v>-1.02031927929409E-2</v>
      </c>
      <c r="D37" s="2">
        <v>3.0060858197456</v>
      </c>
      <c r="E37" s="2">
        <v>0.60623733699321702</v>
      </c>
      <c r="F37" s="2">
        <v>-1.9068235335764901E-2</v>
      </c>
      <c r="G37" s="2">
        <v>3.0105389925205301</v>
      </c>
      <c r="J37">
        <v>19</v>
      </c>
      <c r="K37" s="1">
        <f t="shared" si="7"/>
        <v>0.92912247149567839</v>
      </c>
      <c r="L37" s="1">
        <f t="shared" si="8"/>
        <v>4.8172488214900729E-2</v>
      </c>
      <c r="M37" s="1">
        <f t="shared" si="8"/>
        <v>3.3876721874584792</v>
      </c>
      <c r="N37" s="1">
        <f t="shared" si="8"/>
        <v>0.91524611354658436</v>
      </c>
      <c r="O37" s="1">
        <f t="shared" si="8"/>
        <v>5.6464094665963145E-2</v>
      </c>
      <c r="P37" s="1">
        <f t="shared" si="8"/>
        <v>3.5242838926555646</v>
      </c>
    </row>
    <row r="38" spans="1:34">
      <c r="A38" s="2">
        <v>47</v>
      </c>
      <c r="B38" s="2">
        <v>0.81308580935001296</v>
      </c>
      <c r="C38" s="2">
        <v>-2.4649048709197699E-3</v>
      </c>
      <c r="D38" s="2">
        <v>3.2143243512405899</v>
      </c>
      <c r="E38" s="2">
        <v>0.19890016317367501</v>
      </c>
      <c r="F38" s="2">
        <v>4.2042581028454099E-3</v>
      </c>
      <c r="G38" s="2">
        <v>3.1115913943112199</v>
      </c>
      <c r="J38">
        <v>20</v>
      </c>
      <c r="K38" s="1">
        <f t="shared" si="7"/>
        <v>0.96884086728095997</v>
      </c>
      <c r="L38" s="1">
        <f t="shared" si="8"/>
        <v>5.2700585785197797E-2</v>
      </c>
      <c r="M38" s="1">
        <f t="shared" si="8"/>
        <v>3.4391462395621586</v>
      </c>
      <c r="N38" s="1">
        <f t="shared" si="8"/>
        <v>0.96333473920822099</v>
      </c>
      <c r="O38" s="1">
        <f t="shared" si="8"/>
        <v>6.1114903822740894E-2</v>
      </c>
      <c r="P38" s="1">
        <f t="shared" si="8"/>
        <v>3.6202111263417227</v>
      </c>
    </row>
    <row r="39" spans="1:34">
      <c r="A39" s="2">
        <v>48</v>
      </c>
      <c r="B39" s="2">
        <v>0.62555465847253799</v>
      </c>
      <c r="C39" s="2">
        <v>1.0693381596804601E-2</v>
      </c>
      <c r="D39" s="2">
        <v>3.09821887230662</v>
      </c>
      <c r="E39" s="2">
        <v>0.16032575070857999</v>
      </c>
      <c r="F39" s="2">
        <v>1.3941833673175801E-2</v>
      </c>
      <c r="G39" s="2">
        <v>3.2620565792987399</v>
      </c>
    </row>
    <row r="40" spans="1:34">
      <c r="A40" s="2">
        <v>49</v>
      </c>
      <c r="B40" s="2">
        <v>0.62795206407705895</v>
      </c>
      <c r="C40" s="2">
        <v>8.4907254766809093E-3</v>
      </c>
      <c r="D40" s="2">
        <v>3.1010486149052898</v>
      </c>
      <c r="E40" s="2">
        <v>0.49825354665517801</v>
      </c>
      <c r="F40" s="2">
        <v>1.43640468845755E-2</v>
      </c>
      <c r="G40" s="2">
        <v>2.6104098983278101</v>
      </c>
    </row>
    <row r="41" spans="1:34">
      <c r="A41" s="2">
        <v>51</v>
      </c>
      <c r="B41" s="2">
        <v>0.82957085371017403</v>
      </c>
      <c r="C41" s="2">
        <v>-1.33480020369987E-2</v>
      </c>
      <c r="D41" s="2">
        <v>3.21823690558446</v>
      </c>
      <c r="E41" s="2">
        <v>0.83553992509841901</v>
      </c>
      <c r="F41" s="2">
        <v>1.13784295935115E-3</v>
      </c>
      <c r="G41" s="2">
        <v>3.3612302061008599</v>
      </c>
    </row>
    <row r="42" spans="1:34" ht="17" thickBot="1">
      <c r="A42" s="2">
        <v>52</v>
      </c>
      <c r="B42" s="2">
        <v>0.77780530601739795</v>
      </c>
      <c r="C42" s="2">
        <v>1.16934186193118E-2</v>
      </c>
      <c r="D42" s="2">
        <v>3.12120970264015</v>
      </c>
      <c r="E42" s="2">
        <v>0.82152450084686202</v>
      </c>
      <c r="F42" s="2">
        <v>-5.8859063489169396E-4</v>
      </c>
      <c r="G42" s="2">
        <v>3.29936636375272</v>
      </c>
    </row>
    <row r="43" spans="1:34">
      <c r="A43" s="2">
        <v>53</v>
      </c>
      <c r="B43" s="2">
        <v>0.79581412672996499</v>
      </c>
      <c r="C43" s="2">
        <v>5.3791180015973997E-3</v>
      </c>
      <c r="D43" s="2">
        <v>3.01596191770592</v>
      </c>
      <c r="E43" s="2">
        <v>0.85777111351489999</v>
      </c>
      <c r="F43" s="2">
        <v>1.0687081366495601E-2</v>
      </c>
      <c r="G43" s="2">
        <v>3.0301913973071302</v>
      </c>
      <c r="K43" s="8" t="s">
        <v>14</v>
      </c>
      <c r="L43" s="8" t="s">
        <v>16</v>
      </c>
      <c r="N43" s="8" t="s">
        <v>14</v>
      </c>
      <c r="O43" s="8" t="s">
        <v>16</v>
      </c>
      <c r="T43" s="8" t="s">
        <v>14</v>
      </c>
      <c r="U43" s="8" t="s">
        <v>16</v>
      </c>
      <c r="W43" s="8" t="s">
        <v>14</v>
      </c>
      <c r="X43" s="8" t="s">
        <v>16</v>
      </c>
      <c r="AC43" s="8" t="s">
        <v>14</v>
      </c>
      <c r="AD43" s="8" t="s">
        <v>16</v>
      </c>
      <c r="AF43" s="8" t="s">
        <v>14</v>
      </c>
      <c r="AG43" s="8" t="s">
        <v>16</v>
      </c>
    </row>
    <row r="44" spans="1:34">
      <c r="A44" s="2">
        <v>56</v>
      </c>
      <c r="B44" s="2">
        <v>0.72712140530347802</v>
      </c>
      <c r="C44" s="2">
        <v>-2.76428310604148E-3</v>
      </c>
      <c r="D44" s="2">
        <v>3.1057879130927302</v>
      </c>
      <c r="E44" s="2">
        <v>0.61771984025835902</v>
      </c>
      <c r="F44" s="2">
        <v>-3.54357858906118E-3</v>
      </c>
      <c r="G44" s="2">
        <v>3.3024639185577001</v>
      </c>
      <c r="K44" s="10">
        <v>0.21419134736060999</v>
      </c>
      <c r="L44" s="6">
        <v>1</v>
      </c>
      <c r="M44" s="12">
        <f>L44/L$65</f>
        <v>4.8543689320388345E-3</v>
      </c>
      <c r="N44" s="10">
        <v>4.9650851637125001E-2</v>
      </c>
      <c r="O44" s="6">
        <v>1</v>
      </c>
      <c r="P44" s="12">
        <f>O44/O$65</f>
        <v>4.8543689320388345E-3</v>
      </c>
      <c r="T44" s="5">
        <v>-3.33332680504465E-2</v>
      </c>
      <c r="U44" s="6">
        <v>1</v>
      </c>
      <c r="V44" s="12">
        <f>U44/U$65</f>
        <v>4.8543689320388345E-3</v>
      </c>
      <c r="W44" s="5">
        <v>-2.7250470156036301E-2</v>
      </c>
      <c r="X44" s="6">
        <v>1</v>
      </c>
      <c r="Y44" s="12">
        <f>X44/X$65</f>
        <v>4.8780487804878049E-3</v>
      </c>
      <c r="AC44" s="5">
        <v>2.4611392495922502</v>
      </c>
      <c r="AD44" s="6">
        <v>1</v>
      </c>
      <c r="AE44" s="12">
        <f>AD44/AD$65</f>
        <v>4.8780487804878049E-3</v>
      </c>
      <c r="AF44" s="5">
        <v>1.7975936863047199</v>
      </c>
      <c r="AG44" s="6">
        <v>1</v>
      </c>
      <c r="AH44" s="12">
        <f>AG44/AG$65</f>
        <v>4.8543689320388345E-3</v>
      </c>
    </row>
    <row r="45" spans="1:34">
      <c r="A45" s="2">
        <v>57</v>
      </c>
      <c r="B45" s="2">
        <v>0.83030132452646799</v>
      </c>
      <c r="C45" s="2">
        <v>1.8172746414203599E-2</v>
      </c>
      <c r="D45" s="2">
        <v>3.1455458978176698</v>
      </c>
      <c r="E45" s="2">
        <v>0.52607434988021795</v>
      </c>
      <c r="F45" s="2">
        <v>2.55597221360967E-2</v>
      </c>
      <c r="G45" s="2">
        <v>2.7381257903402401</v>
      </c>
      <c r="K45" s="10">
        <v>0.25390974314589154</v>
      </c>
      <c r="L45" s="6">
        <v>1</v>
      </c>
      <c r="M45" s="12">
        <f t="shared" ref="M45:M63" si="9">L45/L$65</f>
        <v>4.8543689320388345E-3</v>
      </c>
      <c r="N45" s="10">
        <v>9.7739477298761632E-2</v>
      </c>
      <c r="O45" s="6">
        <v>21</v>
      </c>
      <c r="P45" s="12">
        <f t="shared" ref="P45:P63" si="10">O45/O$65</f>
        <v>0.10194174757281553</v>
      </c>
      <c r="T45" s="5">
        <v>-2.8805170480149432E-2</v>
      </c>
      <c r="U45" s="6">
        <v>2</v>
      </c>
      <c r="V45" s="12">
        <f t="shared" ref="V45:V63" si="11">U45/U$65</f>
        <v>9.7087378640776691E-3</v>
      </c>
      <c r="W45" s="5">
        <v>-2.2599660999258555E-2</v>
      </c>
      <c r="X45" s="6">
        <v>0</v>
      </c>
      <c r="Y45" s="12">
        <f t="shared" ref="Y45:Y63" si="12">X45/X$65</f>
        <v>0</v>
      </c>
      <c r="AC45" s="5">
        <v>2.5126133016959296</v>
      </c>
      <c r="AD45" s="6">
        <v>1</v>
      </c>
      <c r="AE45" s="12">
        <f t="shared" ref="AE45:AE63" si="13">AD45/AD$65</f>
        <v>4.8780487804878049E-3</v>
      </c>
      <c r="AF45" s="5">
        <v>1.8935209199908778</v>
      </c>
      <c r="AG45" s="6">
        <v>10</v>
      </c>
      <c r="AH45" s="12">
        <f t="shared" ref="AH45:AH63" si="14">AG45/AG$65</f>
        <v>4.8543689320388349E-2</v>
      </c>
    </row>
    <row r="46" spans="1:34">
      <c r="A46" s="2">
        <v>58</v>
      </c>
      <c r="B46" s="2">
        <v>0.81585196654001801</v>
      </c>
      <c r="C46" s="2">
        <v>8.5352007576144895E-4</v>
      </c>
      <c r="D46" s="2">
        <v>3.26983559451598</v>
      </c>
      <c r="E46" s="2">
        <v>0.43685754388570702</v>
      </c>
      <c r="F46" s="2">
        <v>-1.5509107940932401E-2</v>
      </c>
      <c r="G46" s="2">
        <v>3.18163790221283</v>
      </c>
      <c r="K46" s="10">
        <v>0.29362813893117312</v>
      </c>
      <c r="L46" s="6">
        <v>1</v>
      </c>
      <c r="M46" s="12">
        <f t="shared" si="9"/>
        <v>4.8543689320388345E-3</v>
      </c>
      <c r="N46" s="10">
        <v>0.14582810296039828</v>
      </c>
      <c r="O46" s="6">
        <v>4</v>
      </c>
      <c r="P46" s="12">
        <f t="shared" si="10"/>
        <v>1.9417475728155338E-2</v>
      </c>
      <c r="T46" s="5">
        <v>-2.4277072909852364E-2</v>
      </c>
      <c r="U46" s="6">
        <v>1</v>
      </c>
      <c r="V46" s="12">
        <f t="shared" si="11"/>
        <v>4.8543689320388345E-3</v>
      </c>
      <c r="W46" s="5">
        <v>-1.7948851842480809E-2</v>
      </c>
      <c r="X46" s="6">
        <v>4</v>
      </c>
      <c r="Y46" s="12">
        <f t="shared" si="12"/>
        <v>1.9512195121951219E-2</v>
      </c>
      <c r="AC46" s="5">
        <v>2.5640873537996089</v>
      </c>
      <c r="AD46" s="6">
        <v>0</v>
      </c>
      <c r="AE46" s="12">
        <f t="shared" si="13"/>
        <v>0</v>
      </c>
      <c r="AF46" s="5">
        <v>1.9894481536770356</v>
      </c>
      <c r="AG46" s="6">
        <v>5</v>
      </c>
      <c r="AH46" s="12">
        <f t="shared" si="14"/>
        <v>2.4271844660194174E-2</v>
      </c>
    </row>
    <row r="47" spans="1:34">
      <c r="A47" s="2">
        <v>60</v>
      </c>
      <c r="B47" s="2">
        <v>0.64617309967676795</v>
      </c>
      <c r="C47" s="2">
        <v>-1.1161343443972E-3</v>
      </c>
      <c r="D47" s="2">
        <v>3.1154531309291702</v>
      </c>
      <c r="E47" s="2">
        <v>0.47071919217705699</v>
      </c>
      <c r="F47" s="2">
        <v>6.0783068348282399E-3</v>
      </c>
      <c r="G47" s="2">
        <v>3.0544730157062001</v>
      </c>
      <c r="K47" s="10">
        <v>0.3333465347164547</v>
      </c>
      <c r="L47" s="6">
        <v>1</v>
      </c>
      <c r="M47" s="12">
        <f t="shared" si="9"/>
        <v>4.8543689320388345E-3</v>
      </c>
      <c r="N47" s="10">
        <v>0.19391672862203491</v>
      </c>
      <c r="O47" s="6">
        <v>10</v>
      </c>
      <c r="P47" s="12">
        <f t="shared" si="10"/>
        <v>4.8543689320388349E-2</v>
      </c>
      <c r="T47" s="5">
        <v>-1.9748975339555296E-2</v>
      </c>
      <c r="U47" s="6">
        <v>2</v>
      </c>
      <c r="V47" s="12">
        <f t="shared" si="11"/>
        <v>9.7087378640776691E-3</v>
      </c>
      <c r="W47" s="5">
        <v>-1.3298042685703063E-2</v>
      </c>
      <c r="X47" s="6">
        <v>10</v>
      </c>
      <c r="Y47" s="12">
        <f t="shared" si="12"/>
        <v>4.878048780487805E-2</v>
      </c>
      <c r="AC47" s="5">
        <v>2.6155614059032883</v>
      </c>
      <c r="AD47" s="6">
        <v>0</v>
      </c>
      <c r="AE47" s="12">
        <f t="shared" si="13"/>
        <v>0</v>
      </c>
      <c r="AF47" s="5">
        <v>2.0853753873631935</v>
      </c>
      <c r="AG47" s="6">
        <v>4</v>
      </c>
      <c r="AH47" s="12">
        <f t="shared" si="14"/>
        <v>1.9417475728155338E-2</v>
      </c>
    </row>
    <row r="48" spans="1:34">
      <c r="A48" s="2">
        <v>61</v>
      </c>
      <c r="B48" s="2">
        <v>0.82449956238269795</v>
      </c>
      <c r="C48" s="2">
        <v>1.94376038391154E-2</v>
      </c>
      <c r="D48" s="2">
        <v>3.0320636532663299</v>
      </c>
      <c r="E48" s="2">
        <v>0.401465871681769</v>
      </c>
      <c r="F48" s="2">
        <v>2.4230505076213601E-2</v>
      </c>
      <c r="G48" s="2">
        <v>3.2403517185136499</v>
      </c>
      <c r="K48" s="10">
        <v>0.37306493050173628</v>
      </c>
      <c r="L48" s="6">
        <v>0</v>
      </c>
      <c r="M48" s="12">
        <f t="shared" si="9"/>
        <v>0</v>
      </c>
      <c r="N48" s="10">
        <v>0.24200535428367154</v>
      </c>
      <c r="O48" s="6">
        <v>6</v>
      </c>
      <c r="P48" s="12">
        <f t="shared" si="10"/>
        <v>2.9126213592233011E-2</v>
      </c>
      <c r="T48" s="5">
        <v>-1.5220877769258227E-2</v>
      </c>
      <c r="U48" s="6">
        <v>4</v>
      </c>
      <c r="V48" s="12">
        <f t="shared" si="11"/>
        <v>1.9417475728155338E-2</v>
      </c>
      <c r="W48" s="5">
        <v>-8.6472335289253174E-3</v>
      </c>
      <c r="X48" s="6">
        <v>7</v>
      </c>
      <c r="Y48" s="12">
        <f t="shared" si="12"/>
        <v>3.4146341463414637E-2</v>
      </c>
      <c r="AC48" s="5">
        <v>2.6670354580069677</v>
      </c>
      <c r="AD48" s="6">
        <v>0</v>
      </c>
      <c r="AE48" s="12">
        <f t="shared" si="13"/>
        <v>0</v>
      </c>
      <c r="AF48" s="5">
        <v>2.1813026210493516</v>
      </c>
      <c r="AG48" s="6">
        <v>0</v>
      </c>
      <c r="AH48" s="12">
        <f t="shared" si="14"/>
        <v>0</v>
      </c>
    </row>
    <row r="49" spans="1:34">
      <c r="A49" s="2">
        <v>62</v>
      </c>
      <c r="B49" s="2">
        <v>0.93902254104614202</v>
      </c>
      <c r="C49" s="2">
        <v>-9.6749732720454E-3</v>
      </c>
      <c r="D49" s="2">
        <v>3.1210294295226202</v>
      </c>
      <c r="E49" s="2">
        <v>0.69240348041057498</v>
      </c>
      <c r="F49" s="2">
        <v>-2.1260702888264899E-3</v>
      </c>
      <c r="G49" s="2">
        <v>3.1418011168453699</v>
      </c>
      <c r="K49" s="10">
        <v>0.41278332628701786</v>
      </c>
      <c r="L49" s="6">
        <v>2</v>
      </c>
      <c r="M49" s="12">
        <f t="shared" si="9"/>
        <v>9.7087378640776691E-3</v>
      </c>
      <c r="N49" s="10">
        <v>0.29009397994530817</v>
      </c>
      <c r="O49" s="6">
        <v>8</v>
      </c>
      <c r="P49" s="12">
        <f t="shared" si="10"/>
        <v>3.8834951456310676E-2</v>
      </c>
      <c r="T49" s="5">
        <v>-1.0692780198961159E-2</v>
      </c>
      <c r="U49" s="6">
        <v>8</v>
      </c>
      <c r="V49" s="12">
        <f t="shared" si="11"/>
        <v>3.8834951456310676E-2</v>
      </c>
      <c r="W49" s="5">
        <v>-3.9964243721475707E-3</v>
      </c>
      <c r="X49" s="6">
        <v>14</v>
      </c>
      <c r="Y49" s="12">
        <f t="shared" si="12"/>
        <v>6.8292682926829273E-2</v>
      </c>
      <c r="AC49" s="5">
        <v>2.7185095101106471</v>
      </c>
      <c r="AD49" s="6">
        <v>0</v>
      </c>
      <c r="AE49" s="12">
        <f t="shared" si="13"/>
        <v>0</v>
      </c>
      <c r="AF49" s="5">
        <v>2.2772298547355097</v>
      </c>
      <c r="AG49" s="6">
        <v>3</v>
      </c>
      <c r="AH49" s="12">
        <f t="shared" si="14"/>
        <v>1.4563106796116505E-2</v>
      </c>
    </row>
    <row r="50" spans="1:34">
      <c r="A50" s="2">
        <v>63</v>
      </c>
      <c r="B50" s="2">
        <v>0.95105695724487305</v>
      </c>
      <c r="C50" s="2">
        <v>3.7685254715000799E-3</v>
      </c>
      <c r="D50" s="2">
        <v>3.0925503190618899</v>
      </c>
      <c r="E50" s="2">
        <v>0.58399631828069598</v>
      </c>
      <c r="F50" s="2">
        <v>3.1620222574303997E-2</v>
      </c>
      <c r="G50" s="2">
        <v>3.0825452292184101</v>
      </c>
      <c r="K50" s="10">
        <v>0.45250172207229944</v>
      </c>
      <c r="L50" s="6">
        <v>2</v>
      </c>
      <c r="M50" s="12">
        <f t="shared" si="9"/>
        <v>9.7087378640776691E-3</v>
      </c>
      <c r="N50" s="10">
        <v>0.3381826056069448</v>
      </c>
      <c r="O50" s="6">
        <v>9</v>
      </c>
      <c r="P50" s="12">
        <f t="shared" si="10"/>
        <v>4.3689320388349516E-2</v>
      </c>
      <c r="T50" s="5">
        <v>-6.1646826286640907E-3</v>
      </c>
      <c r="U50" s="6">
        <v>19</v>
      </c>
      <c r="V50" s="12">
        <f t="shared" si="11"/>
        <v>9.2233009708737865E-2</v>
      </c>
      <c r="W50" s="5">
        <v>6.5438478463017598E-4</v>
      </c>
      <c r="X50" s="6">
        <v>25</v>
      </c>
      <c r="Y50" s="12">
        <f t="shared" si="12"/>
        <v>0.12195121951219512</v>
      </c>
      <c r="AC50" s="5">
        <v>2.7699835622143265</v>
      </c>
      <c r="AD50" s="6">
        <v>2</v>
      </c>
      <c r="AE50" s="12">
        <f t="shared" si="13"/>
        <v>9.7560975609756097E-3</v>
      </c>
      <c r="AF50" s="5">
        <v>2.3731570884216677</v>
      </c>
      <c r="AG50" s="6">
        <v>4</v>
      </c>
      <c r="AH50" s="12">
        <f t="shared" si="14"/>
        <v>1.9417475728155338E-2</v>
      </c>
    </row>
    <row r="51" spans="1:34">
      <c r="A51" s="2">
        <v>64</v>
      </c>
      <c r="B51" s="2">
        <v>0.75562500208616201</v>
      </c>
      <c r="C51" s="2">
        <v>2.14111238812244E-2</v>
      </c>
      <c r="D51" s="2">
        <v>3.2538316047543501</v>
      </c>
      <c r="E51" s="2">
        <v>0.491944884881377</v>
      </c>
      <c r="F51" s="2">
        <v>3.4892199607714498E-3</v>
      </c>
      <c r="G51" s="2">
        <v>2.8873200961373899</v>
      </c>
      <c r="K51" s="10">
        <v>0.49222011785758102</v>
      </c>
      <c r="L51" s="6">
        <v>6</v>
      </c>
      <c r="M51" s="12">
        <f t="shared" si="9"/>
        <v>2.9126213592233011E-2</v>
      </c>
      <c r="N51" s="10">
        <v>0.38627123126858143</v>
      </c>
      <c r="O51" s="6">
        <v>6</v>
      </c>
      <c r="P51" s="12">
        <f t="shared" si="10"/>
        <v>2.9126213592233011E-2</v>
      </c>
      <c r="T51" s="5">
        <v>-1.6365850583670224E-3</v>
      </c>
      <c r="U51" s="6">
        <v>13</v>
      </c>
      <c r="V51" s="12">
        <f t="shared" si="11"/>
        <v>6.3106796116504854E-2</v>
      </c>
      <c r="W51" s="5">
        <v>5.3051939414079227E-3</v>
      </c>
      <c r="X51" s="6">
        <v>28</v>
      </c>
      <c r="Y51" s="12">
        <f t="shared" si="12"/>
        <v>0.13658536585365855</v>
      </c>
      <c r="AC51" s="5">
        <v>2.8214576143180059</v>
      </c>
      <c r="AD51" s="6">
        <v>5</v>
      </c>
      <c r="AE51" s="12">
        <f t="shared" si="13"/>
        <v>2.4390243902439025E-2</v>
      </c>
      <c r="AF51" s="5">
        <v>2.4690843221078258</v>
      </c>
      <c r="AG51" s="6">
        <v>3</v>
      </c>
      <c r="AH51" s="12">
        <f t="shared" si="14"/>
        <v>1.4563106796116505E-2</v>
      </c>
    </row>
    <row r="52" spans="1:34">
      <c r="A52" s="2">
        <v>65</v>
      </c>
      <c r="B52" s="2">
        <v>0.598647514979044</v>
      </c>
      <c r="C52" s="2">
        <v>-1.0419219771393399E-2</v>
      </c>
      <c r="D52" s="2">
        <v>3.2313848483021901</v>
      </c>
      <c r="E52" s="2">
        <v>0.482420414686203</v>
      </c>
      <c r="F52" s="2">
        <v>-3.4304618125062798E-3</v>
      </c>
      <c r="G52" s="2">
        <v>3.3649455208504699</v>
      </c>
      <c r="K52" s="10">
        <v>0.5319385136428626</v>
      </c>
      <c r="L52" s="6">
        <v>4</v>
      </c>
      <c r="M52" s="12">
        <f t="shared" si="9"/>
        <v>1.9417475728155338E-2</v>
      </c>
      <c r="N52" s="10">
        <v>0.43435985693021806</v>
      </c>
      <c r="O52" s="6">
        <v>16</v>
      </c>
      <c r="P52" s="12">
        <f t="shared" si="10"/>
        <v>7.7669902912621352E-2</v>
      </c>
      <c r="T52" s="5">
        <v>2.8915125119300458E-3</v>
      </c>
      <c r="U52" s="6">
        <v>22</v>
      </c>
      <c r="V52" s="12">
        <f t="shared" si="11"/>
        <v>0.10679611650485436</v>
      </c>
      <c r="W52" s="5">
        <v>9.9560030981856694E-3</v>
      </c>
      <c r="X52" s="6">
        <v>31</v>
      </c>
      <c r="Y52" s="12">
        <f t="shared" si="12"/>
        <v>0.15121951219512195</v>
      </c>
      <c r="AC52" s="5">
        <v>2.8729316664216853</v>
      </c>
      <c r="AD52" s="6">
        <v>3</v>
      </c>
      <c r="AE52" s="12">
        <f t="shared" si="13"/>
        <v>1.4634146341463415E-2</v>
      </c>
      <c r="AF52" s="5">
        <v>2.5650115557939839</v>
      </c>
      <c r="AG52" s="6">
        <v>1</v>
      </c>
      <c r="AH52" s="12">
        <f t="shared" si="14"/>
        <v>4.8543689320388345E-3</v>
      </c>
    </row>
    <row r="53" spans="1:34">
      <c r="A53" s="2">
        <v>66</v>
      </c>
      <c r="B53" s="2">
        <v>0.71862350900967897</v>
      </c>
      <c r="C53" s="2">
        <v>6.8611930216867104E-3</v>
      </c>
      <c r="D53" s="2">
        <v>3.1414467807834101</v>
      </c>
      <c r="E53" s="2">
        <v>0.42128138989210101</v>
      </c>
      <c r="F53" s="2">
        <v>1.0028568169794199E-2</v>
      </c>
      <c r="G53" s="2">
        <v>3.1995431843787601</v>
      </c>
      <c r="K53" s="10">
        <v>0.57165690942814418</v>
      </c>
      <c r="L53" s="6">
        <v>9</v>
      </c>
      <c r="M53" s="12">
        <f t="shared" si="9"/>
        <v>4.3689320388349516E-2</v>
      </c>
      <c r="N53" s="10">
        <v>0.48244848259185469</v>
      </c>
      <c r="O53" s="6">
        <v>12</v>
      </c>
      <c r="P53" s="12">
        <f t="shared" si="10"/>
        <v>5.8252427184466021E-2</v>
      </c>
      <c r="T53" s="5">
        <v>7.4196100822271141E-3</v>
      </c>
      <c r="U53" s="6">
        <v>33</v>
      </c>
      <c r="V53" s="12">
        <f t="shared" si="11"/>
        <v>0.16019417475728157</v>
      </c>
      <c r="W53" s="5">
        <v>1.4606812254963415E-2</v>
      </c>
      <c r="X53" s="6">
        <v>42</v>
      </c>
      <c r="Y53" s="12">
        <f t="shared" si="12"/>
        <v>0.20487804878048779</v>
      </c>
      <c r="AC53" s="5">
        <v>2.9244057185253647</v>
      </c>
      <c r="AD53" s="6">
        <v>7</v>
      </c>
      <c r="AE53" s="12">
        <f t="shared" si="13"/>
        <v>3.4146341463414637E-2</v>
      </c>
      <c r="AF53" s="5">
        <v>2.660938789480142</v>
      </c>
      <c r="AG53" s="6">
        <v>11</v>
      </c>
      <c r="AH53" s="12">
        <f t="shared" si="14"/>
        <v>5.3398058252427182E-2</v>
      </c>
    </row>
    <row r="54" spans="1:34">
      <c r="A54" s="2">
        <v>67</v>
      </c>
      <c r="B54" s="2">
        <v>0.79276879628499297</v>
      </c>
      <c r="C54" s="2">
        <v>1.99872791253656E-2</v>
      </c>
      <c r="D54" s="2">
        <v>3.1038930317672602</v>
      </c>
      <c r="E54" s="2">
        <v>0.44914700742810898</v>
      </c>
      <c r="F54" s="2">
        <v>-5.3132179578412302E-3</v>
      </c>
      <c r="G54" s="2">
        <v>3.2336083457401399</v>
      </c>
      <c r="K54" s="10">
        <v>0.61137530521342576</v>
      </c>
      <c r="L54" s="6">
        <v>12</v>
      </c>
      <c r="M54" s="12">
        <f t="shared" si="9"/>
        <v>5.8252427184466021E-2</v>
      </c>
      <c r="N54" s="10">
        <v>0.53053710825349132</v>
      </c>
      <c r="O54" s="6">
        <v>31</v>
      </c>
      <c r="P54" s="12">
        <f t="shared" si="10"/>
        <v>0.15048543689320387</v>
      </c>
      <c r="T54" s="5">
        <v>1.1947707652524182E-2</v>
      </c>
      <c r="U54" s="6">
        <v>23</v>
      </c>
      <c r="V54" s="12">
        <f t="shared" si="11"/>
        <v>0.11165048543689321</v>
      </c>
      <c r="W54" s="5">
        <v>1.9257621411741161E-2</v>
      </c>
      <c r="X54" s="6">
        <v>17</v>
      </c>
      <c r="Y54" s="12">
        <f t="shared" si="12"/>
        <v>8.2926829268292687E-2</v>
      </c>
      <c r="AC54" s="5">
        <v>2.9758797706290441</v>
      </c>
      <c r="AD54" s="6">
        <v>29</v>
      </c>
      <c r="AE54" s="12">
        <f t="shared" si="13"/>
        <v>0.14146341463414633</v>
      </c>
      <c r="AF54" s="5">
        <v>2.7568660231663</v>
      </c>
      <c r="AG54" s="6">
        <v>14</v>
      </c>
      <c r="AH54" s="12">
        <f t="shared" si="14"/>
        <v>6.7961165048543687E-2</v>
      </c>
    </row>
    <row r="55" spans="1:34">
      <c r="A55" s="2">
        <v>68</v>
      </c>
      <c r="B55" s="2">
        <v>0.752806525677442</v>
      </c>
      <c r="C55" s="2">
        <v>-6.8106349726981801E-3</v>
      </c>
      <c r="D55" s="2">
        <v>2.94325603542539</v>
      </c>
      <c r="E55" s="2">
        <v>0.43600972369313201</v>
      </c>
      <c r="F55" s="2">
        <v>1.40141557605613E-2</v>
      </c>
      <c r="G55" s="2">
        <v>2.9413315247701299</v>
      </c>
      <c r="K55" s="10">
        <v>0.65109370099870734</v>
      </c>
      <c r="L55" s="6">
        <v>14</v>
      </c>
      <c r="M55" s="12">
        <f t="shared" si="9"/>
        <v>6.7961165048543687E-2</v>
      </c>
      <c r="N55" s="10">
        <v>0.57862573391512795</v>
      </c>
      <c r="O55" s="6">
        <v>14</v>
      </c>
      <c r="P55" s="12">
        <f t="shared" si="10"/>
        <v>6.7961165048543687E-2</v>
      </c>
      <c r="T55" s="5">
        <v>1.6475805222821251E-2</v>
      </c>
      <c r="U55" s="6">
        <v>19</v>
      </c>
      <c r="V55" s="12">
        <f t="shared" si="11"/>
        <v>9.2233009708737865E-2</v>
      </c>
      <c r="W55" s="5">
        <v>2.3908430568518907E-2</v>
      </c>
      <c r="X55" s="6">
        <v>8</v>
      </c>
      <c r="Y55" s="12">
        <f t="shared" si="12"/>
        <v>3.9024390243902439E-2</v>
      </c>
      <c r="AC55" s="5">
        <v>3.0273538227327235</v>
      </c>
      <c r="AD55" s="6">
        <v>14</v>
      </c>
      <c r="AE55" s="12">
        <f t="shared" si="13"/>
        <v>6.8292682926829273E-2</v>
      </c>
      <c r="AF55" s="5">
        <v>2.8527932568524581</v>
      </c>
      <c r="AG55" s="6">
        <v>14</v>
      </c>
      <c r="AH55" s="12">
        <f t="shared" si="14"/>
        <v>6.7961165048543687E-2</v>
      </c>
    </row>
    <row r="56" spans="1:34">
      <c r="A56" s="2">
        <v>69</v>
      </c>
      <c r="B56" s="2">
        <v>0.58334667732318202</v>
      </c>
      <c r="C56" s="2">
        <v>1.6199691878943299E-2</v>
      </c>
      <c r="D56" s="2">
        <v>2.9566525126896899</v>
      </c>
      <c r="E56" s="2">
        <v>7.7858403325080802E-2</v>
      </c>
      <c r="F56" s="2">
        <v>9.9375150518881093E-3</v>
      </c>
      <c r="G56" s="2">
        <v>1.8862259252790099</v>
      </c>
      <c r="K56" s="10">
        <v>0.69081209678398892</v>
      </c>
      <c r="L56" s="6">
        <v>20</v>
      </c>
      <c r="M56" s="12">
        <f t="shared" si="9"/>
        <v>9.7087378640776698E-2</v>
      </c>
      <c r="N56" s="10">
        <v>0.62671435957676458</v>
      </c>
      <c r="O56" s="6">
        <v>25</v>
      </c>
      <c r="P56" s="12">
        <f t="shared" si="10"/>
        <v>0.12135922330097088</v>
      </c>
      <c r="T56" s="5">
        <v>2.1003902793118319E-2</v>
      </c>
      <c r="U56" s="6">
        <v>21</v>
      </c>
      <c r="V56" s="12">
        <f t="shared" si="11"/>
        <v>0.10194174757281553</v>
      </c>
      <c r="W56" s="5">
        <v>2.8559239725296653E-2</v>
      </c>
      <c r="X56" s="6">
        <v>7</v>
      </c>
      <c r="Y56" s="12">
        <f t="shared" si="12"/>
        <v>3.4146341463414637E-2</v>
      </c>
      <c r="AC56" s="5">
        <v>3.0788278748364029</v>
      </c>
      <c r="AD56" s="6">
        <v>19</v>
      </c>
      <c r="AE56" s="12">
        <f t="shared" si="13"/>
        <v>9.2682926829268292E-2</v>
      </c>
      <c r="AF56" s="5">
        <v>2.9487204905386162</v>
      </c>
      <c r="AG56" s="6">
        <v>28</v>
      </c>
      <c r="AH56" s="12">
        <f t="shared" si="14"/>
        <v>0.13592233009708737</v>
      </c>
    </row>
    <row r="57" spans="1:34">
      <c r="A57" s="2">
        <v>70</v>
      </c>
      <c r="B57" s="2">
        <v>0.74929708242416304</v>
      </c>
      <c r="C57" s="2">
        <v>2.33189439119563E-2</v>
      </c>
      <c r="D57" s="2">
        <v>3.3027339464639298</v>
      </c>
      <c r="E57" s="2">
        <v>0.481252877041697</v>
      </c>
      <c r="F57" s="2">
        <v>2.8071063190873598E-2</v>
      </c>
      <c r="G57" s="2">
        <v>2.8422128301349301</v>
      </c>
      <c r="K57" s="10">
        <v>0.7305304925692705</v>
      </c>
      <c r="L57" s="6">
        <v>14</v>
      </c>
      <c r="M57" s="12">
        <f t="shared" si="9"/>
        <v>6.7961165048543687E-2</v>
      </c>
      <c r="N57" s="10">
        <v>0.67480298523840121</v>
      </c>
      <c r="O57" s="6">
        <v>9</v>
      </c>
      <c r="P57" s="12">
        <f t="shared" si="10"/>
        <v>4.3689320388349516E-2</v>
      </c>
      <c r="T57" s="5">
        <v>2.5532000363415387E-2</v>
      </c>
      <c r="U57" s="6">
        <v>17</v>
      </c>
      <c r="V57" s="12">
        <f t="shared" si="11"/>
        <v>8.2524271844660199E-2</v>
      </c>
      <c r="W57" s="5">
        <v>3.3210048882074399E-2</v>
      </c>
      <c r="X57" s="6">
        <v>8</v>
      </c>
      <c r="Y57" s="12">
        <f t="shared" si="12"/>
        <v>3.9024390243902439E-2</v>
      </c>
      <c r="AC57" s="5">
        <v>3.1303019269400822</v>
      </c>
      <c r="AD57" s="6">
        <v>23</v>
      </c>
      <c r="AE57" s="12">
        <f t="shared" si="13"/>
        <v>0.11219512195121951</v>
      </c>
      <c r="AF57" s="5">
        <v>3.0446477242247743</v>
      </c>
      <c r="AG57" s="6">
        <v>23</v>
      </c>
      <c r="AH57" s="12">
        <f t="shared" si="14"/>
        <v>0.11165048543689321</v>
      </c>
    </row>
    <row r="58" spans="1:34">
      <c r="A58" s="2">
        <v>72</v>
      </c>
      <c r="B58" s="2">
        <v>0.21419134736060999</v>
      </c>
      <c r="C58" s="2">
        <v>2.1167615310904601E-2</v>
      </c>
      <c r="D58" s="2">
        <v>2.4911407512328698</v>
      </c>
      <c r="E58" s="2">
        <v>0.256025120615959</v>
      </c>
      <c r="F58" s="2">
        <v>1.31961134565088E-2</v>
      </c>
      <c r="G58" s="2">
        <v>2.61292294689436</v>
      </c>
      <c r="K58" s="10">
        <v>0.77024888835455207</v>
      </c>
      <c r="L58" s="6">
        <v>29</v>
      </c>
      <c r="M58" s="12">
        <f t="shared" si="9"/>
        <v>0.14077669902912621</v>
      </c>
      <c r="N58" s="10">
        <v>0.72289161090003784</v>
      </c>
      <c r="O58" s="6">
        <v>12</v>
      </c>
      <c r="P58" s="12">
        <f t="shared" si="10"/>
        <v>5.8252427184466021E-2</v>
      </c>
      <c r="T58" s="5">
        <v>3.0060097933712455E-2</v>
      </c>
      <c r="U58" s="6">
        <v>6</v>
      </c>
      <c r="V58" s="12">
        <f t="shared" si="11"/>
        <v>2.9126213592233011E-2</v>
      </c>
      <c r="W58" s="5">
        <v>3.7860858038852148E-2</v>
      </c>
      <c r="X58" s="6">
        <v>2</v>
      </c>
      <c r="Y58" s="12">
        <f t="shared" si="12"/>
        <v>9.7560975609756097E-3</v>
      </c>
      <c r="AC58" s="5">
        <v>3.1817759790437616</v>
      </c>
      <c r="AD58" s="6">
        <v>28</v>
      </c>
      <c r="AE58" s="12">
        <f t="shared" si="13"/>
        <v>0.13658536585365855</v>
      </c>
      <c r="AF58" s="5">
        <v>3.1405749579109323</v>
      </c>
      <c r="AG58" s="6">
        <v>25</v>
      </c>
      <c r="AH58" s="12">
        <f t="shared" si="14"/>
        <v>0.12135922330097088</v>
      </c>
    </row>
    <row r="59" spans="1:34">
      <c r="A59" s="2">
        <v>73</v>
      </c>
      <c r="B59" s="2">
        <v>0.82771317164103098</v>
      </c>
      <c r="C59" s="2">
        <v>-7.6059676996524195E-4</v>
      </c>
      <c r="D59" s="2">
        <v>3.11247038845169</v>
      </c>
      <c r="E59" s="2">
        <v>0.55124294757842995</v>
      </c>
      <c r="F59" s="2">
        <v>3.4284021720090103E-2</v>
      </c>
      <c r="G59" s="2">
        <v>3.1838281484811901</v>
      </c>
      <c r="K59" s="10">
        <v>0.80996728413983365</v>
      </c>
      <c r="L59" s="6">
        <v>29</v>
      </c>
      <c r="M59" s="12">
        <f t="shared" si="9"/>
        <v>0.14077669902912621</v>
      </c>
      <c r="N59" s="10">
        <v>0.77098023656167447</v>
      </c>
      <c r="O59" s="6">
        <v>5</v>
      </c>
      <c r="P59" s="12">
        <f t="shared" si="10"/>
        <v>2.4271844660194174E-2</v>
      </c>
      <c r="T59" s="5">
        <v>3.4588195504009524E-2</v>
      </c>
      <c r="U59" s="6">
        <v>10</v>
      </c>
      <c r="V59" s="12">
        <f t="shared" si="11"/>
        <v>4.8543689320388349E-2</v>
      </c>
      <c r="W59" s="5">
        <v>4.2511667195629897E-2</v>
      </c>
      <c r="X59" s="6">
        <v>1</v>
      </c>
      <c r="Y59" s="12">
        <f t="shared" si="12"/>
        <v>4.8780487804878049E-3</v>
      </c>
      <c r="AC59" s="5">
        <v>3.233250031147441</v>
      </c>
      <c r="AD59" s="6">
        <v>27</v>
      </c>
      <c r="AE59" s="12">
        <f t="shared" si="13"/>
        <v>0.13170731707317074</v>
      </c>
      <c r="AF59" s="5">
        <v>3.2365021915970904</v>
      </c>
      <c r="AG59" s="6">
        <v>34</v>
      </c>
      <c r="AH59" s="12">
        <f t="shared" si="14"/>
        <v>0.1650485436893204</v>
      </c>
    </row>
    <row r="60" spans="1:34">
      <c r="A60" s="2">
        <v>74</v>
      </c>
      <c r="B60" s="2">
        <v>0.62854613363742795</v>
      </c>
      <c r="C60" s="2">
        <v>4.7648422824653203E-3</v>
      </c>
      <c r="D60" s="2">
        <v>2.7805966978033001</v>
      </c>
      <c r="E60" s="2">
        <v>0.59717853367328599</v>
      </c>
      <c r="F60" s="2">
        <v>3.1739801282948499E-3</v>
      </c>
      <c r="G60" s="2">
        <v>2.6479643847373899</v>
      </c>
      <c r="K60" s="10">
        <v>0.84968567992511523</v>
      </c>
      <c r="L60" s="6">
        <v>32</v>
      </c>
      <c r="M60" s="12">
        <f t="shared" si="9"/>
        <v>0.1553398058252427</v>
      </c>
      <c r="N60" s="10">
        <v>0.8190688622233111</v>
      </c>
      <c r="O60" s="6">
        <v>6</v>
      </c>
      <c r="P60" s="12">
        <f t="shared" si="10"/>
        <v>2.9126213592233011E-2</v>
      </c>
      <c r="T60" s="5">
        <v>3.9116293074306592E-2</v>
      </c>
      <c r="U60" s="6">
        <v>2</v>
      </c>
      <c r="V60" s="12">
        <f t="shared" si="11"/>
        <v>9.7087378640776691E-3</v>
      </c>
      <c r="W60" s="5">
        <v>4.7162476352407647E-2</v>
      </c>
      <c r="X60" s="6">
        <v>0</v>
      </c>
      <c r="Y60" s="12">
        <f t="shared" si="12"/>
        <v>0</v>
      </c>
      <c r="AC60" s="5">
        <v>3.2847240832511204</v>
      </c>
      <c r="AD60" s="6">
        <v>31</v>
      </c>
      <c r="AE60" s="12">
        <f t="shared" si="13"/>
        <v>0.15121951219512195</v>
      </c>
      <c r="AF60" s="5">
        <v>3.3324294252832485</v>
      </c>
      <c r="AG60" s="6">
        <v>19</v>
      </c>
      <c r="AH60" s="12">
        <f t="shared" si="14"/>
        <v>9.2233009708737865E-2</v>
      </c>
    </row>
    <row r="61" spans="1:34">
      <c r="A61" s="2">
        <v>75</v>
      </c>
      <c r="B61" s="2">
        <v>0.74651551991701104</v>
      </c>
      <c r="C61" s="2">
        <v>5.9990722022664703E-3</v>
      </c>
      <c r="D61" s="2">
        <v>2.9317884728307</v>
      </c>
      <c r="E61" s="2">
        <v>0.352621814236044</v>
      </c>
      <c r="F61" s="2">
        <v>6.2071863101458196E-3</v>
      </c>
      <c r="G61" s="2">
        <v>2.8582859427606202</v>
      </c>
      <c r="K61" s="10">
        <v>0.88940407571039681</v>
      </c>
      <c r="L61" s="6">
        <v>13</v>
      </c>
      <c r="M61" s="12">
        <f t="shared" si="9"/>
        <v>6.3106796116504854E-2</v>
      </c>
      <c r="N61" s="10">
        <v>0.86715748788494773</v>
      </c>
      <c r="O61" s="6">
        <v>8</v>
      </c>
      <c r="P61" s="12">
        <f t="shared" si="10"/>
        <v>3.8834951456310676E-2</v>
      </c>
      <c r="T61" s="5">
        <v>4.364439064460366E-2</v>
      </c>
      <c r="U61" s="6">
        <v>2</v>
      </c>
      <c r="V61" s="12">
        <f t="shared" si="11"/>
        <v>9.7087378640776691E-3</v>
      </c>
      <c r="W61" s="5">
        <v>5.1813285509185396E-2</v>
      </c>
      <c r="X61" s="6">
        <v>0</v>
      </c>
      <c r="Y61" s="12">
        <f t="shared" si="12"/>
        <v>0</v>
      </c>
      <c r="AC61" s="5">
        <v>3.3361981353547998</v>
      </c>
      <c r="AD61" s="6">
        <v>9</v>
      </c>
      <c r="AE61" s="12">
        <f t="shared" si="13"/>
        <v>4.3902439024390241E-2</v>
      </c>
      <c r="AF61" s="5">
        <v>3.4283566589694066</v>
      </c>
      <c r="AG61" s="6">
        <v>5</v>
      </c>
      <c r="AH61" s="12">
        <f t="shared" si="14"/>
        <v>2.4271844660194174E-2</v>
      </c>
    </row>
    <row r="62" spans="1:34">
      <c r="A62" s="2">
        <v>76</v>
      </c>
      <c r="B62" s="2">
        <v>0.66088760892550102</v>
      </c>
      <c r="C62" s="2">
        <v>2.5030215627512099E-2</v>
      </c>
      <c r="D62" s="2">
        <v>3.23074094016612</v>
      </c>
      <c r="E62" s="2">
        <v>0.42342905327677699</v>
      </c>
      <c r="F62" s="2">
        <v>6.1177936405624102E-3</v>
      </c>
      <c r="G62" s="2">
        <v>2.8751345119722398</v>
      </c>
      <c r="K62" s="10">
        <v>0.92912247149567839</v>
      </c>
      <c r="L62" s="6">
        <v>9</v>
      </c>
      <c r="M62" s="12">
        <f t="shared" si="9"/>
        <v>4.3689320388349516E-2</v>
      </c>
      <c r="N62" s="10">
        <v>0.91524611354658436</v>
      </c>
      <c r="O62" s="6">
        <v>1</v>
      </c>
      <c r="P62" s="12">
        <f t="shared" si="10"/>
        <v>4.8543689320388345E-3</v>
      </c>
      <c r="T62" s="5">
        <v>4.8172488214900729E-2</v>
      </c>
      <c r="U62" s="6">
        <v>0</v>
      </c>
      <c r="V62" s="12">
        <f t="shared" si="11"/>
        <v>0</v>
      </c>
      <c r="W62" s="5">
        <v>5.6464094665963145E-2</v>
      </c>
      <c r="X62" s="6">
        <v>0</v>
      </c>
      <c r="Y62" s="12">
        <f t="shared" si="12"/>
        <v>0</v>
      </c>
      <c r="AC62" s="5">
        <v>3.3876721874584792</v>
      </c>
      <c r="AD62" s="6">
        <v>6</v>
      </c>
      <c r="AE62" s="12">
        <f t="shared" si="13"/>
        <v>2.9268292682926831E-2</v>
      </c>
      <c r="AF62" s="5">
        <v>3.5242838926555646</v>
      </c>
      <c r="AG62" s="6">
        <v>1</v>
      </c>
      <c r="AH62" s="12">
        <f t="shared" si="14"/>
        <v>4.8543689320388345E-3</v>
      </c>
    </row>
    <row r="63" spans="1:34">
      <c r="A63" s="2">
        <v>77</v>
      </c>
      <c r="B63" s="2">
        <v>0.46849596500396701</v>
      </c>
      <c r="C63" s="2">
        <v>1.0525018211183099E-2</v>
      </c>
      <c r="D63" s="2">
        <v>3.1882566229848002</v>
      </c>
      <c r="E63" s="2">
        <v>0.232767399400472</v>
      </c>
      <c r="F63" s="2">
        <v>4.6208418932103196E-3</v>
      </c>
      <c r="G63" s="2">
        <v>2.7813876007042002</v>
      </c>
      <c r="K63" s="10">
        <v>0.96884086728095997</v>
      </c>
      <c r="L63" s="6">
        <v>7</v>
      </c>
      <c r="M63" s="12">
        <f t="shared" si="9"/>
        <v>3.3980582524271843E-2</v>
      </c>
      <c r="N63" s="10">
        <v>0.96333473920822099</v>
      </c>
      <c r="O63" s="6">
        <v>2</v>
      </c>
      <c r="P63" s="12">
        <f t="shared" si="10"/>
        <v>9.7087378640776691E-3</v>
      </c>
      <c r="T63" s="5">
        <v>5.2700585785197797E-2</v>
      </c>
      <c r="U63" s="6">
        <v>1</v>
      </c>
      <c r="V63" s="12">
        <f t="shared" si="11"/>
        <v>4.8543689320388345E-3</v>
      </c>
      <c r="W63" s="5">
        <v>6.1114903822740894E-2</v>
      </c>
      <c r="X63" s="6">
        <v>0</v>
      </c>
      <c r="Y63" s="12">
        <f t="shared" si="12"/>
        <v>0</v>
      </c>
      <c r="AC63" s="5">
        <v>3.4391462395621586</v>
      </c>
      <c r="AD63" s="6">
        <v>0</v>
      </c>
      <c r="AE63" s="12">
        <f t="shared" si="13"/>
        <v>0</v>
      </c>
      <c r="AF63" s="5">
        <v>3.6202111263417227</v>
      </c>
      <c r="AG63" s="6">
        <v>1</v>
      </c>
      <c r="AH63" s="12">
        <f t="shared" si="14"/>
        <v>4.8543689320388345E-3</v>
      </c>
    </row>
    <row r="64" spans="1:34" ht="17" thickBot="1">
      <c r="A64" s="2">
        <v>78</v>
      </c>
      <c r="B64" s="2">
        <v>0.75232004125912899</v>
      </c>
      <c r="C64" s="2">
        <v>1.17368708237914E-2</v>
      </c>
      <c r="D64" s="2">
        <v>3.1975758768645801</v>
      </c>
      <c r="E64" s="2">
        <v>0.36322532594203899</v>
      </c>
      <c r="F64" s="2">
        <v>1.07710066229067E-2</v>
      </c>
      <c r="G64" s="2">
        <v>3.2959015619510699</v>
      </c>
      <c r="K64" s="7" t="s">
        <v>15</v>
      </c>
      <c r="L64" s="7">
        <v>0</v>
      </c>
      <c r="N64" s="7" t="s">
        <v>15</v>
      </c>
      <c r="O64" s="7">
        <v>0</v>
      </c>
      <c r="T64" s="7" t="s">
        <v>15</v>
      </c>
      <c r="U64" s="7">
        <v>0</v>
      </c>
      <c r="W64" s="7" t="s">
        <v>15</v>
      </c>
      <c r="X64" s="7">
        <v>1</v>
      </c>
      <c r="AC64" s="7" t="s">
        <v>15</v>
      </c>
      <c r="AD64" s="7">
        <v>1</v>
      </c>
      <c r="AF64" s="7" t="s">
        <v>15</v>
      </c>
      <c r="AG64" s="7">
        <v>0</v>
      </c>
    </row>
    <row r="65" spans="1:38">
      <c r="A65" s="2">
        <v>79</v>
      </c>
      <c r="B65" s="2">
        <v>0.40723571926355301</v>
      </c>
      <c r="C65" s="2">
        <v>2.2970256060014901E-2</v>
      </c>
      <c r="D65" s="2">
        <v>3.2321916981142</v>
      </c>
      <c r="E65" s="2">
        <v>6.1959922313690102E-2</v>
      </c>
      <c r="F65" s="2">
        <v>1.5893876997580401E-2</v>
      </c>
      <c r="G65" s="2">
        <v>1.9724072360223599</v>
      </c>
      <c r="L65">
        <f>SUM(L44:L63)</f>
        <v>206</v>
      </c>
      <c r="O65">
        <f>SUM(O44:O63)</f>
        <v>206</v>
      </c>
      <c r="U65">
        <f>SUM(U44:U63)</f>
        <v>206</v>
      </c>
      <c r="X65">
        <f>SUM(X44:X63)</f>
        <v>205</v>
      </c>
      <c r="AD65">
        <f>SUM(AD44:AD63)</f>
        <v>205</v>
      </c>
      <c r="AG65">
        <f>SUM(AG44:AG63)</f>
        <v>206</v>
      </c>
    </row>
    <row r="66" spans="1:38">
      <c r="A66" s="2">
        <v>80</v>
      </c>
      <c r="B66" s="2">
        <v>0.54607281088828996</v>
      </c>
      <c r="C66" s="2">
        <v>1.9138907699147702E-2</v>
      </c>
      <c r="D66" s="2">
        <v>3.0848691888919602</v>
      </c>
      <c r="E66" s="2">
        <v>0.266304845611254</v>
      </c>
      <c r="F66" s="2">
        <v>4.4321848577529403E-3</v>
      </c>
      <c r="G66" s="2">
        <v>3.1419522096525099</v>
      </c>
    </row>
    <row r="67" spans="1:38">
      <c r="A67" s="2">
        <v>81</v>
      </c>
      <c r="B67" s="2">
        <v>0.58313934008280399</v>
      </c>
      <c r="C67" s="2">
        <v>1.0624685895747801E-2</v>
      </c>
      <c r="D67" s="2">
        <v>3.0419777539337001</v>
      </c>
      <c r="E67" s="2">
        <v>0.54384025683005599</v>
      </c>
      <c r="F67" s="2">
        <v>-1.4967257910569699E-4</v>
      </c>
      <c r="G67" s="2">
        <v>3.1933337633269501</v>
      </c>
    </row>
    <row r="68" spans="1:38">
      <c r="A68" s="2">
        <v>83</v>
      </c>
      <c r="B68" s="2">
        <v>0.73934220075607304</v>
      </c>
      <c r="C68" s="2">
        <v>-1.5901016801617499E-2</v>
      </c>
      <c r="D68" s="2">
        <v>3.2533520891799101</v>
      </c>
      <c r="E68" s="2">
        <v>0.64850965291261597</v>
      </c>
      <c r="F68" s="2">
        <v>-4.6859832646767002E-3</v>
      </c>
      <c r="G68" s="2">
        <v>3.1978976367216299</v>
      </c>
    </row>
    <row r="69" spans="1:38">
      <c r="A69" s="2">
        <v>85</v>
      </c>
      <c r="B69" s="2">
        <v>0.59826772411664297</v>
      </c>
      <c r="C69" s="2">
        <v>-5.3757513089376296E-3</v>
      </c>
      <c r="D69" s="2">
        <v>3.2398231082995501</v>
      </c>
      <c r="E69" s="2">
        <v>0.50823777417341798</v>
      </c>
      <c r="F69" s="2">
        <v>2.2919223832059701E-2</v>
      </c>
      <c r="G69" s="2">
        <v>2.9465493435187899</v>
      </c>
    </row>
    <row r="70" spans="1:38">
      <c r="A70" s="2">
        <v>86</v>
      </c>
      <c r="B70" s="2">
        <v>0.65348944067954995</v>
      </c>
      <c r="C70" s="2">
        <v>3.8576635249025701E-2</v>
      </c>
      <c r="D70" s="2">
        <v>3.0640463086991101</v>
      </c>
      <c r="E70" s="2">
        <v>0.47942499443888598</v>
      </c>
      <c r="F70" s="2">
        <v>1.8217657002280601E-2</v>
      </c>
      <c r="G70" s="2">
        <v>2.6873094449066501</v>
      </c>
    </row>
    <row r="71" spans="1:38">
      <c r="A71" s="2">
        <v>87</v>
      </c>
      <c r="B71" s="2">
        <v>0.60686961561441399</v>
      </c>
      <c r="C71" s="2">
        <v>1.52905744981794E-2</v>
      </c>
      <c r="D71" s="2">
        <v>3.25910268046542</v>
      </c>
      <c r="E71" s="2">
        <v>0.41618031822144902</v>
      </c>
      <c r="F71" s="2">
        <v>4.4769383126830303E-3</v>
      </c>
      <c r="G71" s="2">
        <v>2.9053917055926699</v>
      </c>
      <c r="J71" t="s">
        <v>21</v>
      </c>
      <c r="K71" s="11">
        <v>0.21419134736060999</v>
      </c>
      <c r="L71" s="11">
        <v>4.8543689320388345E-3</v>
      </c>
    </row>
    <row r="72" spans="1:38">
      <c r="A72" s="2">
        <v>89</v>
      </c>
      <c r="B72" s="2">
        <v>0.79561235755681903</v>
      </c>
      <c r="C72" s="2">
        <v>6.4496821052473204E-3</v>
      </c>
      <c r="D72" s="2">
        <v>3.0418453057125401</v>
      </c>
      <c r="E72" s="2">
        <v>0.69164422899484601</v>
      </c>
      <c r="F72" s="2">
        <v>-2.8861665462991399E-3</v>
      </c>
      <c r="G72" s="2">
        <v>2.93284339999905</v>
      </c>
      <c r="J72" t="s">
        <v>21</v>
      </c>
      <c r="K72" s="11">
        <v>0.25390974314589154</v>
      </c>
      <c r="L72" s="11">
        <v>4.8543689320388345E-3</v>
      </c>
    </row>
    <row r="73" spans="1:38">
      <c r="A73" s="2">
        <v>91</v>
      </c>
      <c r="B73" s="2">
        <v>0.57318237423896701</v>
      </c>
      <c r="C73" s="2">
        <v>6.92939656620087E-3</v>
      </c>
      <c r="D73" s="2">
        <v>3.16547038490849</v>
      </c>
      <c r="E73" s="2">
        <v>0.41654776036739299</v>
      </c>
      <c r="F73" s="2">
        <v>1.1316085590692601E-2</v>
      </c>
      <c r="G73" s="2">
        <v>3.1763192931908399</v>
      </c>
      <c r="J73" t="s">
        <v>21</v>
      </c>
      <c r="K73" s="11">
        <v>0.29362813893117312</v>
      </c>
      <c r="L73" s="11">
        <v>4.8543689320388345E-3</v>
      </c>
      <c r="T73" t="s">
        <v>21</v>
      </c>
      <c r="U73">
        <v>-3.33332680504465E-2</v>
      </c>
      <c r="V73">
        <v>4.8543689320388345E-3</v>
      </c>
      <c r="AJ73" t="s">
        <v>21</v>
      </c>
      <c r="AK73">
        <v>2.4611392495922502</v>
      </c>
      <c r="AL73">
        <v>4.8780487804878049E-3</v>
      </c>
    </row>
    <row r="74" spans="1:38">
      <c r="A74" s="2">
        <v>93</v>
      </c>
      <c r="B74" s="2">
        <v>0.68623365089297295</v>
      </c>
      <c r="C74" s="2">
        <v>-3.33332680504465E-2</v>
      </c>
      <c r="D74" s="2">
        <v>3.2442087007681999</v>
      </c>
      <c r="E74" s="2">
        <v>0.64962664991617203</v>
      </c>
      <c r="F74" s="2">
        <v>-9.7477185005203602E-3</v>
      </c>
      <c r="G74" s="2">
        <v>2.8720738475144301</v>
      </c>
      <c r="J74" t="s">
        <v>21</v>
      </c>
      <c r="K74" s="11">
        <v>0.3333465347164547</v>
      </c>
      <c r="L74" s="11">
        <v>4.8543689320388345E-3</v>
      </c>
      <c r="T74" t="s">
        <v>21</v>
      </c>
      <c r="U74">
        <v>-2.8805170480149432E-2</v>
      </c>
      <c r="V74">
        <v>9.7087378640776691E-3</v>
      </c>
      <c r="AJ74" t="s">
        <v>21</v>
      </c>
      <c r="AK74">
        <v>2.5126133016959296</v>
      </c>
      <c r="AL74">
        <v>4.8780487804878049E-3</v>
      </c>
    </row>
    <row r="75" spans="1:38">
      <c r="A75" s="2">
        <v>94</v>
      </c>
      <c r="B75" s="2">
        <v>0.784006083011627</v>
      </c>
      <c r="C75" s="2">
        <v>8.0848567063256296E-3</v>
      </c>
      <c r="D75" s="2">
        <v>3.1663480117896601</v>
      </c>
      <c r="E75" s="2">
        <v>0.64402157068252497</v>
      </c>
      <c r="F75" s="2">
        <v>1.2813851484445101E-3</v>
      </c>
      <c r="G75" s="2">
        <v>3.21147363352173</v>
      </c>
      <c r="J75" t="s">
        <v>21</v>
      </c>
      <c r="K75" s="11">
        <v>0.37306493050173628</v>
      </c>
      <c r="L75" s="11">
        <v>0</v>
      </c>
      <c r="T75" t="s">
        <v>21</v>
      </c>
      <c r="U75">
        <v>-2.4277072909852364E-2</v>
      </c>
      <c r="V75">
        <v>4.8543689320388345E-3</v>
      </c>
      <c r="AJ75" t="s">
        <v>21</v>
      </c>
      <c r="AK75">
        <v>2.5640873537996089</v>
      </c>
      <c r="AL75">
        <v>0</v>
      </c>
    </row>
    <row r="76" spans="1:38">
      <c r="A76" s="2">
        <v>95</v>
      </c>
      <c r="B76" s="2">
        <v>0.870330506563186</v>
      </c>
      <c r="C76" s="2">
        <v>4.7038070313135403E-3</v>
      </c>
      <c r="D76" s="2">
        <v>3.1671034547715702</v>
      </c>
      <c r="E76" s="2">
        <v>0.68289041519164995</v>
      </c>
      <c r="F76" s="2">
        <v>2.9160416368533799E-2</v>
      </c>
      <c r="G76" s="2">
        <v>3.2868986291993001</v>
      </c>
      <c r="J76" t="s">
        <v>21</v>
      </c>
      <c r="K76" s="11">
        <v>0.41278332628701786</v>
      </c>
      <c r="L76" s="11">
        <v>9.7087378640776691E-3</v>
      </c>
      <c r="T76" t="s">
        <v>21</v>
      </c>
      <c r="U76">
        <v>-1.9748975339555296E-2</v>
      </c>
      <c r="V76">
        <v>9.7087378640776691E-3</v>
      </c>
      <c r="AJ76" t="s">
        <v>21</v>
      </c>
      <c r="AK76">
        <v>2.6155614059032883</v>
      </c>
      <c r="AL76">
        <v>0</v>
      </c>
    </row>
    <row r="77" spans="1:38">
      <c r="A77" s="2">
        <v>98</v>
      </c>
      <c r="B77" s="2">
        <v>0.61441156268119801</v>
      </c>
      <c r="C77" s="2">
        <v>2.9933230099326E-2</v>
      </c>
      <c r="D77" s="2">
        <v>3.2640939776344902</v>
      </c>
      <c r="E77" s="2">
        <v>6.6406488418579102E-2</v>
      </c>
      <c r="F77" s="2">
        <v>1.18647078930607E-2</v>
      </c>
      <c r="G77" s="2">
        <v>1.8656930317270199</v>
      </c>
      <c r="J77" t="s">
        <v>21</v>
      </c>
      <c r="K77" s="11">
        <v>0.45250172207229944</v>
      </c>
      <c r="L77" s="11">
        <v>9.7087378640776691E-3</v>
      </c>
      <c r="T77" t="s">
        <v>21</v>
      </c>
      <c r="U77">
        <v>-1.5220877769258227E-2</v>
      </c>
      <c r="V77">
        <v>1.9417475728155338E-2</v>
      </c>
      <c r="AJ77" t="s">
        <v>21</v>
      </c>
      <c r="AK77">
        <v>2.6670354580069677</v>
      </c>
      <c r="AL77">
        <v>0</v>
      </c>
    </row>
    <row r="78" spans="1:38">
      <c r="A78" s="2">
        <v>99</v>
      </c>
      <c r="B78" s="2">
        <v>0.75194824735323496</v>
      </c>
      <c r="C78" s="2">
        <v>2.3719500471053999E-2</v>
      </c>
      <c r="D78" s="2">
        <v>3.0254253613504298</v>
      </c>
      <c r="E78" s="2">
        <v>0.331057749688625</v>
      </c>
      <c r="F78" s="2">
        <v>1.8589342978341201E-2</v>
      </c>
      <c r="G78" s="2">
        <v>2.8060562838275702</v>
      </c>
      <c r="J78" t="s">
        <v>21</v>
      </c>
      <c r="K78" s="11">
        <v>0.49222011785758102</v>
      </c>
      <c r="L78" s="11">
        <v>2.9126213592233011E-2</v>
      </c>
      <c r="T78" t="s">
        <v>21</v>
      </c>
      <c r="U78">
        <v>-1.0692780198961159E-2</v>
      </c>
      <c r="V78">
        <v>3.8834951456310676E-2</v>
      </c>
      <c r="AJ78" t="s">
        <v>21</v>
      </c>
      <c r="AK78">
        <v>2.7185095101106471</v>
      </c>
      <c r="AL78">
        <v>0</v>
      </c>
    </row>
    <row r="79" spans="1:38">
      <c r="A79" s="2">
        <v>100</v>
      </c>
      <c r="B79" s="2">
        <v>0.52207649747530605</v>
      </c>
      <c r="C79" s="2">
        <v>-1.4097792686011201E-2</v>
      </c>
      <c r="D79" s="2">
        <v>3.0848131688333602</v>
      </c>
      <c r="E79" s="2">
        <v>0.67143374681472701</v>
      </c>
      <c r="F79" s="2">
        <v>-1.9062031695675101E-2</v>
      </c>
      <c r="G79" s="2">
        <v>2.8876760230756102</v>
      </c>
      <c r="J79" t="s">
        <v>21</v>
      </c>
      <c r="K79" s="11">
        <v>0.5319385136428626</v>
      </c>
      <c r="L79" s="11">
        <v>1.9417475728155338E-2</v>
      </c>
      <c r="T79" t="s">
        <v>21</v>
      </c>
      <c r="U79">
        <v>-6.1646826286640907E-3</v>
      </c>
      <c r="V79">
        <v>9.2233009708737865E-2</v>
      </c>
      <c r="AJ79" t="s">
        <v>21</v>
      </c>
      <c r="AK79">
        <v>2.7699835622143265</v>
      </c>
      <c r="AL79">
        <v>9.7560975609756097E-3</v>
      </c>
    </row>
    <row r="80" spans="1:38">
      <c r="A80" s="2">
        <v>101</v>
      </c>
      <c r="B80" s="2">
        <v>0.87302832305431299</v>
      </c>
      <c r="C80" s="2">
        <v>4.1563276491842702E-3</v>
      </c>
      <c r="D80" s="2">
        <v>3.2929117074468901</v>
      </c>
      <c r="E80" s="2">
        <v>0.85384164253870598</v>
      </c>
      <c r="F80" s="2">
        <v>-3.28538997741745E-3</v>
      </c>
      <c r="G80" s="2">
        <v>3.2563559412292902</v>
      </c>
      <c r="J80" t="s">
        <v>21</v>
      </c>
      <c r="K80" s="11">
        <v>0.57165690942814418</v>
      </c>
      <c r="L80" s="11">
        <v>4.3689320388349516E-2</v>
      </c>
      <c r="T80" t="s">
        <v>21</v>
      </c>
      <c r="U80">
        <v>-1.6365850583670224E-3</v>
      </c>
      <c r="V80">
        <v>6.3106796116504854E-2</v>
      </c>
      <c r="AJ80" t="s">
        <v>21</v>
      </c>
      <c r="AK80">
        <v>2.8214576143180059</v>
      </c>
      <c r="AL80">
        <v>2.4390243902439025E-2</v>
      </c>
    </row>
    <row r="81" spans="1:38">
      <c r="A81" s="2">
        <v>102</v>
      </c>
      <c r="B81" s="2">
        <v>0.81171157956123297</v>
      </c>
      <c r="C81" s="2">
        <v>1.64209887011178E-2</v>
      </c>
      <c r="D81" s="2">
        <v>3.2398586372973299</v>
      </c>
      <c r="E81" s="2">
        <v>0.69406513373056999</v>
      </c>
      <c r="F81" s="2">
        <v>2.4897342014692798E-2</v>
      </c>
      <c r="G81" s="2">
        <v>3.11626906403459</v>
      </c>
      <c r="J81" t="s">
        <v>21</v>
      </c>
      <c r="K81" s="11">
        <v>0.61137530521342576</v>
      </c>
      <c r="L81" s="11">
        <v>5.8252427184466021E-2</v>
      </c>
      <c r="T81" t="s">
        <v>21</v>
      </c>
      <c r="U81">
        <v>2.8915125119300458E-3</v>
      </c>
      <c r="V81">
        <v>0.10679611650485436</v>
      </c>
      <c r="AJ81" t="s">
        <v>21</v>
      </c>
      <c r="AK81">
        <v>2.8729316664216853</v>
      </c>
      <c r="AL81">
        <v>1.4634146341463415E-2</v>
      </c>
    </row>
    <row r="82" spans="1:38">
      <c r="A82" s="2">
        <v>103</v>
      </c>
      <c r="B82" s="2">
        <v>0.78901805281639104</v>
      </c>
      <c r="C82" s="2">
        <v>6.0737381567232502E-3</v>
      </c>
      <c r="D82" s="2">
        <v>3.1914386663613001</v>
      </c>
      <c r="E82" s="2">
        <v>5.5080205202102599E-2</v>
      </c>
      <c r="F82" s="2">
        <v>2.1537120299740298E-2</v>
      </c>
      <c r="G82" s="2">
        <v>2.7337592345170201</v>
      </c>
      <c r="J82" t="s">
        <v>21</v>
      </c>
      <c r="K82" s="11">
        <v>0.65109370099870734</v>
      </c>
      <c r="L82" s="11">
        <v>6.7961165048543687E-2</v>
      </c>
      <c r="T82" t="s">
        <v>21</v>
      </c>
      <c r="U82">
        <v>7.4196100822271141E-3</v>
      </c>
      <c r="V82">
        <v>0.16019417475728157</v>
      </c>
      <c r="AJ82" t="s">
        <v>21</v>
      </c>
      <c r="AK82">
        <v>2.9244057185253647</v>
      </c>
      <c r="AL82">
        <v>3.4146341463414637E-2</v>
      </c>
    </row>
    <row r="83" spans="1:38">
      <c r="A83" s="2">
        <v>104</v>
      </c>
      <c r="B83" s="2">
        <v>0.90853191912174203</v>
      </c>
      <c r="C83" s="2">
        <v>-4.5617601062466397E-3</v>
      </c>
      <c r="D83" s="2">
        <v>3.2174818088381301</v>
      </c>
      <c r="E83" s="2">
        <v>0.61411187052726701</v>
      </c>
      <c r="F83" s="2">
        <v>1.8706208260816402E-2</v>
      </c>
      <c r="G83" s="2">
        <v>3.2635859131590399</v>
      </c>
      <c r="J83" t="s">
        <v>21</v>
      </c>
      <c r="K83" s="11">
        <v>0.69081209678398892</v>
      </c>
      <c r="L83" s="11">
        <v>9.7087378640776698E-2</v>
      </c>
      <c r="T83" t="s">
        <v>21</v>
      </c>
      <c r="U83">
        <v>1.1947707652524182E-2</v>
      </c>
      <c r="V83">
        <v>0.11165048543689321</v>
      </c>
      <c r="AJ83" t="s">
        <v>21</v>
      </c>
      <c r="AK83">
        <v>2.9758797706290441</v>
      </c>
      <c r="AL83">
        <v>0.14146341463414633</v>
      </c>
    </row>
    <row r="84" spans="1:38">
      <c r="A84" s="2">
        <v>106</v>
      </c>
      <c r="B84" s="2">
        <v>0.95078837871551503</v>
      </c>
      <c r="C84" s="2">
        <v>1.43514774473807E-2</v>
      </c>
      <c r="D84" s="2">
        <v>3.1342968993134002</v>
      </c>
      <c r="E84" s="2">
        <v>0.67694032192230202</v>
      </c>
      <c r="F84" s="2">
        <v>-1.24997456789562E-2</v>
      </c>
      <c r="G84" s="2">
        <v>3.1722487660805001</v>
      </c>
      <c r="J84" t="s">
        <v>21</v>
      </c>
      <c r="K84" s="11">
        <v>0.7305304925692705</v>
      </c>
      <c r="L84" s="11">
        <v>6.7961165048543687E-2</v>
      </c>
      <c r="T84" t="s">
        <v>21</v>
      </c>
      <c r="U84">
        <v>1.6475805222821251E-2</v>
      </c>
      <c r="V84">
        <v>9.2233009708737865E-2</v>
      </c>
      <c r="AJ84" t="s">
        <v>21</v>
      </c>
      <c r="AK84">
        <v>3.0273538227327235</v>
      </c>
      <c r="AL84">
        <v>6.8292682926829273E-2</v>
      </c>
    </row>
    <row r="85" spans="1:38">
      <c r="A85" s="2">
        <v>107</v>
      </c>
      <c r="B85" s="2">
        <v>0.83227034211158701</v>
      </c>
      <c r="C85" s="2">
        <v>1.48508123910602E-2</v>
      </c>
      <c r="D85" s="2">
        <v>3.2083745489665301</v>
      </c>
      <c r="E85" s="2">
        <v>0.58971222639083798</v>
      </c>
      <c r="F85" s="2">
        <v>3.62325284865225E-3</v>
      </c>
      <c r="G85" s="2">
        <v>3.08330643785153</v>
      </c>
      <c r="J85" t="s">
        <v>21</v>
      </c>
      <c r="K85" s="11">
        <v>0.77024888835455207</v>
      </c>
      <c r="L85" s="11">
        <v>0.14077669902912621</v>
      </c>
      <c r="T85" t="s">
        <v>21</v>
      </c>
      <c r="U85">
        <v>2.1003902793118319E-2</v>
      </c>
      <c r="V85">
        <v>0.10194174757281553</v>
      </c>
      <c r="AJ85" t="s">
        <v>21</v>
      </c>
      <c r="AK85">
        <v>3.0788278748364029</v>
      </c>
      <c r="AL85">
        <v>9.2682926829268292E-2</v>
      </c>
    </row>
    <row r="86" spans="1:38">
      <c r="A86" s="2">
        <v>108</v>
      </c>
      <c r="B86" s="2">
        <v>0.81763469427823998</v>
      </c>
      <c r="C86" s="2">
        <v>-1.36376808313232E-2</v>
      </c>
      <c r="D86" s="2">
        <v>3.08710532000087</v>
      </c>
      <c r="E86" s="2">
        <v>8.5432656109332997E-2</v>
      </c>
      <c r="F86" s="2">
        <v>3.2198926047172401E-2</v>
      </c>
      <c r="G86" s="2">
        <v>3.1853567622433201</v>
      </c>
      <c r="J86" t="s">
        <v>21</v>
      </c>
      <c r="K86" s="11">
        <v>0.80996728413983365</v>
      </c>
      <c r="L86" s="11">
        <v>0.14077669902912621</v>
      </c>
      <c r="T86" t="s">
        <v>21</v>
      </c>
      <c r="U86">
        <v>2.5532000363415387E-2</v>
      </c>
      <c r="V86">
        <v>8.2524271844660199E-2</v>
      </c>
      <c r="AJ86" t="s">
        <v>21</v>
      </c>
      <c r="AK86">
        <v>3.1303019269400822</v>
      </c>
      <c r="AL86">
        <v>0.11219512195121951</v>
      </c>
    </row>
    <row r="87" spans="1:38">
      <c r="A87" s="2">
        <v>110</v>
      </c>
      <c r="B87" s="2">
        <v>0.68325236439704895</v>
      </c>
      <c r="C87" s="2">
        <v>-6.3793503199001097E-3</v>
      </c>
      <c r="D87" s="2">
        <v>3.19577207339678</v>
      </c>
      <c r="E87" s="2">
        <v>0.20555133124192501</v>
      </c>
      <c r="F87" s="2">
        <v>-1.0408811650035399E-2</v>
      </c>
      <c r="G87" s="2">
        <v>3.3626529133910501</v>
      </c>
      <c r="J87" t="s">
        <v>21</v>
      </c>
      <c r="K87" s="11">
        <v>0.84968567992511523</v>
      </c>
      <c r="L87" s="11">
        <v>0.1553398058252427</v>
      </c>
      <c r="T87" t="s">
        <v>21</v>
      </c>
      <c r="U87">
        <v>3.0060097933712455E-2</v>
      </c>
      <c r="V87">
        <v>2.9126213592233011E-2</v>
      </c>
      <c r="AJ87" t="s">
        <v>21</v>
      </c>
      <c r="AK87">
        <v>3.1817759790437616</v>
      </c>
      <c r="AL87">
        <v>0.13658536585365855</v>
      </c>
    </row>
    <row r="88" spans="1:38">
      <c r="A88" s="2">
        <v>111</v>
      </c>
      <c r="B88" s="2">
        <v>0.74859678745269698</v>
      </c>
      <c r="C88" s="2">
        <v>-5.7712389041189001E-3</v>
      </c>
      <c r="D88" s="2">
        <v>3.2320916272045102</v>
      </c>
      <c r="E88" s="2">
        <v>0.27923292666673599</v>
      </c>
      <c r="F88" s="2">
        <v>9.8608493767748905E-3</v>
      </c>
      <c r="G88" s="2">
        <v>2.7081272904767602</v>
      </c>
      <c r="J88" t="s">
        <v>21</v>
      </c>
      <c r="K88" s="11">
        <v>0.88940407571039681</v>
      </c>
      <c r="L88" s="11">
        <v>6.3106796116504854E-2</v>
      </c>
      <c r="T88" t="s">
        <v>21</v>
      </c>
      <c r="U88">
        <v>3.4588195504009524E-2</v>
      </c>
      <c r="V88">
        <v>4.8543689320388349E-2</v>
      </c>
      <c r="AJ88" t="s">
        <v>21</v>
      </c>
      <c r="AK88">
        <v>3.233250031147441</v>
      </c>
      <c r="AL88">
        <v>0.13170731707317074</v>
      </c>
    </row>
    <row r="89" spans="1:38">
      <c r="A89" s="2">
        <v>112</v>
      </c>
      <c r="B89" s="2">
        <v>0.85825625061988797</v>
      </c>
      <c r="C89" s="2">
        <v>1.50735122061718E-3</v>
      </c>
      <c r="D89" s="2">
        <v>3.288745857606</v>
      </c>
      <c r="E89" s="2">
        <v>0.73064048091570499</v>
      </c>
      <c r="F89" s="2">
        <v>2.7983386335961302E-4</v>
      </c>
      <c r="G89" s="2">
        <v>3.1365747363838499</v>
      </c>
      <c r="J89" t="s">
        <v>21</v>
      </c>
      <c r="K89" s="11">
        <v>0.92912247149567839</v>
      </c>
      <c r="L89" s="11">
        <v>4.3689320388349516E-2</v>
      </c>
      <c r="T89" t="s">
        <v>21</v>
      </c>
      <c r="U89">
        <v>3.9116293074306592E-2</v>
      </c>
      <c r="V89">
        <v>9.7087378640776691E-3</v>
      </c>
      <c r="AJ89" t="s">
        <v>21</v>
      </c>
      <c r="AK89">
        <v>3.2847240832511204</v>
      </c>
      <c r="AL89">
        <v>0.15121951219512195</v>
      </c>
    </row>
    <row r="90" spans="1:38">
      <c r="A90" s="2">
        <v>114</v>
      </c>
      <c r="B90" s="2">
        <v>0.62513597806294696</v>
      </c>
      <c r="C90" s="2">
        <v>2.0085011085273601E-2</v>
      </c>
      <c r="D90" s="2">
        <v>3.1338569396651801</v>
      </c>
      <c r="E90" s="2">
        <v>0.49036579330762198</v>
      </c>
      <c r="F90" s="2">
        <v>-4.9248657972664001E-3</v>
      </c>
      <c r="G90" s="2">
        <v>3.0451022072758498</v>
      </c>
      <c r="J90" t="s">
        <v>21</v>
      </c>
      <c r="K90" s="11">
        <v>0.96884086728095997</v>
      </c>
      <c r="L90" s="11">
        <v>3.3980582524271843E-2</v>
      </c>
      <c r="T90" t="s">
        <v>21</v>
      </c>
      <c r="U90">
        <v>4.364439064460366E-2</v>
      </c>
      <c r="V90">
        <v>9.7087378640776691E-3</v>
      </c>
      <c r="AJ90" t="s">
        <v>21</v>
      </c>
      <c r="AK90">
        <v>3.3361981353547998</v>
      </c>
      <c r="AL90">
        <v>4.3902439024390241E-2</v>
      </c>
    </row>
    <row r="91" spans="1:38">
      <c r="A91" s="2">
        <v>118</v>
      </c>
      <c r="B91" s="2">
        <v>0.69026680787404304</v>
      </c>
      <c r="C91" s="2">
        <v>-3.14873026430674E-2</v>
      </c>
      <c r="D91" s="2">
        <v>2.93694487231136</v>
      </c>
      <c r="E91" s="2">
        <v>9.7323998808860696E-2</v>
      </c>
      <c r="F91" s="2">
        <v>1.14226422900927E-2</v>
      </c>
      <c r="G91" s="2">
        <v>2.6032143961249599</v>
      </c>
      <c r="J91" t="s">
        <v>22</v>
      </c>
      <c r="K91" s="9">
        <v>4.9650851637125001E-2</v>
      </c>
      <c r="L91" s="11">
        <v>4.8543689320388345E-3</v>
      </c>
      <c r="T91" t="s">
        <v>21</v>
      </c>
      <c r="U91">
        <v>4.8172488214900729E-2</v>
      </c>
      <c r="V91">
        <v>0</v>
      </c>
      <c r="AJ91" t="s">
        <v>21</v>
      </c>
      <c r="AK91">
        <v>3.3876721874584792</v>
      </c>
      <c r="AL91">
        <v>2.9268292682926831E-2</v>
      </c>
    </row>
    <row r="92" spans="1:38">
      <c r="A92" s="2">
        <v>119</v>
      </c>
      <c r="B92" s="2">
        <v>0.74430921673774697</v>
      </c>
      <c r="C92" s="2">
        <v>1.6677817691572699E-3</v>
      </c>
      <c r="D92" s="2">
        <v>3.2153388285152502</v>
      </c>
      <c r="E92" s="2">
        <v>0.39332568645477201</v>
      </c>
      <c r="F92" s="2">
        <v>-1.34955436139307E-2</v>
      </c>
      <c r="G92" s="2">
        <v>2.88601339513363</v>
      </c>
      <c r="J92" t="s">
        <v>22</v>
      </c>
      <c r="K92" s="9">
        <v>9.7739477298761632E-2</v>
      </c>
      <c r="L92" s="11">
        <v>0.10194174757281553</v>
      </c>
      <c r="T92" t="s">
        <v>21</v>
      </c>
      <c r="U92">
        <v>5.2700585785197797E-2</v>
      </c>
      <c r="V92">
        <v>4.8543689320388345E-3</v>
      </c>
      <c r="AJ92" t="s">
        <v>21</v>
      </c>
      <c r="AK92">
        <v>3.4391462395621586</v>
      </c>
      <c r="AL92">
        <v>0</v>
      </c>
    </row>
    <row r="93" spans="1:38">
      <c r="A93" s="2">
        <v>120</v>
      </c>
      <c r="B93" s="2">
        <v>0.56799325719475702</v>
      </c>
      <c r="C93" s="2">
        <v>-7.0450849128071901E-3</v>
      </c>
      <c r="D93" s="2">
        <v>3.3631694499900302</v>
      </c>
      <c r="E93" s="2">
        <v>0.54943374991416905</v>
      </c>
      <c r="F93" s="2">
        <v>-3.24290828442883E-3</v>
      </c>
      <c r="G93" s="2">
        <v>3.06362203390528</v>
      </c>
      <c r="J93" t="s">
        <v>22</v>
      </c>
      <c r="K93" s="9">
        <v>0.14582810296039828</v>
      </c>
      <c r="L93" s="11">
        <v>1.9417475728155338E-2</v>
      </c>
      <c r="T93" t="s">
        <v>22</v>
      </c>
      <c r="U93">
        <v>-2.7250470156036301E-2</v>
      </c>
      <c r="V93">
        <v>4.8780487804878049E-3</v>
      </c>
      <c r="AJ93" t="s">
        <v>22</v>
      </c>
      <c r="AK93">
        <v>1.7975936863047199</v>
      </c>
      <c r="AL93">
        <v>4.8543689320388345E-3</v>
      </c>
    </row>
    <row r="94" spans="1:38">
      <c r="A94" s="2">
        <v>121</v>
      </c>
      <c r="B94" s="2">
        <v>0.66664482839405503</v>
      </c>
      <c r="C94" s="2">
        <v>-3.1135429897901001E-3</v>
      </c>
      <c r="D94" s="2">
        <v>3.1001990256098502</v>
      </c>
      <c r="E94" s="2">
        <v>6.0963563621044103E-2</v>
      </c>
      <c r="F94" s="2">
        <v>1.10979760808156E-2</v>
      </c>
      <c r="G94" s="2">
        <v>2.6490086393253498</v>
      </c>
      <c r="J94" t="s">
        <v>22</v>
      </c>
      <c r="K94" s="9">
        <v>0.19391672862203491</v>
      </c>
      <c r="L94" s="11">
        <v>4.8543689320388349E-2</v>
      </c>
      <c r="T94" t="s">
        <v>22</v>
      </c>
      <c r="U94">
        <v>-2.2599660999258555E-2</v>
      </c>
      <c r="V94">
        <v>0</v>
      </c>
      <c r="AJ94" t="s">
        <v>22</v>
      </c>
      <c r="AK94">
        <v>1.8935209199908778</v>
      </c>
      <c r="AL94">
        <v>4.8543689320388349E-2</v>
      </c>
    </row>
    <row r="95" spans="1:38">
      <c r="A95" s="2">
        <v>123</v>
      </c>
      <c r="B95" s="2">
        <v>0.65656665712594897</v>
      </c>
      <c r="C95" s="2">
        <v>7.0400584777825497E-3</v>
      </c>
      <c r="D95" s="2">
        <v>3.2052558043934498</v>
      </c>
      <c r="E95" s="2">
        <v>0.16777761280536599</v>
      </c>
      <c r="F95" s="2">
        <v>1.12165950680207E-2</v>
      </c>
      <c r="G95" s="2">
        <v>2.7132951433574202</v>
      </c>
      <c r="J95" t="s">
        <v>22</v>
      </c>
      <c r="K95" s="9">
        <v>0.24200535428367154</v>
      </c>
      <c r="L95" s="11">
        <v>2.9126213592233011E-2</v>
      </c>
      <c r="T95" t="s">
        <v>22</v>
      </c>
      <c r="U95">
        <v>-1.7948851842480809E-2</v>
      </c>
      <c r="V95">
        <v>1.9512195121951219E-2</v>
      </c>
      <c r="AJ95" t="s">
        <v>22</v>
      </c>
      <c r="AK95">
        <v>1.9894481536770356</v>
      </c>
      <c r="AL95">
        <v>2.4271844660194174E-2</v>
      </c>
    </row>
    <row r="96" spans="1:38">
      <c r="A96" s="2">
        <v>124</v>
      </c>
      <c r="B96" s="2">
        <v>0.68710393706957495</v>
      </c>
      <c r="C96" s="2">
        <v>2.2184570352332299E-2</v>
      </c>
      <c r="D96" s="2">
        <v>3.0712949653743302</v>
      </c>
      <c r="E96" s="2">
        <v>0.59218348562717404</v>
      </c>
      <c r="F96" s="2">
        <v>3.3502056421454499E-2</v>
      </c>
      <c r="G96" s="2">
        <v>3.2247010886707201</v>
      </c>
      <c r="J96" t="s">
        <v>22</v>
      </c>
      <c r="K96" s="9">
        <v>0.29009397994530817</v>
      </c>
      <c r="L96" s="11">
        <v>3.8834951456310676E-2</v>
      </c>
      <c r="T96" t="s">
        <v>22</v>
      </c>
      <c r="U96">
        <v>-1.3298042685703063E-2</v>
      </c>
      <c r="V96">
        <v>4.878048780487805E-2</v>
      </c>
      <c r="AJ96" t="s">
        <v>22</v>
      </c>
      <c r="AK96">
        <v>2.0853753873631935</v>
      </c>
      <c r="AL96">
        <v>1.9417475728155338E-2</v>
      </c>
    </row>
    <row r="97" spans="1:38">
      <c r="A97" s="2">
        <v>126</v>
      </c>
      <c r="B97" s="2">
        <v>0.81072809298833204</v>
      </c>
      <c r="C97" s="2">
        <v>7.0965305277189998E-3</v>
      </c>
      <c r="D97" s="2">
        <v>3.02933449898409</v>
      </c>
      <c r="E97" s="2">
        <v>6.5656989812850897E-2</v>
      </c>
      <c r="F97" s="2">
        <v>1.1488744705559301E-2</v>
      </c>
      <c r="G97" s="2">
        <v>1.82626332828088</v>
      </c>
      <c r="J97" t="s">
        <v>22</v>
      </c>
      <c r="K97" s="9">
        <v>0.3381826056069448</v>
      </c>
      <c r="L97" s="11">
        <v>4.3689320388349516E-2</v>
      </c>
      <c r="T97" t="s">
        <v>22</v>
      </c>
      <c r="U97">
        <v>-8.6472335289253174E-3</v>
      </c>
      <c r="V97">
        <v>3.4146341463414637E-2</v>
      </c>
      <c r="AJ97" t="s">
        <v>22</v>
      </c>
      <c r="AK97">
        <v>2.1813026210493516</v>
      </c>
      <c r="AL97">
        <v>0</v>
      </c>
    </row>
    <row r="98" spans="1:38">
      <c r="A98" s="2">
        <v>128</v>
      </c>
      <c r="B98" s="2">
        <v>0.85041421651840199</v>
      </c>
      <c r="C98" s="2">
        <v>1.8043726036442501E-3</v>
      </c>
      <c r="D98" s="2">
        <v>2.9550658988587699</v>
      </c>
      <c r="E98" s="2">
        <v>0.60961058735847395</v>
      </c>
      <c r="F98" s="2">
        <v>-8.0005851346776E-3</v>
      </c>
      <c r="G98" s="2">
        <v>3.0547663261904998</v>
      </c>
      <c r="J98" t="s">
        <v>22</v>
      </c>
      <c r="K98" s="9">
        <v>0.38627123126858143</v>
      </c>
      <c r="L98" s="11">
        <v>2.9126213592233011E-2</v>
      </c>
      <c r="T98" t="s">
        <v>22</v>
      </c>
      <c r="U98">
        <v>-3.9964243721475707E-3</v>
      </c>
      <c r="V98">
        <v>6.8292682926829273E-2</v>
      </c>
      <c r="AJ98" t="s">
        <v>22</v>
      </c>
      <c r="AK98">
        <v>2.2772298547355097</v>
      </c>
      <c r="AL98">
        <v>1.4563106796116505E-2</v>
      </c>
    </row>
    <row r="99" spans="1:38">
      <c r="A99" s="2">
        <v>129</v>
      </c>
      <c r="B99" s="2">
        <v>0.57971447706222501</v>
      </c>
      <c r="C99" s="2">
        <v>1.9461864736013398E-2</v>
      </c>
      <c r="D99" s="2">
        <v>2.9291410448209101</v>
      </c>
      <c r="E99" s="2">
        <v>8.9927174150943701E-2</v>
      </c>
      <c r="F99" s="2">
        <v>1.64077530927642E-2</v>
      </c>
      <c r="G99" s="2">
        <v>1.8967803741482601</v>
      </c>
      <c r="J99" t="s">
        <v>22</v>
      </c>
      <c r="K99" s="9">
        <v>0.43435985693021806</v>
      </c>
      <c r="L99" s="11">
        <v>7.7669902912621352E-2</v>
      </c>
      <c r="T99" t="s">
        <v>22</v>
      </c>
      <c r="U99">
        <v>6.5438478463017598E-4</v>
      </c>
      <c r="V99">
        <v>0.12195121951219512</v>
      </c>
      <c r="AJ99" t="s">
        <v>22</v>
      </c>
      <c r="AK99">
        <v>2.3731570884216677</v>
      </c>
      <c r="AL99">
        <v>1.9417475728155338E-2</v>
      </c>
    </row>
    <row r="100" spans="1:38">
      <c r="A100" s="2">
        <v>130</v>
      </c>
      <c r="B100" s="2">
        <v>0.79833146929740895</v>
      </c>
      <c r="C100" s="2">
        <v>2.55695839847878E-2</v>
      </c>
      <c r="D100" s="2">
        <v>2.8840917751656399</v>
      </c>
      <c r="E100" s="2">
        <v>0.51224426428476899</v>
      </c>
      <c r="F100" s="2">
        <v>1.3829276850432301E-2</v>
      </c>
      <c r="G100" s="2">
        <v>2.6152520616233201</v>
      </c>
      <c r="J100" t="s">
        <v>22</v>
      </c>
      <c r="K100" s="9">
        <v>0.48244848259185469</v>
      </c>
      <c r="L100" s="11">
        <v>5.8252427184466021E-2</v>
      </c>
      <c r="T100" t="s">
        <v>22</v>
      </c>
      <c r="U100">
        <v>5.3051939414079227E-3</v>
      </c>
      <c r="V100">
        <v>0.13658536585365855</v>
      </c>
      <c r="AJ100" t="s">
        <v>22</v>
      </c>
      <c r="AK100">
        <v>2.4690843221078258</v>
      </c>
      <c r="AL100">
        <v>1.4563106796116505E-2</v>
      </c>
    </row>
    <row r="101" spans="1:38">
      <c r="A101" s="2">
        <v>131</v>
      </c>
      <c r="B101" s="2">
        <v>0.61373108625411898</v>
      </c>
      <c r="C101" s="2">
        <v>4.7071738263163897E-3</v>
      </c>
      <c r="D101" s="2">
        <v>3.2941069004001502</v>
      </c>
      <c r="E101" s="2">
        <v>0.50680927280336596</v>
      </c>
      <c r="F101" s="2">
        <v>1.0537011115140099E-2</v>
      </c>
      <c r="G101" s="2">
        <v>2.83926575405413</v>
      </c>
      <c r="J101" t="s">
        <v>22</v>
      </c>
      <c r="K101" s="9">
        <v>0.53053710825349132</v>
      </c>
      <c r="L101" s="11">
        <v>0.15048543689320387</v>
      </c>
      <c r="T101" t="s">
        <v>22</v>
      </c>
      <c r="U101">
        <v>9.9560030981856694E-3</v>
      </c>
      <c r="V101">
        <v>0.15121951219512195</v>
      </c>
      <c r="AJ101" t="s">
        <v>22</v>
      </c>
      <c r="AK101">
        <v>2.5650115557939839</v>
      </c>
      <c r="AL101">
        <v>4.8543689320388345E-3</v>
      </c>
    </row>
    <row r="102" spans="1:38">
      <c r="A102" s="2">
        <v>132</v>
      </c>
      <c r="B102" s="2">
        <v>0.61359539814293296</v>
      </c>
      <c r="C102" s="2">
        <v>-1.46616721511292E-2</v>
      </c>
      <c r="D102" s="2">
        <v>3.0535820794875601</v>
      </c>
      <c r="E102" s="2">
        <v>0.493467332795262</v>
      </c>
      <c r="F102" s="2">
        <v>1.39516538379496E-2</v>
      </c>
      <c r="G102" s="2">
        <v>2.6996978017499802</v>
      </c>
      <c r="J102" t="s">
        <v>22</v>
      </c>
      <c r="K102" s="9">
        <v>0.57862573391512795</v>
      </c>
      <c r="L102" s="11">
        <v>6.7961165048543687E-2</v>
      </c>
      <c r="T102" t="s">
        <v>22</v>
      </c>
      <c r="U102">
        <v>1.4606812254963415E-2</v>
      </c>
      <c r="V102">
        <v>0.20487804878048779</v>
      </c>
      <c r="AJ102" t="s">
        <v>22</v>
      </c>
      <c r="AK102">
        <v>2.660938789480142</v>
      </c>
      <c r="AL102">
        <v>5.3398058252427182E-2</v>
      </c>
    </row>
    <row r="103" spans="1:38">
      <c r="A103" s="2">
        <v>133</v>
      </c>
      <c r="B103" s="2">
        <v>0.66330793499946505</v>
      </c>
      <c r="C103" s="2">
        <v>-4.1192230955928704E-3</v>
      </c>
      <c r="D103" s="2">
        <v>2.9336313193873198</v>
      </c>
      <c r="E103" s="2">
        <v>0.44253469755252201</v>
      </c>
      <c r="F103" s="2">
        <v>4.9253365987444997E-4</v>
      </c>
      <c r="G103" s="2">
        <v>3.1214162380079302</v>
      </c>
      <c r="J103" t="s">
        <v>22</v>
      </c>
      <c r="K103" s="9">
        <v>0.62671435957676458</v>
      </c>
      <c r="L103" s="11">
        <v>0.12135922330097088</v>
      </c>
      <c r="T103" t="s">
        <v>22</v>
      </c>
      <c r="U103">
        <v>1.9257621411741161E-2</v>
      </c>
      <c r="V103">
        <v>8.2926829268292687E-2</v>
      </c>
      <c r="AJ103" t="s">
        <v>22</v>
      </c>
      <c r="AK103">
        <v>2.7568660231663</v>
      </c>
      <c r="AL103">
        <v>6.7961165048543687E-2</v>
      </c>
    </row>
    <row r="104" spans="1:38">
      <c r="A104" s="2">
        <v>134</v>
      </c>
      <c r="B104" s="2">
        <v>0.80021125078201205</v>
      </c>
      <c r="C104" s="2">
        <v>1.12595823476302E-2</v>
      </c>
      <c r="D104" s="2">
        <v>3.1100589009147002</v>
      </c>
      <c r="E104" s="2">
        <v>0.68857265015443103</v>
      </c>
      <c r="F104" s="2">
        <v>-1.53947318089275E-2</v>
      </c>
      <c r="G104" s="2">
        <v>2.8575565053533598</v>
      </c>
      <c r="J104" t="s">
        <v>22</v>
      </c>
      <c r="K104" s="9">
        <v>0.67480298523840121</v>
      </c>
      <c r="L104" s="11">
        <v>4.3689320388349516E-2</v>
      </c>
      <c r="T104" t="s">
        <v>22</v>
      </c>
      <c r="U104">
        <v>2.3908430568518907E-2</v>
      </c>
      <c r="V104">
        <v>3.9024390243902439E-2</v>
      </c>
      <c r="AJ104" t="s">
        <v>22</v>
      </c>
      <c r="AK104">
        <v>2.8527932568524581</v>
      </c>
      <c r="AL104">
        <v>6.7961165048543687E-2</v>
      </c>
    </row>
    <row r="105" spans="1:38">
      <c r="A105" s="2">
        <v>135</v>
      </c>
      <c r="B105" s="2">
        <v>0.91818578541278795</v>
      </c>
      <c r="C105" s="2">
        <v>1.4581689318325699E-2</v>
      </c>
      <c r="D105" s="2">
        <v>2.9666909411913802</v>
      </c>
      <c r="E105" s="2">
        <v>0.49940009911854999</v>
      </c>
      <c r="F105" s="2">
        <v>-1.0205053546002299E-2</v>
      </c>
      <c r="G105" s="2">
        <v>2.9333522280355901</v>
      </c>
      <c r="J105" t="s">
        <v>22</v>
      </c>
      <c r="K105" s="9">
        <v>0.72289161090003784</v>
      </c>
      <c r="L105" s="11">
        <v>5.8252427184466021E-2</v>
      </c>
      <c r="T105" t="s">
        <v>22</v>
      </c>
      <c r="U105">
        <v>2.8559239725296653E-2</v>
      </c>
      <c r="V105">
        <v>3.4146341463414637E-2</v>
      </c>
      <c r="AJ105" t="s">
        <v>22</v>
      </c>
      <c r="AK105">
        <v>2.9487204905386162</v>
      </c>
      <c r="AL105">
        <v>0.13592233009708737</v>
      </c>
    </row>
    <row r="106" spans="1:38">
      <c r="A106" s="2">
        <v>136</v>
      </c>
      <c r="B106" s="2">
        <v>0.76199546158313702</v>
      </c>
      <c r="C106" s="2">
        <v>2.2977514648940201E-2</v>
      </c>
      <c r="D106" s="2">
        <v>3.2222933643328999</v>
      </c>
      <c r="E106" s="2">
        <v>0.36921638250350902</v>
      </c>
      <c r="F106" s="2">
        <v>-2.7806103196390498E-3</v>
      </c>
      <c r="G106" s="2">
        <v>3.1441624554410299</v>
      </c>
      <c r="J106" t="s">
        <v>22</v>
      </c>
      <c r="K106" s="9">
        <v>0.77098023656167447</v>
      </c>
      <c r="L106" s="11">
        <v>2.4271844660194174E-2</v>
      </c>
      <c r="T106" t="s">
        <v>22</v>
      </c>
      <c r="U106">
        <v>3.3210048882074399E-2</v>
      </c>
      <c r="V106">
        <v>3.9024390243902439E-2</v>
      </c>
      <c r="AJ106" t="s">
        <v>22</v>
      </c>
      <c r="AK106">
        <v>3.0446477242247743</v>
      </c>
      <c r="AL106">
        <v>0.11165048543689321</v>
      </c>
    </row>
    <row r="107" spans="1:38">
      <c r="A107" s="2">
        <v>138</v>
      </c>
      <c r="B107" s="2">
        <v>0.788690686225891</v>
      </c>
      <c r="C107" s="2">
        <v>4.0455124638833599E-2</v>
      </c>
      <c r="D107" s="2">
        <v>2.90510818049707</v>
      </c>
      <c r="E107" s="2">
        <v>0.31962826661765498</v>
      </c>
      <c r="F107" s="2">
        <v>1.1828245951228099E-2</v>
      </c>
      <c r="G107" s="2">
        <v>3.1362064191424799</v>
      </c>
      <c r="J107" t="s">
        <v>22</v>
      </c>
      <c r="K107" s="9">
        <v>0.8190688622233111</v>
      </c>
      <c r="L107" s="11">
        <v>2.9126213592233011E-2</v>
      </c>
      <c r="T107" t="s">
        <v>22</v>
      </c>
      <c r="U107">
        <v>3.7860858038852148E-2</v>
      </c>
      <c r="V107">
        <v>9.7560975609756097E-3</v>
      </c>
      <c r="AJ107" t="s">
        <v>22</v>
      </c>
      <c r="AK107">
        <v>3.1405749579109323</v>
      </c>
      <c r="AL107">
        <v>0.12135922330097088</v>
      </c>
    </row>
    <row r="108" spans="1:38">
      <c r="A108" s="2">
        <v>139</v>
      </c>
      <c r="B108" s="2">
        <v>0.78466526418924298</v>
      </c>
      <c r="C108" s="2">
        <v>3.4045763347352299E-2</v>
      </c>
      <c r="D108" s="2">
        <v>3.1591900887622901</v>
      </c>
      <c r="E108" s="2">
        <v>8.0336317420005798E-2</v>
      </c>
      <c r="F108" s="2">
        <v>1.42020216813651E-2</v>
      </c>
      <c r="G108" s="2">
        <v>1.91410857232781</v>
      </c>
      <c r="J108" t="s">
        <v>22</v>
      </c>
      <c r="K108" s="9">
        <v>0.86715748788494773</v>
      </c>
      <c r="L108" s="11">
        <v>3.8834951456310676E-2</v>
      </c>
      <c r="T108" t="s">
        <v>22</v>
      </c>
      <c r="U108">
        <v>4.2511667195629897E-2</v>
      </c>
      <c r="V108">
        <v>4.8780487804878049E-3</v>
      </c>
      <c r="AJ108" t="s">
        <v>22</v>
      </c>
      <c r="AK108">
        <v>3.2365021915970904</v>
      </c>
      <c r="AL108">
        <v>0.1650485436893204</v>
      </c>
    </row>
    <row r="109" spans="1:38">
      <c r="A109" s="2">
        <v>140</v>
      </c>
      <c r="B109" s="2">
        <v>0.73677033185958796</v>
      </c>
      <c r="C109" s="2">
        <v>3.0755888229536999E-2</v>
      </c>
      <c r="D109" s="2">
        <v>3.0819951258672602</v>
      </c>
      <c r="E109" s="2">
        <v>0.29791502654552399</v>
      </c>
      <c r="F109" s="2">
        <v>6.2516450940250899E-3</v>
      </c>
      <c r="G109" s="2">
        <v>3.0916275931058999</v>
      </c>
      <c r="J109" t="s">
        <v>22</v>
      </c>
      <c r="K109" s="9">
        <v>0.91524611354658436</v>
      </c>
      <c r="L109" s="11">
        <v>4.8543689320388345E-3</v>
      </c>
      <c r="T109" t="s">
        <v>22</v>
      </c>
      <c r="U109">
        <v>4.7162476352407647E-2</v>
      </c>
      <c r="V109">
        <v>0</v>
      </c>
      <c r="AJ109" t="s">
        <v>22</v>
      </c>
      <c r="AK109">
        <v>3.3324294252832485</v>
      </c>
      <c r="AL109">
        <v>9.2233009708737865E-2</v>
      </c>
    </row>
    <row r="110" spans="1:38">
      <c r="A110" s="2">
        <v>142</v>
      </c>
      <c r="B110" s="2">
        <v>0.736720124880472</v>
      </c>
      <c r="C110" s="2">
        <v>1.40161103771075E-2</v>
      </c>
      <c r="D110" s="2">
        <v>2.93508481960103</v>
      </c>
      <c r="E110" s="2">
        <v>0.418802985921502</v>
      </c>
      <c r="F110" s="2">
        <v>2.6767306710356601E-2</v>
      </c>
      <c r="G110" s="2">
        <v>3.2212436973427399</v>
      </c>
      <c r="J110" t="s">
        <v>22</v>
      </c>
      <c r="K110" s="9">
        <v>0.96333473920822099</v>
      </c>
      <c r="L110" s="11">
        <v>9.7087378640776691E-3</v>
      </c>
      <c r="T110" t="s">
        <v>22</v>
      </c>
      <c r="U110">
        <v>5.1813285509185396E-2</v>
      </c>
      <c r="V110">
        <v>0</v>
      </c>
      <c r="AJ110" t="s">
        <v>22</v>
      </c>
      <c r="AK110">
        <v>3.4283566589694066</v>
      </c>
      <c r="AL110">
        <v>2.4271844660194174E-2</v>
      </c>
    </row>
    <row r="111" spans="1:38">
      <c r="A111" s="2">
        <v>143</v>
      </c>
      <c r="B111" s="2">
        <v>0.968166723847389</v>
      </c>
      <c r="C111" s="2">
        <v>1.02710278514077E-2</v>
      </c>
      <c r="D111" s="2">
        <v>3.23533853056326</v>
      </c>
      <c r="E111" s="2">
        <v>0.43454066539804098</v>
      </c>
      <c r="F111" s="2">
        <v>6.4176124890830497E-3</v>
      </c>
      <c r="G111" s="2">
        <v>3.14240697897222</v>
      </c>
      <c r="T111" t="s">
        <v>22</v>
      </c>
      <c r="U111">
        <v>5.6464094665963145E-2</v>
      </c>
      <c r="V111">
        <v>0</v>
      </c>
      <c r="AJ111" t="s">
        <v>22</v>
      </c>
      <c r="AK111">
        <v>3.5242838926555646</v>
      </c>
      <c r="AL111">
        <v>4.8543689320388345E-3</v>
      </c>
    </row>
    <row r="112" spans="1:38">
      <c r="A112" s="2">
        <v>144</v>
      </c>
      <c r="B112" s="2">
        <v>0.89422603845596305</v>
      </c>
      <c r="C112" s="2">
        <v>-1.5813536834106402E-2</v>
      </c>
      <c r="D112" s="2">
        <v>3.1532261240830701</v>
      </c>
      <c r="E112" s="2">
        <v>4.9650851637125001E-2</v>
      </c>
      <c r="F112" s="2">
        <v>-1.70877325224978E-2</v>
      </c>
      <c r="G112" s="2">
        <v>2.8150083691651799</v>
      </c>
      <c r="T112" t="s">
        <v>22</v>
      </c>
      <c r="U112">
        <v>6.1114903822740894E-2</v>
      </c>
      <c r="V112">
        <v>0</v>
      </c>
      <c r="AJ112" t="s">
        <v>22</v>
      </c>
      <c r="AK112">
        <v>3.6202111263417227</v>
      </c>
      <c r="AL112">
        <v>4.8543689320388345E-3</v>
      </c>
    </row>
    <row r="113" spans="1:7">
      <c r="A113" s="2">
        <v>146</v>
      </c>
      <c r="B113" s="2">
        <v>0.54655521363019899</v>
      </c>
      <c r="C113" s="2">
        <v>5.3566420356021497E-3</v>
      </c>
      <c r="D113" s="2">
        <v>3.2470756117700499</v>
      </c>
      <c r="E113" s="2">
        <v>0.59461887627840004</v>
      </c>
      <c r="F113" s="2">
        <v>-7.6368788813269304E-3</v>
      </c>
      <c r="G113" s="2">
        <v>2.8140503352635502</v>
      </c>
    </row>
    <row r="114" spans="1:7">
      <c r="A114" s="2">
        <v>148</v>
      </c>
      <c r="B114" s="2">
        <v>0.82031616568565302</v>
      </c>
      <c r="C114" s="2">
        <v>-3.6089035749718298E-3</v>
      </c>
      <c r="D114" s="2">
        <v>2.9478683675010502</v>
      </c>
      <c r="E114" s="2">
        <v>0.50771877914667096</v>
      </c>
      <c r="F114" s="2">
        <v>2.4889953907344099E-2</v>
      </c>
      <c r="G114" s="2">
        <v>3.0389587261188602</v>
      </c>
    </row>
    <row r="115" spans="1:7">
      <c r="A115" s="2">
        <v>149</v>
      </c>
      <c r="B115" s="2">
        <v>0.72034387663006705</v>
      </c>
      <c r="C115" s="2">
        <v>2.62128455231023E-2</v>
      </c>
      <c r="D115" s="2">
        <v>2.9020762644570399</v>
      </c>
      <c r="E115" s="2">
        <v>0.57411959022283499</v>
      </c>
      <c r="F115" s="2">
        <v>2.95009418664093E-3</v>
      </c>
      <c r="G115" s="2">
        <v>2.8634772885904201</v>
      </c>
    </row>
    <row r="116" spans="1:7">
      <c r="A116" s="2">
        <v>150</v>
      </c>
      <c r="B116" s="2">
        <v>0.70614136258760996</v>
      </c>
      <c r="C116" s="2">
        <v>2.26115732415475E-2</v>
      </c>
      <c r="D116" s="2">
        <v>3.0334687273321599</v>
      </c>
      <c r="E116" s="2">
        <v>0.51987551401058796</v>
      </c>
      <c r="F116" s="2">
        <v>-1.2496604802147201E-3</v>
      </c>
      <c r="G116" s="2">
        <v>2.7506780862264599</v>
      </c>
    </row>
    <row r="117" spans="1:7">
      <c r="A117" s="2">
        <v>151</v>
      </c>
      <c r="B117" s="2">
        <v>0.67137292772531498</v>
      </c>
      <c r="C117" s="2">
        <v>-1.5742090212867901E-3</v>
      </c>
      <c r="D117" s="2">
        <v>2.7849479736760898</v>
      </c>
      <c r="E117" s="2">
        <v>0.59317352250218303</v>
      </c>
      <c r="F117" s="2">
        <v>-5.3450236808309497E-3</v>
      </c>
      <c r="G117" s="2">
        <v>2.7397141791042698</v>
      </c>
    </row>
    <row r="118" spans="1:7">
      <c r="A118" s="2">
        <v>154</v>
      </c>
      <c r="B118" s="2">
        <v>0.63240273296833005</v>
      </c>
      <c r="C118" s="2">
        <v>-6.8133181241836196E-3</v>
      </c>
      <c r="D118" s="2">
        <v>3.2198925389674402</v>
      </c>
      <c r="E118" s="2">
        <v>0.52060714922845297</v>
      </c>
      <c r="F118" s="2">
        <v>1.2611692407200999E-2</v>
      </c>
      <c r="G118" s="2">
        <v>2.2526636124671602</v>
      </c>
    </row>
    <row r="119" spans="1:7">
      <c r="A119" s="2">
        <v>155</v>
      </c>
      <c r="B119" s="2">
        <v>0.69685705502827899</v>
      </c>
      <c r="C119" s="2">
        <v>-7.8631632939597795E-3</v>
      </c>
      <c r="D119" s="2">
        <v>3.1977209620778</v>
      </c>
      <c r="E119" s="2">
        <v>0.14093758165836301</v>
      </c>
      <c r="F119" s="2">
        <v>2.25332447591064E-3</v>
      </c>
      <c r="G119" s="2">
        <v>2.33281332657912</v>
      </c>
    </row>
    <row r="120" spans="1:7">
      <c r="A120" s="2">
        <v>156</v>
      </c>
      <c r="B120" s="2">
        <v>0.78579833358526197</v>
      </c>
      <c r="C120" s="2">
        <v>1.2755250470590999E-2</v>
      </c>
      <c r="D120" s="2">
        <v>3.2549947490663702</v>
      </c>
      <c r="E120" s="2">
        <v>0.61967669799923897</v>
      </c>
      <c r="F120" s="2">
        <v>1.02967394626682E-2</v>
      </c>
      <c r="G120" s="2">
        <v>2.6857838834038401</v>
      </c>
    </row>
    <row r="121" spans="1:7">
      <c r="A121" s="2">
        <v>158</v>
      </c>
      <c r="B121" s="2">
        <v>0.80224141478538502</v>
      </c>
      <c r="C121" s="2">
        <v>-1.4491315638088999E-2</v>
      </c>
      <c r="D121" s="2">
        <v>3.3812513839277298</v>
      </c>
      <c r="E121" s="2">
        <v>0.90923168261845899</v>
      </c>
      <c r="F121" s="2">
        <v>7.7955064257544298E-3</v>
      </c>
      <c r="G121" s="2">
        <v>3.2510303381047398</v>
      </c>
    </row>
    <row r="122" spans="1:7">
      <c r="A122" s="2">
        <v>159</v>
      </c>
      <c r="B122" s="2">
        <v>0.68882122784852895</v>
      </c>
      <c r="C122" s="2">
        <v>1.8046039710590302E-2</v>
      </c>
      <c r="D122" s="2">
        <v>3.1495460842819898</v>
      </c>
      <c r="E122" s="2">
        <v>0.63201381340622897</v>
      </c>
      <c r="F122" s="2">
        <v>2.25460024574928E-2</v>
      </c>
      <c r="G122" s="2">
        <v>2.9354259233079398</v>
      </c>
    </row>
    <row r="123" spans="1:7">
      <c r="A123" s="2">
        <v>160</v>
      </c>
      <c r="B123" s="2">
        <v>0.71233982741832702</v>
      </c>
      <c r="C123" s="2">
        <v>9.9111763841463509E-3</v>
      </c>
      <c r="D123" s="2">
        <v>3.2342740575805702</v>
      </c>
      <c r="E123" s="2">
        <v>0.59374905377626397</v>
      </c>
      <c r="F123" s="2">
        <v>1.44925499677839E-2</v>
      </c>
      <c r="G123" s="2">
        <v>2.0483977251371699</v>
      </c>
    </row>
    <row r="124" spans="1:7">
      <c r="A124" s="2">
        <v>161</v>
      </c>
      <c r="B124" s="2">
        <v>0.83508054167032197</v>
      </c>
      <c r="C124" s="2">
        <v>-1.06859099811327E-2</v>
      </c>
      <c r="D124" s="2">
        <v>3.0813049833991699</v>
      </c>
      <c r="E124" s="2">
        <v>0.51380845531821195</v>
      </c>
      <c r="F124" s="2">
        <v>-6.2724511181038098E-3</v>
      </c>
      <c r="G124" s="2">
        <v>2.8894329783876</v>
      </c>
    </row>
    <row r="125" spans="1:7">
      <c r="A125" s="2">
        <v>162</v>
      </c>
      <c r="B125" s="2">
        <v>0.78635228872299101</v>
      </c>
      <c r="C125" s="2">
        <v>2.2930526539409898E-2</v>
      </c>
      <c r="D125" s="2">
        <v>3.1535322228043698</v>
      </c>
      <c r="E125" s="2">
        <v>0.73224107772111802</v>
      </c>
      <c r="F125" s="2">
        <v>4.9177927865871399E-3</v>
      </c>
      <c r="G125" s="2">
        <v>3.0332492500428101</v>
      </c>
    </row>
    <row r="126" spans="1:7">
      <c r="A126" s="2">
        <v>163</v>
      </c>
      <c r="B126" s="2">
        <v>0.86966139078140203</v>
      </c>
      <c r="C126" s="2">
        <v>4.2238807750883902E-4</v>
      </c>
      <c r="D126" s="2">
        <v>2.8147553994795</v>
      </c>
      <c r="E126" s="2">
        <v>0.51419972628355004</v>
      </c>
      <c r="F126" s="2">
        <v>6.34893506302436E-3</v>
      </c>
      <c r="G126" s="2">
        <v>2.66749120448846</v>
      </c>
    </row>
    <row r="127" spans="1:7">
      <c r="A127" s="2">
        <v>164</v>
      </c>
      <c r="B127" s="2">
        <v>0.96884086728095997</v>
      </c>
      <c r="C127" s="2">
        <v>1.06374845766075E-2</v>
      </c>
      <c r="D127" s="2">
        <v>3.2452102839355099</v>
      </c>
      <c r="E127" s="2">
        <v>0.67397153377532903</v>
      </c>
      <c r="F127" s="2">
        <v>-1.84827596747556E-2</v>
      </c>
      <c r="G127" s="2">
        <v>3.2960055321773001</v>
      </c>
    </row>
    <row r="128" spans="1:7">
      <c r="A128" s="2">
        <v>165</v>
      </c>
      <c r="B128" s="2">
        <v>0.63058552145957902</v>
      </c>
      <c r="C128" s="2">
        <v>-9.4215473672107902E-3</v>
      </c>
      <c r="D128" s="2">
        <v>3.3015705626747498</v>
      </c>
      <c r="E128" s="2">
        <v>0.654749795794487</v>
      </c>
      <c r="F128" s="2">
        <v>-7.5256336158879798E-3</v>
      </c>
      <c r="G128" s="2">
        <v>3.4397096070409998</v>
      </c>
    </row>
    <row r="129" spans="1:7">
      <c r="A129" s="2">
        <v>166</v>
      </c>
      <c r="B129" s="2">
        <v>0.55639033578336194</v>
      </c>
      <c r="C129" s="2">
        <v>1.9133298258177299E-2</v>
      </c>
      <c r="D129" s="2">
        <v>2.9405454409584202</v>
      </c>
      <c r="E129" s="2">
        <v>0.55728595107793799</v>
      </c>
      <c r="F129" s="2">
        <v>-7.1888945036747004E-3</v>
      </c>
      <c r="G129" s="2">
        <v>3.1330635939410501</v>
      </c>
    </row>
    <row r="130" spans="1:7">
      <c r="A130" s="2">
        <v>168</v>
      </c>
      <c r="B130" s="2">
        <v>0.782216817140579</v>
      </c>
      <c r="C130" s="2">
        <v>-1.00831878106781E-2</v>
      </c>
      <c r="D130" s="2">
        <v>3.3067128298011998</v>
      </c>
      <c r="E130" s="2">
        <v>0.50307634224494302</v>
      </c>
      <c r="F130" s="2">
        <v>-8.5255355140780795E-3</v>
      </c>
      <c r="G130" s="2">
        <v>3.2509225855491199</v>
      </c>
    </row>
    <row r="131" spans="1:7">
      <c r="A131" s="2">
        <v>170</v>
      </c>
      <c r="B131" s="2">
        <v>0.73952415585517794</v>
      </c>
      <c r="C131" s="2">
        <v>6.9832169953958304E-3</v>
      </c>
      <c r="D131" s="2">
        <v>2.93897187158578</v>
      </c>
      <c r="E131" s="2">
        <v>0.595212742686271</v>
      </c>
      <c r="F131" s="2">
        <v>-1.49598315660952E-2</v>
      </c>
      <c r="G131" s="2">
        <v>3.1931577632432702</v>
      </c>
    </row>
    <row r="132" spans="1:7">
      <c r="A132" s="2">
        <v>171</v>
      </c>
      <c r="B132" s="2">
        <v>0.86271435618400505</v>
      </c>
      <c r="C132" s="2">
        <v>2.2279641397133801E-2</v>
      </c>
      <c r="D132" s="2">
        <v>3.18294205407273</v>
      </c>
      <c r="E132" s="2">
        <v>0.17669162154197601</v>
      </c>
      <c r="F132" s="2">
        <v>1.26615784440531E-3</v>
      </c>
      <c r="G132" s="2">
        <v>3.2539481676987401</v>
      </c>
    </row>
    <row r="133" spans="1:7">
      <c r="A133" s="2">
        <v>172</v>
      </c>
      <c r="B133" s="2">
        <v>0.83843876421451502</v>
      </c>
      <c r="C133" s="2">
        <v>3.7351774645077898E-4</v>
      </c>
      <c r="D133" s="2">
        <v>3.0661959268019001</v>
      </c>
      <c r="E133" s="2">
        <v>0.70775244633356704</v>
      </c>
      <c r="F133" s="2">
        <v>7.2268965575640696E-3</v>
      </c>
      <c r="G133" s="2">
        <v>3.1265665447714701</v>
      </c>
    </row>
    <row r="134" spans="1:7">
      <c r="A134" s="2">
        <v>173</v>
      </c>
      <c r="B134" s="2">
        <v>0.46395517140626902</v>
      </c>
      <c r="C134" s="2">
        <v>1.5745255280775899E-2</v>
      </c>
      <c r="D134" s="2">
        <v>3.0776735569025999</v>
      </c>
      <c r="E134" s="2">
        <v>0.30271894484758299</v>
      </c>
      <c r="F134" s="2">
        <v>9.3575353089363402E-3</v>
      </c>
      <c r="G134" s="2">
        <v>2.8103721894273601</v>
      </c>
    </row>
    <row r="135" spans="1:7">
      <c r="A135" s="2">
        <v>174</v>
      </c>
      <c r="B135" s="2">
        <v>0.82415118813514698</v>
      </c>
      <c r="C135" s="2">
        <v>6.1054599718055099E-3</v>
      </c>
      <c r="D135" s="2">
        <v>2.9802770833136201</v>
      </c>
      <c r="E135" s="2">
        <v>0.85862257083256999</v>
      </c>
      <c r="F135" s="2">
        <v>2.1597803933701601E-2</v>
      </c>
      <c r="G135" s="2">
        <v>3.06309455909309</v>
      </c>
    </row>
    <row r="136" spans="1:7">
      <c r="A136" s="2">
        <v>175</v>
      </c>
      <c r="B136" s="2">
        <v>0.82358364462852396</v>
      </c>
      <c r="C136" s="2">
        <v>1.1102815394240399E-2</v>
      </c>
      <c r="D136" s="2">
        <v>2.9114667803445502</v>
      </c>
      <c r="E136" s="2">
        <v>0.70365037520726503</v>
      </c>
      <c r="F136" s="2">
        <v>6.2824500798017999E-3</v>
      </c>
      <c r="G136" s="2">
        <v>2.9703745886642698</v>
      </c>
    </row>
    <row r="137" spans="1:7">
      <c r="A137" s="2">
        <v>178</v>
      </c>
      <c r="B137" s="2">
        <v>0.870564917723337</v>
      </c>
      <c r="C137" s="2">
        <v>5.1065487510508004E-3</v>
      </c>
      <c r="D137" s="2">
        <v>3.2470583658849699</v>
      </c>
      <c r="E137" s="2">
        <v>0.49233193695545102</v>
      </c>
      <c r="F137" s="2">
        <v>1.80851794682865E-2</v>
      </c>
      <c r="G137" s="2">
        <v>3.0053601166667399</v>
      </c>
    </row>
    <row r="138" spans="1:7">
      <c r="A138" s="2">
        <v>179</v>
      </c>
      <c r="B138" s="2">
        <v>0.82941337426503503</v>
      </c>
      <c r="C138" s="2">
        <v>1.21975254322161E-2</v>
      </c>
      <c r="D138" s="2">
        <v>3.1350317569314599</v>
      </c>
      <c r="E138" s="2">
        <v>0.51932446472346705</v>
      </c>
      <c r="F138" s="2">
        <v>1.92418447353182E-2</v>
      </c>
      <c r="G138" s="2">
        <v>3.1869961765599699</v>
      </c>
    </row>
    <row r="139" spans="1:7">
      <c r="A139" s="2">
        <v>181</v>
      </c>
      <c r="B139" s="2">
        <v>0.75088700652122498</v>
      </c>
      <c r="C139" s="2">
        <v>3.3966135240572397E-2</v>
      </c>
      <c r="D139" s="2">
        <v>3.24373860576859</v>
      </c>
      <c r="E139" s="2">
        <v>0.66372450813650996</v>
      </c>
      <c r="F139" s="2">
        <v>1.46329162982601E-2</v>
      </c>
      <c r="G139" s="2">
        <v>2.6657401358110002</v>
      </c>
    </row>
    <row r="140" spans="1:7">
      <c r="A140" s="2">
        <v>182</v>
      </c>
      <c r="B140" s="2">
        <v>0.85433175166447906</v>
      </c>
      <c r="C140" s="2">
        <v>9.1910795834621393E-3</v>
      </c>
      <c r="D140" s="2">
        <v>3.1531470472194201</v>
      </c>
      <c r="E140" s="2">
        <v>0.46359898149967099</v>
      </c>
      <c r="F140" s="2">
        <v>4.0279994585833501E-3</v>
      </c>
      <c r="G140" s="2">
        <v>2.6218075943784198</v>
      </c>
    </row>
    <row r="141" spans="1:7">
      <c r="A141" s="2">
        <v>183</v>
      </c>
      <c r="B141" s="2">
        <v>0.77970875501632597</v>
      </c>
      <c r="C141" s="2">
        <v>1.00143533334559E-2</v>
      </c>
      <c r="D141" s="2">
        <v>2.97137385027867</v>
      </c>
      <c r="E141" s="2">
        <v>0.41552095487713803</v>
      </c>
      <c r="F141" s="2">
        <v>6.7187738107366002E-3</v>
      </c>
      <c r="G141" s="2">
        <v>2.9766185183685399</v>
      </c>
    </row>
    <row r="142" spans="1:7">
      <c r="A142" s="2">
        <v>185</v>
      </c>
      <c r="B142" s="2">
        <v>0.40742208063602398</v>
      </c>
      <c r="C142" s="2">
        <v>2.6983972466418E-2</v>
      </c>
      <c r="D142" s="2">
        <v>3.14204764540658</v>
      </c>
      <c r="E142" s="2">
        <v>0.27152760823567701</v>
      </c>
      <c r="F142" s="2">
        <v>3.3792312039876002E-3</v>
      </c>
      <c r="G142" s="2">
        <v>3.0668579908386699</v>
      </c>
    </row>
    <row r="143" spans="1:7">
      <c r="A143" s="2">
        <v>186</v>
      </c>
      <c r="B143" s="2">
        <v>0.53918503224849701</v>
      </c>
      <c r="C143" s="2">
        <v>2.47174550286288E-2</v>
      </c>
      <c r="D143" s="2">
        <v>2.72731605433929</v>
      </c>
      <c r="E143" s="2">
        <v>7.3560886085033403E-2</v>
      </c>
      <c r="F143" s="2">
        <v>7.8318975557039004E-3</v>
      </c>
      <c r="G143" s="2">
        <v>1.8396843369290501</v>
      </c>
    </row>
    <row r="144" spans="1:7">
      <c r="A144" s="2">
        <v>187</v>
      </c>
      <c r="B144" s="2">
        <v>0.78402521088719301</v>
      </c>
      <c r="C144" s="2">
        <v>1.7423875793197902E-2</v>
      </c>
      <c r="D144" s="2">
        <v>3.0956626712523998</v>
      </c>
      <c r="E144" s="2">
        <v>0.595437061041593</v>
      </c>
      <c r="F144" s="2">
        <v>-1.43032168761592E-3</v>
      </c>
      <c r="G144" s="2">
        <v>2.7690134157363699</v>
      </c>
    </row>
    <row r="145" spans="1:7">
      <c r="A145" s="2">
        <v>188</v>
      </c>
      <c r="B145" s="2">
        <v>0.94176995754241899</v>
      </c>
      <c r="C145" s="2">
        <v>-6.7575203383303897E-4</v>
      </c>
      <c r="D145" s="2">
        <v>3.1653649771130499</v>
      </c>
      <c r="E145" s="2">
        <v>0.52425533533096302</v>
      </c>
      <c r="F145" s="2">
        <v>-1.5870590836442398E-2</v>
      </c>
      <c r="G145" s="2">
        <v>3.07608691609239</v>
      </c>
    </row>
    <row r="146" spans="1:7">
      <c r="A146" s="2">
        <v>190</v>
      </c>
      <c r="B146" s="2">
        <v>0.51145482063293402</v>
      </c>
      <c r="C146" s="2">
        <v>1.90671010784958E-2</v>
      </c>
      <c r="D146" s="2">
        <v>2.9712411752236201</v>
      </c>
      <c r="E146" s="2">
        <v>0.52200041711330403</v>
      </c>
      <c r="F146" s="2">
        <v>1.38657319953452E-2</v>
      </c>
      <c r="G146" s="2">
        <v>2.82306016206548</v>
      </c>
    </row>
    <row r="147" spans="1:7">
      <c r="A147" s="2">
        <v>191</v>
      </c>
      <c r="B147" s="2">
        <v>0.80962618589401203</v>
      </c>
      <c r="C147" s="2">
        <v>1.68972082615539E-3</v>
      </c>
      <c r="D147" s="2">
        <v>2.9650508368398998</v>
      </c>
      <c r="E147" s="2">
        <v>0.70185887217521603</v>
      </c>
      <c r="F147" s="2">
        <v>-1.33513299290911E-2</v>
      </c>
      <c r="G147" s="2">
        <v>2.9252338181994002</v>
      </c>
    </row>
    <row r="148" spans="1:7">
      <c r="A148" s="2">
        <v>194</v>
      </c>
      <c r="B148" s="2">
        <v>0.51905519266923195</v>
      </c>
      <c r="C148" s="2">
        <v>-6.6274254590119597E-3</v>
      </c>
      <c r="D148" s="2">
        <v>2.7752807557569898</v>
      </c>
      <c r="E148" s="2">
        <v>0.54863331715265895</v>
      </c>
      <c r="F148" s="2">
        <v>-1.2954508860508401E-2</v>
      </c>
      <c r="G148" s="2">
        <v>2.71101412295921</v>
      </c>
    </row>
    <row r="149" spans="1:7">
      <c r="A149" s="2">
        <v>196</v>
      </c>
      <c r="B149" s="2">
        <v>0.89917680025100699</v>
      </c>
      <c r="C149" s="2">
        <v>-6.2504164441147397E-3</v>
      </c>
      <c r="D149" s="2">
        <v>3.2938564290195802</v>
      </c>
      <c r="E149" s="2">
        <v>0.218915365636348</v>
      </c>
      <c r="F149" s="2">
        <v>-1.4529090812750599E-2</v>
      </c>
      <c r="G149" s="2">
        <v>2.9600513572635299</v>
      </c>
    </row>
    <row r="150" spans="1:7">
      <c r="A150" s="2">
        <v>198</v>
      </c>
      <c r="B150" s="2">
        <v>0.71660770773887605</v>
      </c>
      <c r="C150" s="2">
        <v>1.20830136752491E-2</v>
      </c>
      <c r="D150" s="2">
        <v>2.9321327476239198</v>
      </c>
      <c r="E150" s="2">
        <v>0.46616931632161102</v>
      </c>
      <c r="F150" s="2">
        <v>1.07360148882378E-2</v>
      </c>
      <c r="G150" s="2">
        <v>2.4257325481805898</v>
      </c>
    </row>
    <row r="151" spans="1:7">
      <c r="A151" s="2">
        <v>200</v>
      </c>
      <c r="B151" s="2">
        <v>0.75563652515411295</v>
      </c>
      <c r="C151" s="2">
        <v>-1.7702751355074E-3</v>
      </c>
      <c r="D151" s="2">
        <v>3.0062544892059799</v>
      </c>
      <c r="E151" s="2">
        <v>0.17156866192817599</v>
      </c>
      <c r="F151" s="2">
        <v>1.8507754714646801E-2</v>
      </c>
      <c r="G151" s="2">
        <v>3.20248202402093</v>
      </c>
    </row>
    <row r="152" spans="1:7">
      <c r="A152" s="2">
        <v>201</v>
      </c>
      <c r="B152" s="2">
        <v>0.72290344536304396</v>
      </c>
      <c r="C152" s="2">
        <v>-2.6655574400433701E-3</v>
      </c>
      <c r="D152" s="2">
        <v>2.9921362708083499</v>
      </c>
      <c r="E152" s="2">
        <v>0.39592482894658998</v>
      </c>
      <c r="F152" s="2">
        <v>7.3959954428577303E-3</v>
      </c>
      <c r="G152" s="2">
        <v>2.9681410524671299</v>
      </c>
    </row>
    <row r="153" spans="1:7">
      <c r="A153" s="2">
        <v>202</v>
      </c>
      <c r="B153" s="2">
        <v>0.69475316256284703</v>
      </c>
      <c r="C153" s="2">
        <v>6.6803155605184E-3</v>
      </c>
      <c r="D153" s="2">
        <v>2.9724431261414801</v>
      </c>
      <c r="E153" s="2">
        <v>0.54467051774263298</v>
      </c>
      <c r="F153" s="2">
        <v>9.1786058902537798E-3</v>
      </c>
      <c r="G153" s="2">
        <v>2.82078542511807</v>
      </c>
    </row>
    <row r="154" spans="1:7">
      <c r="A154" s="2">
        <v>203</v>
      </c>
      <c r="B154" s="2">
        <v>0.62977653741836503</v>
      </c>
      <c r="C154" s="2">
        <v>1.7654264268239701E-2</v>
      </c>
      <c r="D154" s="2">
        <v>2.7301848484741802</v>
      </c>
      <c r="E154" s="2">
        <v>0.59288550540804796</v>
      </c>
      <c r="F154" s="2">
        <v>7.3852895408110797E-3</v>
      </c>
      <c r="G154" s="2">
        <v>2.9544812733047001</v>
      </c>
    </row>
    <row r="155" spans="1:7">
      <c r="A155" s="2">
        <v>204</v>
      </c>
      <c r="B155" s="2">
        <v>0.58424188693364398</v>
      </c>
      <c r="C155" s="2">
        <v>2.2566991144875202E-3</v>
      </c>
      <c r="D155" s="2">
        <v>3.25260513547699</v>
      </c>
      <c r="E155" s="2">
        <v>0.39332568645477201</v>
      </c>
      <c r="F155" s="2">
        <v>-1.34955436139307E-2</v>
      </c>
      <c r="G155" s="2">
        <v>2.88601339513363</v>
      </c>
    </row>
    <row r="156" spans="1:7">
      <c r="A156" s="2">
        <v>205</v>
      </c>
      <c r="B156" s="2">
        <v>0.88722612857818595</v>
      </c>
      <c r="C156" s="2">
        <v>1.0836667711284401E-2</v>
      </c>
      <c r="D156" s="2">
        <v>3.2714630839338201</v>
      </c>
      <c r="E156" s="2">
        <v>0.13518971577286701</v>
      </c>
      <c r="F156" s="2">
        <v>4.6176077213910799E-4</v>
      </c>
      <c r="G156" s="2">
        <v>3.2658210133639298</v>
      </c>
    </row>
    <row r="157" spans="1:7">
      <c r="A157" s="2">
        <v>206</v>
      </c>
      <c r="B157" s="2">
        <v>0.74377087131142605</v>
      </c>
      <c r="C157" s="2">
        <v>1.21715412639602E-2</v>
      </c>
      <c r="D157" s="2">
        <v>3.23339595631739</v>
      </c>
      <c r="E157" s="2">
        <v>0.61907254718243998</v>
      </c>
      <c r="F157" s="2">
        <v>1.43717449755813E-2</v>
      </c>
      <c r="G157" s="2">
        <v>2.7219169591651</v>
      </c>
    </row>
    <row r="158" spans="1:7">
      <c r="A158" s="2">
        <v>207</v>
      </c>
      <c r="B158" s="2">
        <v>0.74534136056900002</v>
      </c>
      <c r="C158" s="2">
        <v>-1.55316723286489E-2</v>
      </c>
      <c r="D158" s="2">
        <v>2.9403745086119999</v>
      </c>
      <c r="E158" s="2">
        <v>0.49364331737160599</v>
      </c>
      <c r="F158" s="2">
        <v>-4.23047376510155E-3</v>
      </c>
      <c r="G158" s="2">
        <v>2.3626257890038902</v>
      </c>
    </row>
    <row r="159" spans="1:7">
      <c r="A159" s="2">
        <v>208</v>
      </c>
      <c r="B159" s="2">
        <v>0.57465022305647495</v>
      </c>
      <c r="C159" s="2">
        <v>1.87002644121569E-2</v>
      </c>
      <c r="D159" s="2">
        <v>3.2619089870662998</v>
      </c>
      <c r="E159" s="2">
        <v>0.304329603910446</v>
      </c>
      <c r="F159" s="2">
        <v>1.5392274882248799E-2</v>
      </c>
      <c r="G159" s="2">
        <v>2.8992238778054098</v>
      </c>
    </row>
    <row r="160" spans="1:7">
      <c r="A160" s="2">
        <v>209</v>
      </c>
      <c r="B160" s="2">
        <v>0.76600143462419501</v>
      </c>
      <c r="C160" s="2">
        <v>-8.1335411531370007E-3</v>
      </c>
      <c r="D160" s="2">
        <v>3.1505833357605799</v>
      </c>
      <c r="E160" s="2">
        <v>0.68990357518196099</v>
      </c>
      <c r="F160" s="2">
        <v>-1.19691998565188E-2</v>
      </c>
      <c r="G160" s="2">
        <v>2.8368103404474101</v>
      </c>
    </row>
    <row r="161" spans="1:7">
      <c r="A161" s="2">
        <v>211</v>
      </c>
      <c r="B161" s="2">
        <v>0.77012007435162799</v>
      </c>
      <c r="C161" s="2">
        <v>-1.09957879605655E-2</v>
      </c>
      <c r="D161" s="2">
        <v>3.0931832216215001</v>
      </c>
      <c r="E161" s="2">
        <v>0.25114976987242699</v>
      </c>
      <c r="F161" s="2">
        <v>6.8864676735387303E-3</v>
      </c>
      <c r="G161" s="2">
        <v>3.0236901062771699</v>
      </c>
    </row>
    <row r="162" spans="1:7">
      <c r="A162" s="2">
        <v>212</v>
      </c>
      <c r="B162" s="2">
        <v>0.74005448818206698</v>
      </c>
      <c r="C162" s="2">
        <v>1.8918600545507001E-2</v>
      </c>
      <c r="D162" s="2">
        <v>3.0604604612073398</v>
      </c>
      <c r="E162" s="2">
        <v>0.61051785945892301</v>
      </c>
      <c r="F162" s="2">
        <v>3.0178055519588201E-2</v>
      </c>
      <c r="G162" s="2">
        <v>3.1891232957121498</v>
      </c>
    </row>
    <row r="163" spans="1:7">
      <c r="A163" s="2">
        <v>213</v>
      </c>
      <c r="B163" s="2">
        <v>0.74701525767644195</v>
      </c>
      <c r="C163" s="2">
        <v>2.4279764648638201E-2</v>
      </c>
      <c r="D163" s="2">
        <v>2.95541658396133</v>
      </c>
      <c r="E163" s="2">
        <v>0.76719111204147294</v>
      </c>
      <c r="F163" s="2">
        <v>3.032416097418E-2</v>
      </c>
      <c r="G163" s="2">
        <v>3.1989185579944901</v>
      </c>
    </row>
    <row r="164" spans="1:7">
      <c r="A164" s="2">
        <v>214</v>
      </c>
      <c r="B164" s="2">
        <v>0.46411636968453701</v>
      </c>
      <c r="C164" s="2">
        <v>1.0333064004096001E-2</v>
      </c>
      <c r="D164" s="2">
        <v>3.1608225260878502</v>
      </c>
      <c r="E164" s="2">
        <v>0.42492296174168498</v>
      </c>
      <c r="F164" s="2">
        <v>5.9498864451133599E-3</v>
      </c>
      <c r="G164" s="2">
        <v>3.0595408765419099</v>
      </c>
    </row>
    <row r="165" spans="1:7">
      <c r="A165" s="2">
        <v>215</v>
      </c>
      <c r="B165" s="2">
        <v>0.787567198276519</v>
      </c>
      <c r="C165" s="2">
        <v>6.06151556922363E-3</v>
      </c>
      <c r="D165" s="2">
        <v>3.1537109888064099</v>
      </c>
      <c r="E165" s="2">
        <v>0.36731369793414997</v>
      </c>
      <c r="F165" s="2">
        <v>-7.4401347728185697E-3</v>
      </c>
      <c r="G165" s="2">
        <v>3.0173836011631101</v>
      </c>
    </row>
    <row r="166" spans="1:7">
      <c r="A166" s="2">
        <v>216</v>
      </c>
      <c r="B166" s="2">
        <v>0.91386370360851199</v>
      </c>
      <c r="C166" s="2">
        <v>4.0616041453556102E-4</v>
      </c>
      <c r="D166" s="2">
        <v>2.93165047204733</v>
      </c>
      <c r="E166" s="2">
        <v>0.56604264676570804</v>
      </c>
      <c r="F166" s="2">
        <v>-3.60601125124471E-3</v>
      </c>
      <c r="G166" s="2">
        <v>2.25396984138226</v>
      </c>
    </row>
    <row r="167" spans="1:7">
      <c r="A167" s="2">
        <v>217</v>
      </c>
      <c r="B167" s="2">
        <v>0.78604802489280701</v>
      </c>
      <c r="C167" s="2">
        <v>4.38186418807111E-3</v>
      </c>
      <c r="D167" s="2">
        <v>3.1706351545732598</v>
      </c>
      <c r="E167" s="2">
        <v>0.59421327461798901</v>
      </c>
      <c r="F167" s="2">
        <v>1.2791779955586899E-2</v>
      </c>
      <c r="G167" s="2">
        <v>3.26773584411024</v>
      </c>
    </row>
    <row r="168" spans="1:7">
      <c r="A168" s="2">
        <v>220</v>
      </c>
      <c r="B168" s="2">
        <v>0.67917824685573502</v>
      </c>
      <c r="C168" s="2">
        <v>2.5322569403932898E-3</v>
      </c>
      <c r="D168" s="2">
        <v>3.25151039994374</v>
      </c>
      <c r="E168" s="2">
        <v>0.522027198225259</v>
      </c>
      <c r="F168" s="2">
        <v>4.6045479251555204E-3</v>
      </c>
      <c r="G168" s="2">
        <v>1.9019706641504299</v>
      </c>
    </row>
    <row r="169" spans="1:7">
      <c r="A169" s="2">
        <v>221</v>
      </c>
      <c r="B169" s="2">
        <v>0.68790486454963595</v>
      </c>
      <c r="C169" s="2">
        <v>6.2606311087165501E-4</v>
      </c>
      <c r="D169" s="2">
        <v>3.4391462395621599</v>
      </c>
      <c r="E169" s="2">
        <v>0.73221218585967995</v>
      </c>
      <c r="F169" s="2">
        <v>-3.3700039866414399E-3</v>
      </c>
      <c r="G169" s="2">
        <v>3.1016730313212699</v>
      </c>
    </row>
    <row r="170" spans="1:7">
      <c r="A170" s="2">
        <v>222</v>
      </c>
      <c r="B170" s="2">
        <v>0.84132996201515198</v>
      </c>
      <c r="C170" s="2">
        <v>3.28679871229011E-2</v>
      </c>
      <c r="D170" s="2">
        <v>3.12877596140269</v>
      </c>
      <c r="E170" s="2">
        <v>0.40783798694610501</v>
      </c>
      <c r="F170" s="2">
        <v>6.1114903822740901E-2</v>
      </c>
      <c r="G170" s="2">
        <v>3.0589956651735801</v>
      </c>
    </row>
    <row r="171" spans="1:7">
      <c r="A171" s="2">
        <v>223</v>
      </c>
      <c r="B171" s="2">
        <v>0.83960951864719302</v>
      </c>
      <c r="C171" s="2">
        <v>1.26298484453024E-2</v>
      </c>
      <c r="D171" s="2">
        <v>3.04661409672218</v>
      </c>
      <c r="E171" s="2">
        <v>0.81296347081661202</v>
      </c>
      <c r="F171" s="2">
        <v>2.08466185575584E-2</v>
      </c>
      <c r="G171" s="2">
        <v>3.0378196641040902</v>
      </c>
    </row>
    <row r="172" spans="1:7">
      <c r="A172" s="2">
        <v>224</v>
      </c>
      <c r="B172" s="2">
        <v>0.68113537629445398</v>
      </c>
      <c r="C172" s="2">
        <v>-1.7960854399971901E-2</v>
      </c>
      <c r="D172" s="2">
        <v>3.3727329397311299</v>
      </c>
      <c r="E172" s="2">
        <v>0.78174692392349199</v>
      </c>
      <c r="F172" s="2">
        <v>-1.20798881521011E-3</v>
      </c>
      <c r="G172" s="2">
        <v>2.8391126188994602</v>
      </c>
    </row>
    <row r="173" spans="1:7">
      <c r="A173" s="2">
        <v>226</v>
      </c>
      <c r="B173" s="2">
        <v>0.54828163236379601</v>
      </c>
      <c r="C173" s="2">
        <v>3.3321967365872E-2</v>
      </c>
      <c r="D173" s="2">
        <v>3.29836042637683</v>
      </c>
      <c r="E173" s="2">
        <v>0.51715455111116104</v>
      </c>
      <c r="F173" s="2">
        <v>1.2814993568995601E-2</v>
      </c>
      <c r="G173" s="2">
        <v>3.02234534697704</v>
      </c>
    </row>
    <row r="174" spans="1:7">
      <c r="A174" s="2">
        <v>227</v>
      </c>
      <c r="B174" s="2">
        <v>0.67510312795639005</v>
      </c>
      <c r="C174" s="2">
        <v>1.1358937680983901E-2</v>
      </c>
      <c r="D174" s="2">
        <v>3.06111450945349</v>
      </c>
      <c r="E174" s="2">
        <v>0.61472750827670097</v>
      </c>
      <c r="F174" s="2">
        <v>-2.89033172696306E-3</v>
      </c>
      <c r="G174" s="2">
        <v>2.7449544377863799</v>
      </c>
    </row>
    <row r="175" spans="1:7">
      <c r="A175" s="2">
        <v>228</v>
      </c>
      <c r="B175" s="2">
        <v>0.52366305390993695</v>
      </c>
      <c r="C175" s="2">
        <v>1.86125318550362E-2</v>
      </c>
      <c r="D175" s="2">
        <v>2.94398425209683</v>
      </c>
      <c r="E175" s="2">
        <v>0.175893334671854</v>
      </c>
      <c r="F175" s="2">
        <v>1.1223474558605E-2</v>
      </c>
      <c r="G175" s="2">
        <v>2.9297897899012399</v>
      </c>
    </row>
    <row r="176" spans="1:7">
      <c r="A176" s="2">
        <v>229</v>
      </c>
      <c r="B176" s="2">
        <v>0.79536535590887003</v>
      </c>
      <c r="C176" s="2">
        <v>1.1225321751488101E-2</v>
      </c>
      <c r="D176" s="2">
        <v>2.8255583006153602</v>
      </c>
      <c r="E176" s="2">
        <v>0.20888487994670801</v>
      </c>
      <c r="F176" s="2">
        <v>1.38454404065058E-3</v>
      </c>
      <c r="G176" s="2">
        <v>3.2003549114354</v>
      </c>
    </row>
    <row r="177" spans="1:7">
      <c r="A177" s="2">
        <v>231</v>
      </c>
      <c r="B177" s="2">
        <v>0.73919690648714698</v>
      </c>
      <c r="C177" s="2">
        <v>3.0257114574867498E-3</v>
      </c>
      <c r="D177" s="2">
        <v>3.1590934834173598</v>
      </c>
      <c r="E177" s="2">
        <v>7.1240209043025901E-2</v>
      </c>
      <c r="F177" s="2">
        <v>4.3781857262672396E-3</v>
      </c>
      <c r="G177" s="2">
        <v>1.7975936863047199</v>
      </c>
    </row>
    <row r="178" spans="1:7">
      <c r="A178" s="2">
        <v>232</v>
      </c>
      <c r="B178" s="2">
        <v>0.64365874727566996</v>
      </c>
      <c r="C178" s="2">
        <v>2.3408149834022E-2</v>
      </c>
      <c r="D178" s="2">
        <v>3.11755764644486</v>
      </c>
      <c r="E178" s="2">
        <v>0.314400725066661</v>
      </c>
      <c r="F178" s="2">
        <v>1.29784372821912E-2</v>
      </c>
      <c r="G178" s="2">
        <v>3.1968680305664399</v>
      </c>
    </row>
    <row r="179" spans="1:7">
      <c r="A179" s="2">
        <v>234</v>
      </c>
      <c r="B179" s="2">
        <v>0.88019870221614804</v>
      </c>
      <c r="C179" s="2">
        <v>9.7455901750915699E-3</v>
      </c>
      <c r="D179" s="2">
        <v>2.9990699459694299</v>
      </c>
      <c r="E179" s="2">
        <v>0.518626749515533</v>
      </c>
      <c r="F179" s="2">
        <v>1.52922547227802E-2</v>
      </c>
      <c r="G179" s="2">
        <v>3.33340196642652</v>
      </c>
    </row>
    <row r="180" spans="1:7">
      <c r="A180" s="2">
        <v>235</v>
      </c>
      <c r="B180" s="2">
        <v>0.892526134848594</v>
      </c>
      <c r="C180" s="2">
        <v>2.66663927648285E-2</v>
      </c>
      <c r="D180" s="2">
        <v>3.25146549737716</v>
      </c>
      <c r="E180" s="2">
        <v>0.49007025361061002</v>
      </c>
      <c r="F180" s="2">
        <v>1.33271856643171E-2</v>
      </c>
      <c r="G180" s="2">
        <v>2.28646492016787</v>
      </c>
    </row>
    <row r="181" spans="1:7">
      <c r="A181" s="2">
        <v>236</v>
      </c>
      <c r="B181" s="2">
        <v>0.93348755836486796</v>
      </c>
      <c r="C181" s="2">
        <v>4.65166800205301E-3</v>
      </c>
      <c r="D181" s="2">
        <v>2.9644975195280598</v>
      </c>
      <c r="E181" s="2">
        <v>0.70909081101417504</v>
      </c>
      <c r="F181" s="2">
        <v>7.4105272806377796E-3</v>
      </c>
      <c r="G181" s="2">
        <v>2.8888829444367001</v>
      </c>
    </row>
    <row r="182" spans="1:7">
      <c r="A182" s="2">
        <v>237</v>
      </c>
      <c r="B182" s="2">
        <v>0.48963394016027401</v>
      </c>
      <c r="C182" s="2">
        <v>4.10656598319233E-3</v>
      </c>
      <c r="D182" s="2">
        <v>2.8438680061851902</v>
      </c>
      <c r="E182" s="2">
        <v>0.28716373443603499</v>
      </c>
      <c r="F182" s="2">
        <v>8.6450566565368092E-3</v>
      </c>
      <c r="G182" s="2">
        <v>3.1698163972852602</v>
      </c>
    </row>
    <row r="183" spans="1:7">
      <c r="A183" s="2">
        <v>239</v>
      </c>
      <c r="B183" s="2">
        <v>0.66494542360305697</v>
      </c>
      <c r="C183" s="2">
        <v>-1.0547388163820001E-2</v>
      </c>
      <c r="D183" s="2">
        <v>2.9541850193660202</v>
      </c>
      <c r="E183" s="2">
        <v>5.3677994757890701E-2</v>
      </c>
      <c r="F183" s="2">
        <v>7.63335140742071E-3</v>
      </c>
      <c r="G183" s="2">
        <v>1.83461075115454</v>
      </c>
    </row>
    <row r="184" spans="1:7">
      <c r="A184" s="2">
        <v>240</v>
      </c>
      <c r="B184" s="2">
        <v>0.74394979700446096</v>
      </c>
      <c r="C184" s="2">
        <v>-6.4071959087664797E-3</v>
      </c>
      <c r="D184" s="2">
        <v>2.9421762546808901</v>
      </c>
      <c r="E184" s="2">
        <v>0.62564304471015897</v>
      </c>
      <c r="F184" s="2">
        <v>-5.5035116541013397E-4</v>
      </c>
      <c r="G184" s="2">
        <v>2.8638573439064099</v>
      </c>
    </row>
    <row r="185" spans="1:7">
      <c r="A185" s="2">
        <v>241</v>
      </c>
      <c r="B185" s="2">
        <v>0.63520818948745705</v>
      </c>
      <c r="C185" s="2">
        <v>2.97351710775819E-2</v>
      </c>
      <c r="D185" s="2">
        <v>3.0245022213190098</v>
      </c>
      <c r="E185" s="2">
        <v>0.61294464394450099</v>
      </c>
      <c r="F185" s="2">
        <v>2.12507326250259E-2</v>
      </c>
      <c r="G185" s="2">
        <v>2.6212007418842198</v>
      </c>
    </row>
    <row r="186" spans="1:7">
      <c r="A186" s="2">
        <v>242</v>
      </c>
      <c r="B186" s="2">
        <v>0.78021714836359002</v>
      </c>
      <c r="C186" s="2">
        <v>3.1665855597549898E-2</v>
      </c>
      <c r="D186" s="2">
        <v>3.23261469400641</v>
      </c>
      <c r="E186" s="2">
        <v>6.2956199049949604E-2</v>
      </c>
      <c r="F186" s="2">
        <v>1.37884564083883E-2</v>
      </c>
      <c r="G186" s="2">
        <v>2.4886464834763902</v>
      </c>
    </row>
    <row r="187" spans="1:7">
      <c r="A187" s="2">
        <v>243</v>
      </c>
      <c r="B187" s="2">
        <v>0.90279847383499101</v>
      </c>
      <c r="C187" s="2">
        <v>3.00874248640337E-2</v>
      </c>
      <c r="D187" s="2">
        <v>3.2330073595815301</v>
      </c>
      <c r="E187" s="2">
        <v>0.46561407670378602</v>
      </c>
      <c r="F187" s="2">
        <v>8.5283669027911204E-3</v>
      </c>
      <c r="G187" s="2">
        <v>2.9232960758119799</v>
      </c>
    </row>
    <row r="188" spans="1:7">
      <c r="A188" s="2">
        <v>244</v>
      </c>
      <c r="B188" s="2">
        <v>0.67909420281648603</v>
      </c>
      <c r="C188" s="2">
        <v>2.0376157764880599E-2</v>
      </c>
      <c r="D188" s="2">
        <v>3.28592868002396</v>
      </c>
      <c r="E188" s="2">
        <v>0.56441405415534895</v>
      </c>
      <c r="F188" s="2">
        <v>2.2447361868280702E-3</v>
      </c>
      <c r="G188" s="2">
        <v>3.62021112634172</v>
      </c>
    </row>
    <row r="189" spans="1:7">
      <c r="A189" s="2">
        <v>245</v>
      </c>
      <c r="B189" s="2">
        <v>0.83348040580749505</v>
      </c>
      <c r="C189" s="2">
        <v>-1.20310728935393E-2</v>
      </c>
      <c r="D189" s="2">
        <v>3.1335692673170601</v>
      </c>
      <c r="E189" s="2">
        <v>0.50310861070950796</v>
      </c>
      <c r="F189" s="2">
        <v>5.9211059164934899E-3</v>
      </c>
      <c r="G189" s="2">
        <v>3.2442850721644101</v>
      </c>
    </row>
    <row r="190" spans="1:7">
      <c r="A190" s="2">
        <v>246</v>
      </c>
      <c r="B190" s="2">
        <v>0.84272604435682297</v>
      </c>
      <c r="C190" s="2">
        <v>6.8580750023765598E-3</v>
      </c>
      <c r="D190" s="2">
        <v>3.1653270582363899</v>
      </c>
      <c r="E190" s="2">
        <v>0.62012779712677002</v>
      </c>
      <c r="F190" s="2">
        <v>5.8512726342030397E-4</v>
      </c>
      <c r="G190" s="2">
        <v>3.2451173944264902</v>
      </c>
    </row>
    <row r="191" spans="1:7">
      <c r="A191" s="2">
        <v>248</v>
      </c>
      <c r="B191" s="2">
        <v>0.838746897876262</v>
      </c>
      <c r="C191" s="2">
        <v>-1.33747261910839E-2</v>
      </c>
      <c r="D191" s="2">
        <v>3.2560873702780202</v>
      </c>
      <c r="E191" s="2">
        <v>0.92265005111694298</v>
      </c>
      <c r="F191" s="2">
        <v>1.9740537086944999E-2</v>
      </c>
      <c r="G191" s="2">
        <v>3.2270153511341602</v>
      </c>
    </row>
    <row r="192" spans="1:7">
      <c r="A192" s="2">
        <v>249</v>
      </c>
      <c r="B192" s="2">
        <v>0.79436973482370299</v>
      </c>
      <c r="C192" s="2">
        <v>3.9497373816125801E-3</v>
      </c>
      <c r="D192" s="2">
        <v>3.0137776454334899</v>
      </c>
      <c r="E192" s="2">
        <v>0.78023434281349102</v>
      </c>
      <c r="F192" s="2">
        <v>-5.8584427733581598E-3</v>
      </c>
      <c r="G192" s="2">
        <v>3.1427014932402599</v>
      </c>
    </row>
    <row r="193" spans="1:7">
      <c r="A193" s="2">
        <v>251</v>
      </c>
      <c r="B193" s="2">
        <v>0.47694109380245198</v>
      </c>
      <c r="C193" s="2">
        <v>3.0095679608712299E-2</v>
      </c>
      <c r="D193" s="2">
        <v>2.9653447634144601</v>
      </c>
      <c r="E193" s="2">
        <v>0.53709324200948005</v>
      </c>
      <c r="F193" s="2">
        <v>1.24908618067386E-2</v>
      </c>
      <c r="G193" s="2">
        <v>2.6127456850395698</v>
      </c>
    </row>
    <row r="194" spans="1:7">
      <c r="A194" s="2">
        <v>252</v>
      </c>
      <c r="B194" s="2">
        <v>0.71733929030597199</v>
      </c>
      <c r="C194" s="2">
        <v>-3.0523452941800099E-2</v>
      </c>
      <c r="D194" s="2">
        <v>3.07261554797741</v>
      </c>
      <c r="E194" s="2">
        <v>0.40592068433761502</v>
      </c>
      <c r="F194" s="2">
        <v>1.25418226160949E-2</v>
      </c>
      <c r="G194" s="2">
        <v>3.00145534584103</v>
      </c>
    </row>
    <row r="195" spans="1:7">
      <c r="A195" s="2">
        <v>253</v>
      </c>
      <c r="B195" s="2">
        <v>0.82859355211257901</v>
      </c>
      <c r="C195" s="2">
        <v>-6.2281849554430798E-4</v>
      </c>
      <c r="D195" s="2">
        <v>2.9799930084072099</v>
      </c>
      <c r="E195" s="2">
        <v>0.85862257083256999</v>
      </c>
      <c r="F195" s="2">
        <v>2.1597803933701601E-2</v>
      </c>
      <c r="G195" s="2">
        <v>3.06309455909309</v>
      </c>
    </row>
    <row r="196" spans="1:7">
      <c r="A196" s="2">
        <v>255</v>
      </c>
      <c r="B196" s="2">
        <v>0.42470008134841902</v>
      </c>
      <c r="C196" s="2">
        <v>5.2700585785197797E-2</v>
      </c>
      <c r="D196" s="2">
        <v>2.4611392495922502</v>
      </c>
      <c r="E196" s="2">
        <v>0.68410165607929196</v>
      </c>
      <c r="F196" s="2">
        <v>-3.47010410862669E-3</v>
      </c>
      <c r="G196" s="2">
        <v>2.34082101086651</v>
      </c>
    </row>
    <row r="197" spans="1:7">
      <c r="A197" s="2">
        <v>256</v>
      </c>
      <c r="B197" s="2">
        <v>0.47189372777938798</v>
      </c>
      <c r="C197" s="2">
        <v>5.2063815851326398E-3</v>
      </c>
      <c r="D197" s="2">
        <v>3.0832520042792302</v>
      </c>
      <c r="E197" s="2">
        <v>8.8209867477416895E-2</v>
      </c>
      <c r="F197" s="2">
        <v>8.6656967223678293E-3</v>
      </c>
      <c r="G197" s="2">
        <v>2.45079806581469</v>
      </c>
    </row>
    <row r="198" spans="1:7">
      <c r="A198" s="2">
        <v>257</v>
      </c>
      <c r="B198" s="2">
        <v>0.810750812292099</v>
      </c>
      <c r="C198" s="2">
        <v>-9.5736267450531303E-3</v>
      </c>
      <c r="D198" s="2">
        <v>3.2492727104028298</v>
      </c>
      <c r="E198" s="2">
        <v>0.57268900424241997</v>
      </c>
      <c r="F198" s="2">
        <v>4.61133503369026E-3</v>
      </c>
      <c r="G198" s="2">
        <v>2.9585675806574701</v>
      </c>
    </row>
    <row r="199" spans="1:7">
      <c r="A199" s="2">
        <v>258</v>
      </c>
      <c r="B199" s="2">
        <v>0.75878291577100698</v>
      </c>
      <c r="C199" s="2">
        <v>1.0433040424574699E-2</v>
      </c>
      <c r="D199" s="2">
        <v>3.2091694947492901</v>
      </c>
      <c r="E199" s="2">
        <v>0.51101675629615695</v>
      </c>
      <c r="F199" s="2">
        <v>8.1971450253703795E-4</v>
      </c>
      <c r="G199" s="2">
        <v>2.91978859687512</v>
      </c>
    </row>
    <row r="200" spans="1:7">
      <c r="A200" s="2">
        <v>260</v>
      </c>
      <c r="B200" s="2">
        <v>0.59555613001187602</v>
      </c>
      <c r="C200" s="2">
        <v>-7.9664360628539602E-3</v>
      </c>
      <c r="D200" s="2">
        <v>3.1421550406640701</v>
      </c>
      <c r="E200" s="2">
        <v>0.48933626338839498</v>
      </c>
      <c r="F200" s="2">
        <v>1.28375300870651E-2</v>
      </c>
      <c r="G200" s="2">
        <v>2.2563711738816599</v>
      </c>
    </row>
    <row r="201" spans="1:7">
      <c r="A201" s="2">
        <v>261</v>
      </c>
      <c r="B201" s="2">
        <v>0.76877951249480203</v>
      </c>
      <c r="C201" s="2">
        <v>6.9248102648344901E-4</v>
      </c>
      <c r="D201" s="2">
        <v>2.8895631203240599</v>
      </c>
      <c r="E201" s="2">
        <v>0.35176260396838099</v>
      </c>
      <c r="F201" s="2">
        <v>3.09395769214732E-2</v>
      </c>
      <c r="G201" s="2">
        <v>3.2539552622359</v>
      </c>
    </row>
    <row r="202" spans="1:7">
      <c r="A202" s="2">
        <v>262</v>
      </c>
      <c r="B202" s="2">
        <v>0.28392077982425601</v>
      </c>
      <c r="C202" s="2">
        <v>2.2686392186415098E-2</v>
      </c>
      <c r="D202" s="2">
        <v>3.1883826194538498</v>
      </c>
      <c r="E202" s="2">
        <v>9.6570275723934104E-2</v>
      </c>
      <c r="F202" s="2">
        <v>1.8036228935915902E-2</v>
      </c>
      <c r="G202" s="2">
        <v>1.99700566556244</v>
      </c>
    </row>
    <row r="203" spans="1:7">
      <c r="A203" s="2">
        <v>264</v>
      </c>
      <c r="B203" s="2">
        <v>0.78101498484611498</v>
      </c>
      <c r="C203" s="2">
        <v>-2.2558812873633301E-3</v>
      </c>
      <c r="D203" s="2">
        <v>3.1725883313776602</v>
      </c>
      <c r="E203" s="2">
        <v>0.67011573910713196</v>
      </c>
      <c r="F203" s="2">
        <v>-6.12178146164943E-4</v>
      </c>
      <c r="G203" s="2">
        <v>2.7849029323066099</v>
      </c>
    </row>
    <row r="204" spans="1:7">
      <c r="A204" s="2">
        <v>265</v>
      </c>
      <c r="B204" s="2">
        <v>0.59020180503527297</v>
      </c>
      <c r="C204" s="2">
        <v>1.3684098966763199E-2</v>
      </c>
      <c r="D204" s="2">
        <v>3.078968627988</v>
      </c>
      <c r="E204" s="2">
        <v>0.42548074759542898</v>
      </c>
      <c r="F204" s="2">
        <v>1.0478389660128099E-2</v>
      </c>
      <c r="G204" s="2">
        <v>3.2812053853033798</v>
      </c>
    </row>
    <row r="205" spans="1:7">
      <c r="A205" s="2">
        <v>267</v>
      </c>
      <c r="B205" s="2">
        <v>0.66427156329154902</v>
      </c>
      <c r="C205" s="2">
        <v>-2.8308375043012E-2</v>
      </c>
      <c r="D205" s="2">
        <v>3.0772828371280898</v>
      </c>
      <c r="E205" s="2">
        <v>0.108440026640892</v>
      </c>
      <c r="F205" s="2">
        <v>1.4446062578301101E-2</v>
      </c>
      <c r="G205" s="2">
        <v>1.9451348598007501</v>
      </c>
    </row>
    <row r="206" spans="1:7">
      <c r="A206" s="2">
        <v>269</v>
      </c>
      <c r="B206" s="2">
        <v>0.857765913009643</v>
      </c>
      <c r="C206" s="2">
        <v>1.55661802438622E-2</v>
      </c>
      <c r="D206" s="2">
        <v>2.90169466360706</v>
      </c>
      <c r="E206" s="2">
        <v>0.26396575445930098</v>
      </c>
      <c r="F206" s="2">
        <v>1.0050727990333E-2</v>
      </c>
      <c r="G206" s="2">
        <v>2.9682671945749899</v>
      </c>
    </row>
    <row r="207" spans="1:7">
      <c r="A207" s="2">
        <v>270</v>
      </c>
      <c r="B207" s="2">
        <v>0.83687880635261502</v>
      </c>
      <c r="C207" s="2">
        <v>3.07734263624279E-2</v>
      </c>
      <c r="D207" s="2">
        <v>3.1934485201224501</v>
      </c>
      <c r="E207" s="2">
        <v>0.31999330408871102</v>
      </c>
      <c r="F207" s="2">
        <v>8.6864898576219894E-3</v>
      </c>
      <c r="G207" s="2">
        <v>2.8544218449824399</v>
      </c>
    </row>
  </sheetData>
  <sortState xmlns:xlrd2="http://schemas.microsoft.com/office/spreadsheetml/2017/richdata2" ref="AF44:AF63">
    <sortCondition ref="AF44"/>
  </sortState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去除空格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2024-01-13T18:27:59Z</dcterms:created>
  <dcterms:modified xsi:type="dcterms:W3CDTF">2024-01-13T20:19:14Z</dcterms:modified>
</cp:coreProperties>
</file>