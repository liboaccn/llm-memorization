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bo15/Desktop/ijcai/"/>
    </mc:Choice>
  </mc:AlternateContent>
  <xr:revisionPtr revIDLastSave="0" documentId="13_ncr:1_{FF5B56CB-709E-E245-93AD-81B0A9370A64}" xr6:coauthVersionLast="47" xr6:coauthVersionMax="47" xr10:uidLastSave="{00000000-0000-0000-0000-000000000000}"/>
  <bookViews>
    <workbookView xWindow="0" yWindow="500" windowWidth="28800" windowHeight="15980" firstSheet="1" activeTab="9" xr2:uid="{4F7C7014-3E88-A742-BBA0-88FCBAA84734}"/>
  </bookViews>
  <sheets>
    <sheet name="原始数据" sheetId="4" r:id="rId1"/>
    <sheet name="汇聚结果" sheetId="5" r:id="rId2"/>
    <sheet name="单词-句子长度" sheetId="7" r:id="rId3"/>
    <sheet name="POS-图" sheetId="6" r:id="rId4"/>
    <sheet name="probabilities_mean_valued" sheetId="8" r:id="rId5"/>
    <sheet name="probabilities_variance_value" sheetId="9" r:id="rId6"/>
    <sheet name="修正数据" sheetId="13" r:id="rId7"/>
    <sheet name="probabilities_max_valued" sheetId="14" r:id="rId8"/>
    <sheet name="hidden_states_mean_value" sheetId="10" r:id="rId9"/>
    <sheet name="hidden_states_variance_value" sheetId="11" r:id="rId10"/>
  </sheets>
  <definedNames>
    <definedName name="_xlnm._FilterDatabase" localSheetId="8" hidden="1">hidden_states_mean_value!$A$1:$C$853</definedName>
    <definedName name="_xlnm._FilterDatabase" localSheetId="9" hidden="1">hidden_states_variance_value!$A$1:$C$853</definedName>
    <definedName name="_xlnm._FilterDatabase" localSheetId="7" hidden="1">probabilities_max_valued!$A$1:$C$853</definedName>
    <definedName name="_xlnm._FilterDatabase" localSheetId="4" hidden="1">probabilities_mean_valued!$A$1:$C$853</definedName>
    <definedName name="_xlnm._FilterDatabase" localSheetId="5" hidden="1">probabilities_variance_value!$A$1:$C$853</definedName>
    <definedName name="_xlnm._FilterDatabase" localSheetId="0" hidden="1">原始数据!$A$1:$N$853</definedName>
  </definedNames>
  <calcPr calcId="191029"/>
  <pivotCaches>
    <pivotCache cacheId="2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48" i="14" l="1"/>
  <c r="U30" i="14"/>
  <c r="U31" i="14"/>
  <c r="U37" i="14"/>
  <c r="U38" i="14"/>
  <c r="U39" i="14"/>
  <c r="U45" i="14"/>
  <c r="U46" i="14"/>
  <c r="U47" i="14"/>
  <c r="L35" i="14"/>
  <c r="L37" i="14"/>
  <c r="L45" i="14"/>
  <c r="V6" i="14"/>
  <c r="S9" i="14"/>
  <c r="U36" i="14" s="1"/>
  <c r="S8" i="14"/>
  <c r="U33" i="14" s="1"/>
  <c r="S7" i="14"/>
  <c r="S6" i="14"/>
  <c r="N6" i="14"/>
  <c r="N7" i="14" s="1"/>
  <c r="N8" i="14" s="1"/>
  <c r="N9" i="14" s="1"/>
  <c r="N10" i="14" s="1"/>
  <c r="N11" i="14" s="1"/>
  <c r="N12" i="14" s="1"/>
  <c r="N13" i="14" s="1"/>
  <c r="N14" i="14" s="1"/>
  <c r="N15" i="14" s="1"/>
  <c r="N16" i="14" s="1"/>
  <c r="N17" i="14" s="1"/>
  <c r="N18" i="14" s="1"/>
  <c r="N19" i="14" s="1"/>
  <c r="N20" i="14" s="1"/>
  <c r="N21" i="14" s="1"/>
  <c r="N22" i="14" s="1"/>
  <c r="N23" i="14" s="1"/>
  <c r="N24" i="14" s="1"/>
  <c r="N25" i="14" s="1"/>
  <c r="K11" i="14"/>
  <c r="K9" i="14"/>
  <c r="L92" i="14" s="1"/>
  <c r="K8" i="14"/>
  <c r="L104" i="14" s="1"/>
  <c r="K7" i="14"/>
  <c r="K6" i="14"/>
  <c r="D3" i="6"/>
  <c r="F3" i="6" s="1"/>
  <c r="D4" i="6"/>
  <c r="F4" i="6" s="1"/>
  <c r="D5" i="6"/>
  <c r="F5" i="6" s="1"/>
  <c r="D6" i="6"/>
  <c r="F6" i="6" s="1"/>
  <c r="D7" i="6"/>
  <c r="F7" i="6" s="1"/>
  <c r="D8" i="6"/>
  <c r="F8" i="6" s="1"/>
  <c r="D9" i="6"/>
  <c r="F9" i="6" s="1"/>
  <c r="D10" i="6"/>
  <c r="F10" i="6" s="1"/>
  <c r="D11" i="6"/>
  <c r="F11" i="6" s="1"/>
  <c r="D2" i="6"/>
  <c r="F2" i="6" s="1"/>
  <c r="S16" i="8"/>
  <c r="S15" i="8"/>
  <c r="K17" i="8"/>
  <c r="K16" i="8"/>
  <c r="T6" i="8"/>
  <c r="T5" i="8"/>
  <c r="R9" i="8"/>
  <c r="R7" i="8"/>
  <c r="R6" i="8"/>
  <c r="R5" i="8"/>
  <c r="R4" i="8"/>
  <c r="I9" i="8"/>
  <c r="L6" i="8"/>
  <c r="I7" i="8"/>
  <c r="I6" i="8"/>
  <c r="I5" i="8"/>
  <c r="I4" i="8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28" i="9"/>
  <c r="U6" i="9"/>
  <c r="U7" i="9" s="1"/>
  <c r="U8" i="9" s="1"/>
  <c r="U9" i="9" s="1"/>
  <c r="U10" i="9" s="1"/>
  <c r="U11" i="9" s="1"/>
  <c r="U12" i="9" s="1"/>
  <c r="U13" i="9" s="1"/>
  <c r="U14" i="9" s="1"/>
  <c r="U15" i="9" s="1"/>
  <c r="U16" i="9" s="1"/>
  <c r="U17" i="9" s="1"/>
  <c r="U18" i="9" s="1"/>
  <c r="U19" i="9" s="1"/>
  <c r="U20" i="9" s="1"/>
  <c r="U21" i="9" s="1"/>
  <c r="U22" i="9" s="1"/>
  <c r="U23" i="9" s="1"/>
  <c r="U5" i="9"/>
  <c r="S9" i="9"/>
  <c r="S7" i="9"/>
  <c r="S6" i="9"/>
  <c r="S5" i="9"/>
  <c r="S4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28" i="9"/>
  <c r="N6" i="9"/>
  <c r="N7" i="9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5" i="9"/>
  <c r="L9" i="9"/>
  <c r="L7" i="9"/>
  <c r="L6" i="9"/>
  <c r="L5" i="9"/>
  <c r="L4" i="9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28" i="10"/>
  <c r="V6" i="10"/>
  <c r="V7" i="10" s="1"/>
  <c r="V8" i="10" s="1"/>
  <c r="V9" i="10" s="1"/>
  <c r="V10" i="10" s="1"/>
  <c r="V11" i="10" s="1"/>
  <c r="V12" i="10" s="1"/>
  <c r="V13" i="10" s="1"/>
  <c r="V14" i="10" s="1"/>
  <c r="V15" i="10" s="1"/>
  <c r="V16" i="10" s="1"/>
  <c r="V17" i="10" s="1"/>
  <c r="V18" i="10" s="1"/>
  <c r="V19" i="10" s="1"/>
  <c r="V20" i="10" s="1"/>
  <c r="V21" i="10" s="1"/>
  <c r="V22" i="10" s="1"/>
  <c r="V23" i="10" s="1"/>
  <c r="V5" i="10"/>
  <c r="T9" i="10"/>
  <c r="T7" i="10"/>
  <c r="T6" i="10"/>
  <c r="T5" i="10"/>
  <c r="T4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28" i="10"/>
  <c r="N6" i="10"/>
  <c r="N7" i="10" s="1"/>
  <c r="N8" i="10" s="1"/>
  <c r="N9" i="10" s="1"/>
  <c r="N10" i="10" s="1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5" i="10"/>
  <c r="L9" i="10"/>
  <c r="L7" i="10"/>
  <c r="L6" i="10"/>
  <c r="L5" i="10"/>
  <c r="L4" i="10"/>
  <c r="K40" i="11"/>
  <c r="K39" i="11"/>
  <c r="K38" i="11"/>
  <c r="K37" i="11"/>
  <c r="K7" i="11"/>
  <c r="K6" i="11"/>
  <c r="K5" i="11"/>
  <c r="K4" i="11"/>
  <c r="H82" i="7"/>
  <c r="H83" i="7"/>
  <c r="H84" i="7"/>
  <c r="H85" i="7"/>
  <c r="H80" i="7"/>
  <c r="G81" i="7"/>
  <c r="G82" i="7"/>
  <c r="G83" i="7"/>
  <c r="G88" i="7"/>
  <c r="G89" i="7"/>
  <c r="G80" i="7"/>
  <c r="D85" i="7"/>
  <c r="H81" i="7" s="1"/>
  <c r="D86" i="7"/>
  <c r="D87" i="7"/>
  <c r="D88" i="7"/>
  <c r="G84" i="7" s="1"/>
  <c r="D89" i="7"/>
  <c r="G85" i="7" s="1"/>
  <c r="D90" i="7"/>
  <c r="H86" i="7" s="1"/>
  <c r="D91" i="7"/>
  <c r="G87" i="7" s="1"/>
  <c r="D92" i="7"/>
  <c r="H88" i="7" s="1"/>
  <c r="D93" i="7"/>
  <c r="H89" i="7" s="1"/>
  <c r="D84" i="7"/>
  <c r="D42" i="7"/>
  <c r="D40" i="7"/>
  <c r="D43" i="7"/>
  <c r="H43" i="7" s="1"/>
  <c r="D39" i="7"/>
  <c r="H39" i="7" s="1"/>
  <c r="D44" i="7"/>
  <c r="H44" i="7" s="1"/>
  <c r="D45" i="7"/>
  <c r="G45" i="7" s="1"/>
  <c r="D46" i="7"/>
  <c r="D47" i="7"/>
  <c r="D48" i="7"/>
  <c r="D49" i="7"/>
  <c r="D41" i="7"/>
  <c r="G86" i="7" l="1"/>
  <c r="H87" i="7"/>
  <c r="H40" i="7"/>
  <c r="H42" i="7"/>
  <c r="H41" i="7"/>
  <c r="L46" i="14"/>
  <c r="L38" i="14"/>
  <c r="U29" i="14"/>
  <c r="U40" i="14"/>
  <c r="U32" i="14"/>
  <c r="L89" i="14"/>
  <c r="L97" i="14"/>
  <c r="L98" i="14"/>
  <c r="L44" i="14"/>
  <c r="L91" i="14"/>
  <c r="L43" i="14"/>
  <c r="L42" i="14"/>
  <c r="L93" i="14"/>
  <c r="L49" i="14"/>
  <c r="L41" i="14"/>
  <c r="L33" i="14"/>
  <c r="U43" i="14"/>
  <c r="U35" i="14"/>
  <c r="L86" i="14"/>
  <c r="L94" i="14"/>
  <c r="L102" i="14"/>
  <c r="L90" i="14"/>
  <c r="L36" i="14"/>
  <c r="L100" i="14"/>
  <c r="L30" i="14"/>
  <c r="L34" i="14"/>
  <c r="U44" i="14"/>
  <c r="L85" i="14"/>
  <c r="L101" i="14"/>
  <c r="L48" i="14"/>
  <c r="L40" i="14"/>
  <c r="L32" i="14"/>
  <c r="U42" i="14"/>
  <c r="U34" i="14"/>
  <c r="L87" i="14"/>
  <c r="L95" i="14"/>
  <c r="L103" i="14"/>
  <c r="L99" i="14"/>
  <c r="L47" i="14"/>
  <c r="L39" i="14"/>
  <c r="L31" i="14"/>
  <c r="U41" i="14"/>
  <c r="L88" i="14"/>
  <c r="L96" i="14"/>
  <c r="S11" i="14"/>
  <c r="V7" i="14" s="1"/>
  <c r="V8" i="14" s="1"/>
  <c r="V9" i="14" s="1"/>
  <c r="V10" i="14" s="1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Q43" i="11"/>
  <c r="Q7" i="11"/>
  <c r="Q40" i="11"/>
  <c r="K9" i="11"/>
  <c r="M5" i="11" s="1"/>
  <c r="M6" i="11" s="1"/>
  <c r="M7" i="11" s="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P149" i="11"/>
  <c r="P151" i="11"/>
  <c r="P133" i="11"/>
  <c r="P134" i="11"/>
  <c r="P142" i="11"/>
  <c r="P150" i="11"/>
  <c r="Q38" i="11"/>
  <c r="P135" i="11"/>
  <c r="P143" i="11"/>
  <c r="Q56" i="11"/>
  <c r="P136" i="11"/>
  <c r="P144" i="11"/>
  <c r="Q50" i="11"/>
  <c r="P137" i="11"/>
  <c r="P145" i="11"/>
  <c r="P141" i="11"/>
  <c r="Q48" i="11"/>
  <c r="P138" i="11"/>
  <c r="P146" i="11"/>
  <c r="P132" i="11"/>
  <c r="P140" i="11"/>
  <c r="P148" i="11"/>
  <c r="K42" i="1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Q42" i="11"/>
  <c r="P131" i="11"/>
  <c r="P139" i="11"/>
  <c r="P147" i="11"/>
  <c r="Q6" i="11"/>
  <c r="Q21" i="11"/>
  <c r="Q13" i="11"/>
  <c r="Q57" i="11"/>
  <c r="Q49" i="11"/>
  <c r="Q41" i="11"/>
  <c r="Q22" i="11"/>
  <c r="Q20" i="11"/>
  <c r="Q19" i="11"/>
  <c r="Q11" i="11"/>
  <c r="Q25" i="11"/>
  <c r="Q17" i="11"/>
  <c r="Q9" i="11"/>
  <c r="Q53" i="11"/>
  <c r="Q45" i="11"/>
  <c r="Q14" i="11"/>
  <c r="Q12" i="11"/>
  <c r="Q5" i="11"/>
  <c r="Q18" i="11"/>
  <c r="Q10" i="11"/>
  <c r="Q54" i="11"/>
  <c r="Q24" i="11"/>
  <c r="Q16" i="11"/>
  <c r="Q8" i="11"/>
  <c r="Q52" i="11"/>
  <c r="Q44" i="11"/>
  <c r="Q55" i="11"/>
  <c r="Q47" i="11"/>
  <c r="Q39" i="11"/>
  <c r="Q46" i="11"/>
  <c r="Q23" i="11"/>
  <c r="Q15" i="11"/>
  <c r="Q51" i="11"/>
  <c r="G44" i="7"/>
  <c r="G39" i="7"/>
  <c r="G43" i="7"/>
  <c r="H45" i="7"/>
  <c r="G41" i="7"/>
  <c r="G40" i="7"/>
  <c r="G42" i="7"/>
</calcChain>
</file>

<file path=xl/sharedStrings.xml><?xml version="1.0" encoding="utf-8"?>
<sst xmlns="http://schemas.openxmlformats.org/spreadsheetml/2006/main" count="16598" uniqueCount="2465">
  <si>
    <t>for crying out loud</t>
  </si>
  <si>
    <t>for crying out</t>
  </si>
  <si>
    <t>loud</t>
  </si>
  <si>
    <t>ADV</t>
  </si>
  <si>
    <t>Y</t>
  </si>
  <si>
    <t>turn a blind eye</t>
  </si>
  <si>
    <t>turn a blind</t>
  </si>
  <si>
    <t>eye</t>
  </si>
  <si>
    <t>NOUN</t>
  </si>
  <si>
    <t>get to grips with</t>
  </si>
  <si>
    <t>get to grips</t>
  </si>
  <si>
    <t>with</t>
  </si>
  <si>
    <t>ADP</t>
  </si>
  <si>
    <t>grind to a halt</t>
  </si>
  <si>
    <t>grind to a</t>
  </si>
  <si>
    <t>halt</t>
  </si>
  <si>
    <t>let bygones be bygones</t>
  </si>
  <si>
    <t>let bygones be</t>
  </si>
  <si>
    <t>bygones</t>
  </si>
  <si>
    <t>every man for himself</t>
  </si>
  <si>
    <t>every man for</t>
  </si>
  <si>
    <t>himself</t>
  </si>
  <si>
    <t>PRON</t>
  </si>
  <si>
    <t>sign of the times</t>
  </si>
  <si>
    <t>sign of the</t>
  </si>
  <si>
    <t>times</t>
  </si>
  <si>
    <t>at the end of the day</t>
  </si>
  <si>
    <t>at the end of the</t>
  </si>
  <si>
    <t>day</t>
  </si>
  <si>
    <t>come to terms with</t>
  </si>
  <si>
    <t>come to terms</t>
  </si>
  <si>
    <t>with a view to</t>
  </si>
  <si>
    <t>with a view</t>
  </si>
  <si>
    <t>to</t>
  </si>
  <si>
    <t>PART</t>
  </si>
  <si>
    <t>in the long run</t>
  </si>
  <si>
    <t>in the long</t>
  </si>
  <si>
    <t>run</t>
  </si>
  <si>
    <t>keep a low profile</t>
  </si>
  <si>
    <t>keep a low</t>
  </si>
  <si>
    <t>profile</t>
  </si>
  <si>
    <t>tell it like it is</t>
  </si>
  <si>
    <t>tell it like it</t>
  </si>
  <si>
    <t>is</t>
  </si>
  <si>
    <t>AUX</t>
  </si>
  <si>
    <t>sing the praises of</t>
  </si>
  <si>
    <t>sing the praises</t>
  </si>
  <si>
    <t>of</t>
  </si>
  <si>
    <t>rub someone up the wrong way</t>
  </si>
  <si>
    <t>rub someone up the wrong</t>
  </si>
  <si>
    <t>way</t>
  </si>
  <si>
    <t>in the driving seat</t>
  </si>
  <si>
    <t>in the driving</t>
  </si>
  <si>
    <t>seat</t>
  </si>
  <si>
    <t>fall by the wayside</t>
  </si>
  <si>
    <t>fall by the</t>
  </si>
  <si>
    <t>wayside</t>
  </si>
  <si>
    <t>to the tune of</t>
  </si>
  <si>
    <t>to the tune</t>
  </si>
  <si>
    <t>take someone's word for it</t>
  </si>
  <si>
    <t>take someone's word for</t>
  </si>
  <si>
    <t>it</t>
  </si>
  <si>
    <t>on the spur of the moment</t>
  </si>
  <si>
    <t>on the spur of the</t>
  </si>
  <si>
    <t>moment</t>
  </si>
  <si>
    <t>the grass is always greener</t>
  </si>
  <si>
    <t>the grass is always</t>
  </si>
  <si>
    <t>greener</t>
  </si>
  <si>
    <t>ADJ</t>
  </si>
  <si>
    <t>from rags to riches</t>
  </si>
  <si>
    <t>from rags to</t>
  </si>
  <si>
    <t>riches</t>
  </si>
  <si>
    <t>in no uncertain terms</t>
  </si>
  <si>
    <t>in no uncertain</t>
  </si>
  <si>
    <t>terms</t>
  </si>
  <si>
    <t>read between the lines</t>
  </si>
  <si>
    <t>read between the</t>
  </si>
  <si>
    <t>lines</t>
  </si>
  <si>
    <t>lead someone up the garden path</t>
  </si>
  <si>
    <t>lead someone up the garden</t>
  </si>
  <si>
    <t>path</t>
  </si>
  <si>
    <t>for the time being</t>
  </si>
  <si>
    <t>for the time</t>
  </si>
  <si>
    <t>being</t>
  </si>
  <si>
    <t>take a dim view of</t>
  </si>
  <si>
    <t>take a dim view</t>
  </si>
  <si>
    <t>all in a day's work</t>
  </si>
  <si>
    <t>all in a day's</t>
  </si>
  <si>
    <t>work</t>
  </si>
  <si>
    <t>at a snail's pace</t>
  </si>
  <si>
    <t>at a snail's</t>
  </si>
  <si>
    <t>pace</t>
  </si>
  <si>
    <t>go hand in hand</t>
  </si>
  <si>
    <t>go hand in</t>
  </si>
  <si>
    <t>hand</t>
  </si>
  <si>
    <t>play hard to get</t>
  </si>
  <si>
    <t>play hard to</t>
  </si>
  <si>
    <t>get</t>
  </si>
  <si>
    <t>VERB</t>
  </si>
  <si>
    <t>grin like a Cheshire cat</t>
  </si>
  <si>
    <t>grin like a Cheshire</t>
  </si>
  <si>
    <t>cat</t>
  </si>
  <si>
    <t>at a loose end</t>
  </si>
  <si>
    <t>at a loose</t>
  </si>
  <si>
    <t>end</t>
  </si>
  <si>
    <t>come to think of it</t>
  </si>
  <si>
    <t>come to think of</t>
  </si>
  <si>
    <t>to all intents and purposes</t>
  </si>
  <si>
    <t>to all intents and</t>
  </si>
  <si>
    <t>purposes</t>
  </si>
  <si>
    <t>back to square one</t>
  </si>
  <si>
    <t>back to square</t>
  </si>
  <si>
    <t>one</t>
  </si>
  <si>
    <t>NUM</t>
  </si>
  <si>
    <t>kill the goose that lays the golden eggs</t>
  </si>
  <si>
    <t>kill the goose that lays the golden</t>
  </si>
  <si>
    <t>eggs</t>
  </si>
  <si>
    <t>fall on deaf ears</t>
  </si>
  <si>
    <t>fall on deaf</t>
  </si>
  <si>
    <t>ears</t>
  </si>
  <si>
    <t>by hook or by crook</t>
  </si>
  <si>
    <t>by hook or by</t>
  </si>
  <si>
    <t>crook</t>
  </si>
  <si>
    <t>PROPN</t>
  </si>
  <si>
    <t>go from strength to strength</t>
  </si>
  <si>
    <t>go from strength to</t>
  </si>
  <si>
    <t>strength</t>
  </si>
  <si>
    <t>in this day and age</t>
  </si>
  <si>
    <t>in this day and</t>
  </si>
  <si>
    <t>age</t>
  </si>
  <si>
    <t>fight tooth and nail</t>
  </si>
  <si>
    <t>fight tooth and</t>
  </si>
  <si>
    <t>nail</t>
  </si>
  <si>
    <t>wipe the floor with</t>
  </si>
  <si>
    <t>wipe the floor</t>
  </si>
  <si>
    <t>come to grips with</t>
  </si>
  <si>
    <t>come to grips</t>
  </si>
  <si>
    <t>pull out all the stops</t>
  </si>
  <si>
    <t>pull out all the</t>
  </si>
  <si>
    <t>stops</t>
  </si>
  <si>
    <t>keep a lid on</t>
  </si>
  <si>
    <t>keep a lid</t>
  </si>
  <si>
    <t>on</t>
  </si>
  <si>
    <t>few and far between</t>
  </si>
  <si>
    <t>few and far</t>
  </si>
  <si>
    <t>between</t>
  </si>
  <si>
    <t>great minds think alike</t>
  </si>
  <si>
    <t>great minds think</t>
  </si>
  <si>
    <t>alike</t>
  </si>
  <si>
    <t>all hell broke loose</t>
  </si>
  <si>
    <t>all hell broke</t>
  </si>
  <si>
    <t>loose</t>
  </si>
  <si>
    <t>get the better of</t>
  </si>
  <si>
    <t>get the better</t>
  </si>
  <si>
    <t>high as a kite</t>
  </si>
  <si>
    <t>high as a</t>
  </si>
  <si>
    <t>kite</t>
  </si>
  <si>
    <t>make head or tail of</t>
  </si>
  <si>
    <t>make head or tail</t>
  </si>
  <si>
    <t>as luck would have it</t>
  </si>
  <si>
    <t>as luck would have</t>
  </si>
  <si>
    <t>err on the side of</t>
  </si>
  <si>
    <t>err on the side</t>
  </si>
  <si>
    <t>your guess is as good as mine</t>
  </si>
  <si>
    <t>your guess is as good as</t>
  </si>
  <si>
    <t>mine</t>
  </si>
  <si>
    <t>bring the house down</t>
  </si>
  <si>
    <t>bring the house</t>
  </si>
  <si>
    <t>down</t>
  </si>
  <si>
    <t>follow in someone's footsteps</t>
  </si>
  <si>
    <t>follow in someone's</t>
  </si>
  <si>
    <t>footsteps</t>
  </si>
  <si>
    <t>set the wheels in motion</t>
  </si>
  <si>
    <t>set the wheels in</t>
  </si>
  <si>
    <t>motion</t>
  </si>
  <si>
    <t>sign on the dotted line</t>
  </si>
  <si>
    <t>sign on the dotted</t>
  </si>
  <si>
    <t>line</t>
  </si>
  <si>
    <t>pour cold water on</t>
  </si>
  <si>
    <t>pour cold water</t>
  </si>
  <si>
    <t>N</t>
  </si>
  <si>
    <t>break the back of</t>
  </si>
  <si>
    <t>break the back</t>
  </si>
  <si>
    <t>for the hell of it</t>
  </si>
  <si>
    <t>for the hell of</t>
  </si>
  <si>
    <t>hold the purse strings</t>
  </si>
  <si>
    <t>hold the purse</t>
  </si>
  <si>
    <t>strings</t>
  </si>
  <si>
    <t>fall between two stools</t>
  </si>
  <si>
    <t>fall between two</t>
  </si>
  <si>
    <t>stools</t>
  </si>
  <si>
    <t>smoke like a chimney</t>
  </si>
  <si>
    <t>smoke like a</t>
  </si>
  <si>
    <t>chimney</t>
  </si>
  <si>
    <t>cuckoo in the nest</t>
  </si>
  <si>
    <t>cuckoo in the</t>
  </si>
  <si>
    <t>nest</t>
  </si>
  <si>
    <t>beat swords into ploughshares</t>
  </si>
  <si>
    <t>beat swords into</t>
  </si>
  <si>
    <t>ploughshares</t>
  </si>
  <si>
    <t>beat swords into plowshares</t>
  </si>
  <si>
    <t>add insult to injury</t>
  </si>
  <si>
    <t>add insult to</t>
  </si>
  <si>
    <t>injury</t>
  </si>
  <si>
    <t>as the crow flies</t>
  </si>
  <si>
    <t>as the crow</t>
  </si>
  <si>
    <t>flies</t>
  </si>
  <si>
    <t>been there, done that</t>
  </si>
  <si>
    <t>been there, done</t>
  </si>
  <si>
    <t>that</t>
  </si>
  <si>
    <t>pay through the nose</t>
  </si>
  <si>
    <t>pay through the</t>
  </si>
  <si>
    <t>nose</t>
  </si>
  <si>
    <t>the die is cast</t>
  </si>
  <si>
    <t>the die is</t>
  </si>
  <si>
    <t>cast</t>
  </si>
  <si>
    <t>from the cradle to the grave</t>
  </si>
  <si>
    <t>from the cradle to the</t>
  </si>
  <si>
    <t>grave</t>
  </si>
  <si>
    <t>take the bull by the horns</t>
  </si>
  <si>
    <t>take the bull by the</t>
  </si>
  <si>
    <t>horns</t>
  </si>
  <si>
    <t>over my dead body</t>
  </si>
  <si>
    <t>over my dead</t>
  </si>
  <si>
    <t>body</t>
  </si>
  <si>
    <t>at the drop of a hat</t>
  </si>
  <si>
    <t>at the drop of a</t>
  </si>
  <si>
    <t>hat</t>
  </si>
  <si>
    <t>grin and bear it</t>
  </si>
  <si>
    <t>grin and bear</t>
  </si>
  <si>
    <t>let your hair down</t>
  </si>
  <si>
    <t>let your hair</t>
  </si>
  <si>
    <t>put a sock in it</t>
  </si>
  <si>
    <t>put a sock in</t>
  </si>
  <si>
    <t>when push comes to shove</t>
  </si>
  <si>
    <t>when push comes to</t>
  </si>
  <si>
    <t>shove</t>
  </si>
  <si>
    <t>call a spade a spade</t>
  </si>
  <si>
    <t>call a spade a</t>
  </si>
  <si>
    <t>spade</t>
  </si>
  <si>
    <t>easier said than done</t>
  </si>
  <si>
    <t>easier said than</t>
  </si>
  <si>
    <t>done</t>
  </si>
  <si>
    <t>stick out like a sore thumb</t>
  </si>
  <si>
    <t>stick out like a sore</t>
  </si>
  <si>
    <t>thumb</t>
  </si>
  <si>
    <t>between the devil and the deep blue sea</t>
  </si>
  <si>
    <t>between the devil and the deep blue</t>
  </si>
  <si>
    <t>sea</t>
  </si>
  <si>
    <t>in one ear and out the other</t>
  </si>
  <si>
    <t>in one ear and out the</t>
  </si>
  <si>
    <t>other</t>
  </si>
  <si>
    <t>keep your fingers crossed</t>
  </si>
  <si>
    <t>keep your fingers</t>
  </si>
  <si>
    <t>crossed</t>
  </si>
  <si>
    <t>knock someone's socks off</t>
  </si>
  <si>
    <t>knock someone's socks</t>
  </si>
  <si>
    <t>off</t>
  </si>
  <si>
    <t>you can't have your cake and eat it</t>
  </si>
  <si>
    <t>you can't have your cake and eat</t>
  </si>
  <si>
    <t>the icing on the cake</t>
  </si>
  <si>
    <t>the icing on the</t>
  </si>
  <si>
    <t>cake</t>
  </si>
  <si>
    <t>no two ways about it</t>
  </si>
  <si>
    <t>no two ways about</t>
  </si>
  <si>
    <t>within an ace of</t>
  </si>
  <si>
    <t>within an ace</t>
  </si>
  <si>
    <t>through thick and thin</t>
  </si>
  <si>
    <t>through thick and</t>
  </si>
  <si>
    <t>thin</t>
  </si>
  <si>
    <t>take it or leave it</t>
  </si>
  <si>
    <t>take it or leave</t>
  </si>
  <si>
    <t>till the cows come home</t>
  </si>
  <si>
    <t>till the cows come</t>
  </si>
  <si>
    <t>home</t>
  </si>
  <si>
    <t>get in on the ground floor</t>
  </si>
  <si>
    <t>get in on the ground</t>
  </si>
  <si>
    <t>floor</t>
  </si>
  <si>
    <t>kill two birds with one stone</t>
  </si>
  <si>
    <t>kill two birds with one</t>
  </si>
  <si>
    <t>stone</t>
  </si>
  <si>
    <t>put your oar in</t>
  </si>
  <si>
    <t>put your oar</t>
  </si>
  <si>
    <t>in</t>
  </si>
  <si>
    <t>under lock and key</t>
  </si>
  <si>
    <t>under lock and</t>
  </si>
  <si>
    <t>key</t>
  </si>
  <si>
    <t>keep the wolf from the door</t>
  </si>
  <si>
    <t>keep the wolf from the</t>
  </si>
  <si>
    <t>door</t>
  </si>
  <si>
    <t>hit the nail on the head</t>
  </si>
  <si>
    <t>hit the nail on the</t>
  </si>
  <si>
    <t>head</t>
  </si>
  <si>
    <t>blood is thicker than water</t>
  </si>
  <si>
    <t>blood is thicker than</t>
  </si>
  <si>
    <t>water</t>
  </si>
  <si>
    <t>in the lap of luxury</t>
  </si>
  <si>
    <t>in the lap of</t>
  </si>
  <si>
    <t>luxury</t>
  </si>
  <si>
    <t>in black and white</t>
  </si>
  <si>
    <t>in black and</t>
  </si>
  <si>
    <t>white</t>
  </si>
  <si>
    <t>come rain or shine</t>
  </si>
  <si>
    <t>come rain or</t>
  </si>
  <si>
    <t>shine</t>
  </si>
  <si>
    <t>by no stretch of the imagination</t>
  </si>
  <si>
    <t>by no stretch of the</t>
  </si>
  <si>
    <t>imagination</t>
  </si>
  <si>
    <t>stand up and be counted</t>
  </si>
  <si>
    <t>stand up and be</t>
  </si>
  <si>
    <t>counted</t>
  </si>
  <si>
    <t>look on the bright side</t>
  </si>
  <si>
    <t>look on the bright</t>
  </si>
  <si>
    <t>side</t>
  </si>
  <si>
    <t>fall on stony ground</t>
  </si>
  <si>
    <t>fall on stony</t>
  </si>
  <si>
    <t>ground</t>
  </si>
  <si>
    <t>when the chips are down</t>
  </si>
  <si>
    <t>when the chips are</t>
  </si>
  <si>
    <t>come hell or high water</t>
  </si>
  <si>
    <t>come hell or high</t>
  </si>
  <si>
    <t>bite off more than you can chew</t>
  </si>
  <si>
    <t>bite off more than you can</t>
  </si>
  <si>
    <t>chew</t>
  </si>
  <si>
    <t>have no truck with</t>
  </si>
  <si>
    <t>have no truck</t>
  </si>
  <si>
    <t>throw down the gauntlet</t>
  </si>
  <si>
    <t>throw down the</t>
  </si>
  <si>
    <t>gauntlet</t>
  </si>
  <si>
    <t>run something up the flagpole</t>
  </si>
  <si>
    <t>run something up the</t>
  </si>
  <si>
    <t>flagpole</t>
  </si>
  <si>
    <t>rake over old coals</t>
  </si>
  <si>
    <t>rake over old</t>
  </si>
  <si>
    <t>coals</t>
  </si>
  <si>
    <t>make a mountain out of a molehill</t>
  </si>
  <si>
    <t>make a mountain out of a</t>
  </si>
  <si>
    <t>molehill</t>
  </si>
  <si>
    <t>the rest is history</t>
  </si>
  <si>
    <t>the rest is</t>
  </si>
  <si>
    <t>history</t>
  </si>
  <si>
    <t>leave no stone unturned</t>
  </si>
  <si>
    <t>leave no stone</t>
  </si>
  <si>
    <t>unturned</t>
  </si>
  <si>
    <t>at sixes and sevens</t>
  </si>
  <si>
    <t>at sixes and</t>
  </si>
  <si>
    <t>sevens</t>
  </si>
  <si>
    <t>put a damper on</t>
  </si>
  <si>
    <t>put a damper</t>
  </si>
  <si>
    <t>throw cold water on</t>
  </si>
  <si>
    <t>throw cold water</t>
  </si>
  <si>
    <t>there's no such thing as a free lunch</t>
  </si>
  <si>
    <t>there's no such thing as a free</t>
  </si>
  <si>
    <t>lunch</t>
  </si>
  <si>
    <t>out of thin air</t>
  </si>
  <si>
    <t>out of thin</t>
  </si>
  <si>
    <t>air</t>
  </si>
  <si>
    <t>make a clean break</t>
  </si>
  <si>
    <t>make a clean</t>
  </si>
  <si>
    <t>break</t>
  </si>
  <si>
    <t>make a clean sweep of something</t>
  </si>
  <si>
    <t>when all is said and done</t>
  </si>
  <si>
    <t>when all is said and</t>
  </si>
  <si>
    <t>back to the drawing board</t>
  </si>
  <si>
    <t>back to the drawing</t>
  </si>
  <si>
    <t>board</t>
  </si>
  <si>
    <t>play fast and loose</t>
  </si>
  <si>
    <t>play fast and</t>
  </si>
  <si>
    <t>draw the short straw</t>
  </si>
  <si>
    <t>draw the short</t>
  </si>
  <si>
    <t>straw</t>
  </si>
  <si>
    <t>make short work of</t>
  </si>
  <si>
    <t>make short work</t>
  </si>
  <si>
    <t>pull a rabbit out of a hat</t>
  </si>
  <si>
    <t>pull a rabbit out of a</t>
  </si>
  <si>
    <t>wipe the slate clean</t>
  </si>
  <si>
    <t>wipe the slate</t>
  </si>
  <si>
    <t>clean</t>
  </si>
  <si>
    <t>all things being equal</t>
  </si>
  <si>
    <t>all things being</t>
  </si>
  <si>
    <t>equal</t>
  </si>
  <si>
    <t>nudge nudge wink wink</t>
  </si>
  <si>
    <t>nudge nudge wink</t>
  </si>
  <si>
    <t>wink</t>
  </si>
  <si>
    <t>set your sights on</t>
  </si>
  <si>
    <t>set your sights</t>
  </si>
  <si>
    <t>dressed to the nines</t>
  </si>
  <si>
    <t>dressed to the</t>
  </si>
  <si>
    <t>nines</t>
  </si>
  <si>
    <t>fall off the back of a lorry</t>
  </si>
  <si>
    <t>fall off the back of a</t>
  </si>
  <si>
    <t>lorry</t>
  </si>
  <si>
    <t>fall off the back of a truckThe phrase</t>
  </si>
  <si>
    <t>flat as a pancake</t>
  </si>
  <si>
    <t>flat as a</t>
  </si>
  <si>
    <t>pancake</t>
  </si>
  <si>
    <t>wouldn't hurt a fly</t>
  </si>
  <si>
    <t>wouldn't hurt a</t>
  </si>
  <si>
    <t>fly</t>
  </si>
  <si>
    <t>see eye to eye</t>
  </si>
  <si>
    <t>see eye to</t>
  </si>
  <si>
    <t>in the wink of an eye</t>
  </si>
  <si>
    <t>in the wink of an</t>
  </si>
  <si>
    <t>curiosity killed the cat</t>
  </si>
  <si>
    <t>curiosity killed the</t>
  </si>
  <si>
    <t>no smoke without fire</t>
  </si>
  <si>
    <t>no smoke without</t>
  </si>
  <si>
    <t>fire</t>
  </si>
  <si>
    <t>chickens come home to roost</t>
  </si>
  <si>
    <t>chickens come home to</t>
  </si>
  <si>
    <t>roost</t>
  </si>
  <si>
    <t>put words in someone's mouth</t>
  </si>
  <si>
    <t>put words in someone's</t>
  </si>
  <si>
    <t>mouth</t>
  </si>
  <si>
    <t>put your best foot forward</t>
  </si>
  <si>
    <t>put your best foot</t>
  </si>
  <si>
    <t>forward</t>
  </si>
  <si>
    <t>wither on the vine</t>
  </si>
  <si>
    <t>wither on the</t>
  </si>
  <si>
    <t>vine</t>
  </si>
  <si>
    <t>better late than never</t>
  </si>
  <si>
    <t>better late than</t>
  </si>
  <si>
    <t>never</t>
  </si>
  <si>
    <t>in the nick of time</t>
  </si>
  <si>
    <t>in the nick of</t>
  </si>
  <si>
    <t>time</t>
  </si>
  <si>
    <t>put your foot down</t>
  </si>
  <si>
    <t>put your foot</t>
  </si>
  <si>
    <t>keep your options open</t>
  </si>
  <si>
    <t>keep your options</t>
  </si>
  <si>
    <t>open</t>
  </si>
  <si>
    <t>plain as a pikestaff</t>
  </si>
  <si>
    <t>plain as a</t>
  </si>
  <si>
    <t>pikestaff</t>
  </si>
  <si>
    <t>move heaven and earth</t>
  </si>
  <si>
    <t>move heaven and</t>
  </si>
  <si>
    <t>earth</t>
  </si>
  <si>
    <t>take a leaf out of someone's book</t>
  </si>
  <si>
    <t>take a leaf out of someone's</t>
  </si>
  <si>
    <t>book</t>
  </si>
  <si>
    <t>pull a fast one</t>
  </si>
  <si>
    <t>pull a fast</t>
  </si>
  <si>
    <t>look before you leap</t>
  </si>
  <si>
    <t>look before you</t>
  </si>
  <si>
    <t>leap</t>
  </si>
  <si>
    <t>burn the midnight oil</t>
  </si>
  <si>
    <t>burn the midnight</t>
  </si>
  <si>
    <t>oil</t>
  </si>
  <si>
    <t>only time will tell</t>
  </si>
  <si>
    <t>only time will</t>
  </si>
  <si>
    <t>tell</t>
  </si>
  <si>
    <t>rest on your laurels</t>
  </si>
  <si>
    <t>rest on your</t>
  </si>
  <si>
    <t>laurels</t>
  </si>
  <si>
    <t>look the other way</t>
  </si>
  <si>
    <t>look the other</t>
  </si>
  <si>
    <t>stand the test of time</t>
  </si>
  <si>
    <t>stand the test of</t>
  </si>
  <si>
    <t>bark up the wrong tree</t>
  </si>
  <si>
    <t>bark up the wrong</t>
  </si>
  <si>
    <t>tree</t>
  </si>
  <si>
    <t>jack of all trades</t>
  </si>
  <si>
    <t>jack of all</t>
  </si>
  <si>
    <t>trades</t>
  </si>
  <si>
    <t>friends in high places</t>
  </si>
  <si>
    <t>friends in high</t>
  </si>
  <si>
    <t>places</t>
  </si>
  <si>
    <t>come up smelling of roses</t>
  </si>
  <si>
    <t>come up smelling of</t>
  </si>
  <si>
    <t>roses</t>
  </si>
  <si>
    <t>separate the wheat from the chaff</t>
  </si>
  <si>
    <t>separate the wheat from the</t>
  </si>
  <si>
    <t>chaff</t>
  </si>
  <si>
    <t>put the cart before the horse</t>
  </si>
  <si>
    <t>put the cart before the</t>
  </si>
  <si>
    <t>horse</t>
  </si>
  <si>
    <t>take the wind out of someone's sails</t>
  </si>
  <si>
    <t>take the wind out of someone's</t>
  </si>
  <si>
    <t>sails</t>
  </si>
  <si>
    <t>take the rough with the smooth</t>
  </si>
  <si>
    <t>take the rough with the</t>
  </si>
  <si>
    <t>smooth</t>
  </si>
  <si>
    <t>you scratch my back and I'll scratch yours</t>
  </si>
  <si>
    <t>you scratch my back and I'll scratch</t>
  </si>
  <si>
    <t>yours</t>
  </si>
  <si>
    <t>between a rock and a hard place</t>
  </si>
  <si>
    <t>between a rock and a hard</t>
  </si>
  <si>
    <t>place</t>
  </si>
  <si>
    <t>every trick in the book</t>
  </si>
  <si>
    <t>every trick in the</t>
  </si>
  <si>
    <t>fly in the face of</t>
  </si>
  <si>
    <t>fly in the face</t>
  </si>
  <si>
    <t>dead as a doornail</t>
  </si>
  <si>
    <t>dead as a</t>
  </si>
  <si>
    <t>doornail</t>
  </si>
  <si>
    <t>to the nth degree</t>
  </si>
  <si>
    <t>to the nth</t>
  </si>
  <si>
    <t>degree</t>
  </si>
  <si>
    <t>from pillar to post</t>
  </si>
  <si>
    <t>from pillar to</t>
  </si>
  <si>
    <t>post</t>
  </si>
  <si>
    <t>have your work cut out</t>
  </si>
  <si>
    <t>have your work cut</t>
  </si>
  <si>
    <t>out</t>
  </si>
  <si>
    <t>every nook and cranny</t>
  </si>
  <si>
    <t>every nook and</t>
  </si>
  <si>
    <t>cranny</t>
  </si>
  <si>
    <t>everything but the kitchen sink</t>
  </si>
  <si>
    <t>everything but the kitchen</t>
  </si>
  <si>
    <t>sink</t>
  </si>
  <si>
    <t>too clever by half</t>
  </si>
  <si>
    <t>too clever by</t>
  </si>
  <si>
    <t>half</t>
  </si>
  <si>
    <t>better the devil you know</t>
  </si>
  <si>
    <t>better the devil you</t>
  </si>
  <si>
    <t>know</t>
  </si>
  <si>
    <t>make light work of</t>
  </si>
  <si>
    <t>make light work</t>
  </si>
  <si>
    <t>turn over a new leaf</t>
  </si>
  <si>
    <t>turn over a new</t>
  </si>
  <si>
    <t>leaf</t>
  </si>
  <si>
    <t>public enemy number one</t>
  </si>
  <si>
    <t>public enemy number</t>
  </si>
  <si>
    <t>out of sight, out of mind</t>
  </si>
  <si>
    <t>out of sight, out of</t>
  </si>
  <si>
    <t>mind</t>
  </si>
  <si>
    <t>beggars can't be choosers</t>
  </si>
  <si>
    <t>beggars can't be</t>
  </si>
  <si>
    <t>choosers</t>
  </si>
  <si>
    <t>keep a straight face</t>
  </si>
  <si>
    <t>keep a straight</t>
  </si>
  <si>
    <t>face</t>
  </si>
  <si>
    <t>like a bat out of hell</t>
  </si>
  <si>
    <t>like a bat out of</t>
  </si>
  <si>
    <t>hell</t>
  </si>
  <si>
    <t>neither fish nor fowl</t>
  </si>
  <si>
    <t>neither fish nor</t>
  </si>
  <si>
    <t>fowl</t>
  </si>
  <si>
    <t>in the blink of an eye</t>
  </si>
  <si>
    <t>in the blink of an</t>
  </si>
  <si>
    <t>by a long shot</t>
  </si>
  <si>
    <t>by a long</t>
  </si>
  <si>
    <t>shot</t>
  </si>
  <si>
    <t>all bets are off</t>
  </si>
  <si>
    <t>all bets are</t>
  </si>
  <si>
    <t>no time like the present</t>
  </si>
  <si>
    <t>no time like the</t>
  </si>
  <si>
    <t>present</t>
  </si>
  <si>
    <t>in the fast lane</t>
  </si>
  <si>
    <t>in the fast</t>
  </si>
  <si>
    <t>lane</t>
  </si>
  <si>
    <t>start off on the wrong foot</t>
  </si>
  <si>
    <t>start off on the wrong</t>
  </si>
  <si>
    <t>foot</t>
  </si>
  <si>
    <t>throw the book at</t>
  </si>
  <si>
    <t>throw the book</t>
  </si>
  <si>
    <t>at</t>
  </si>
  <si>
    <t>don't hold your breath</t>
  </si>
  <si>
    <t>don't hold your</t>
  </si>
  <si>
    <t>breath</t>
  </si>
  <si>
    <t>it takes two to tango</t>
  </si>
  <si>
    <t>it takes two to</t>
  </si>
  <si>
    <t>tango</t>
  </si>
  <si>
    <t>add fuel to the fire</t>
  </si>
  <si>
    <t>add fuel to the</t>
  </si>
  <si>
    <t>sick as a parrot</t>
  </si>
  <si>
    <t>sick as a</t>
  </si>
  <si>
    <t>parrot</t>
  </si>
  <si>
    <t>sick as a dog</t>
  </si>
  <si>
    <t>by leaps and bounds</t>
  </si>
  <si>
    <t>by leaps and</t>
  </si>
  <si>
    <t>bounds</t>
  </si>
  <si>
    <t>once in a blue moon</t>
  </si>
  <si>
    <t>once in a blue</t>
  </si>
  <si>
    <t>moon</t>
  </si>
  <si>
    <t>get your teeth into</t>
  </si>
  <si>
    <t>get your teeth</t>
  </si>
  <si>
    <t>into</t>
  </si>
  <si>
    <t>throw caution to the wind</t>
  </si>
  <si>
    <t>throw caution to the</t>
  </si>
  <si>
    <t>wind</t>
  </si>
  <si>
    <t>throw your weight around</t>
  </si>
  <si>
    <t>throw your weight</t>
  </si>
  <si>
    <t>around</t>
  </si>
  <si>
    <t>batten down the hatches</t>
  </si>
  <si>
    <t>batten down the</t>
  </si>
  <si>
    <t>hatches</t>
  </si>
  <si>
    <t>flog a dead horse</t>
  </si>
  <si>
    <t>flog a dead</t>
  </si>
  <si>
    <t>wake up and smell the coffee</t>
  </si>
  <si>
    <t>wake up and smell the</t>
  </si>
  <si>
    <t>coffee</t>
  </si>
  <si>
    <t>press the panic button</t>
  </si>
  <si>
    <t>press the panic</t>
  </si>
  <si>
    <t>button</t>
  </si>
  <si>
    <t>come in from the cold</t>
  </si>
  <si>
    <t>come in from the</t>
  </si>
  <si>
    <t>cold</t>
  </si>
  <si>
    <t>dead to the world</t>
  </si>
  <si>
    <t>dead to the</t>
  </si>
  <si>
    <t>world</t>
  </si>
  <si>
    <t>bite someone's head off</t>
  </si>
  <si>
    <t>bite someone's head</t>
  </si>
  <si>
    <t>think outside the box</t>
  </si>
  <si>
    <t>think outside the</t>
  </si>
  <si>
    <t>box</t>
  </si>
  <si>
    <t>burn the candle at both ends</t>
  </si>
  <si>
    <t>burn the candle at both</t>
  </si>
  <si>
    <t>ends</t>
  </si>
  <si>
    <t>cut the Gordian knot</t>
  </si>
  <si>
    <t>cut the Gordian</t>
  </si>
  <si>
    <t>knot</t>
  </si>
  <si>
    <t>leave someone in the lurch</t>
  </si>
  <si>
    <t>leave someone in the</t>
  </si>
  <si>
    <t>lurch</t>
  </si>
  <si>
    <t>throw good money after bad</t>
  </si>
  <si>
    <t>throw good money after</t>
  </si>
  <si>
    <t>bad</t>
  </si>
  <si>
    <t>you can't teach an old dog new tricks</t>
  </si>
  <si>
    <t>you can't teach an old dog new</t>
  </si>
  <si>
    <t>tricks</t>
  </si>
  <si>
    <t>pass the time of day</t>
  </si>
  <si>
    <t>pass the time of</t>
  </si>
  <si>
    <t>away with the fairies</t>
  </si>
  <si>
    <t>away with the</t>
  </si>
  <si>
    <t>fairies</t>
  </si>
  <si>
    <t>away with the old and in with the</t>
  </si>
  <si>
    <t>prick up your ears</t>
  </si>
  <si>
    <t>prick up your</t>
  </si>
  <si>
    <t>give someone a bloody nose</t>
  </si>
  <si>
    <t>give someone a bloody</t>
  </si>
  <si>
    <t>cast pearls before swine</t>
  </si>
  <si>
    <t>cast pearls before</t>
  </si>
  <si>
    <t>swine</t>
  </si>
  <si>
    <t>rub someone the wrong way</t>
  </si>
  <si>
    <t>rub someone the wrong</t>
  </si>
  <si>
    <t>have a mountain to climb</t>
  </si>
  <si>
    <t>have a mountain to</t>
  </si>
  <si>
    <t>climb</t>
  </si>
  <si>
    <t>put the kibosh on</t>
  </si>
  <si>
    <t>put the kibosh</t>
  </si>
  <si>
    <t>what goes around comes around</t>
  </si>
  <si>
    <t>what goes around comes</t>
  </si>
  <si>
    <t>by the seat of your pants</t>
  </si>
  <si>
    <t>by the seat of your</t>
  </si>
  <si>
    <t>pants</t>
  </si>
  <si>
    <t>never the twain shall meet</t>
  </si>
  <si>
    <t>never the twain shall</t>
  </si>
  <si>
    <t>meet</t>
  </si>
  <si>
    <t>once bitten, twice shy</t>
  </si>
  <si>
    <t>once bitten, twice</t>
  </si>
  <si>
    <t>shy</t>
  </si>
  <si>
    <t>the buck stops here</t>
  </si>
  <si>
    <t>the buck stops</t>
  </si>
  <si>
    <t>here</t>
  </si>
  <si>
    <t>two heads are better than one</t>
  </si>
  <si>
    <t>two heads are better than</t>
  </si>
  <si>
    <t>get on like a house on fire</t>
  </si>
  <si>
    <t>get on like a house on</t>
  </si>
  <si>
    <t>put the cat among the pigeons</t>
  </si>
  <si>
    <t>put the cat among the</t>
  </si>
  <si>
    <t>pigeons</t>
  </si>
  <si>
    <t>keep your powder dry</t>
  </si>
  <si>
    <t>keep your powder</t>
  </si>
  <si>
    <t>dry</t>
  </si>
  <si>
    <t>bring home the bacon</t>
  </si>
  <si>
    <t>bring home the</t>
  </si>
  <si>
    <t>bacon</t>
  </si>
  <si>
    <t>send someone to Coventry</t>
  </si>
  <si>
    <t>send someone to</t>
  </si>
  <si>
    <t>Coventry</t>
  </si>
  <si>
    <t>send someone to the moonThe moon</t>
  </si>
  <si>
    <t>shoot from the hip</t>
  </si>
  <si>
    <t>shoot from the</t>
  </si>
  <si>
    <t>hip</t>
  </si>
  <si>
    <t>keep your chin up</t>
  </si>
  <si>
    <t>keep your chin</t>
  </si>
  <si>
    <t>up</t>
  </si>
  <si>
    <t>put up or shut up</t>
  </si>
  <si>
    <t>put up or shut</t>
  </si>
  <si>
    <t>hold all the aces</t>
  </si>
  <si>
    <t>hold all the</t>
  </si>
  <si>
    <t>aces</t>
  </si>
  <si>
    <t>don't give up the day job</t>
  </si>
  <si>
    <t>don't give up the day</t>
  </si>
  <si>
    <t>job</t>
  </si>
  <si>
    <t>on a silver platter</t>
  </si>
  <si>
    <t>on a silver</t>
  </si>
  <si>
    <t>platter</t>
  </si>
  <si>
    <t>give as good as you get</t>
  </si>
  <si>
    <t>give as good as you</t>
  </si>
  <si>
    <t>nothing to write home about</t>
  </si>
  <si>
    <t>nothing to write home</t>
  </si>
  <si>
    <t>about</t>
  </si>
  <si>
    <t>take a shine to</t>
  </si>
  <si>
    <t>take a shine</t>
  </si>
  <si>
    <t>get a handle on</t>
  </si>
  <si>
    <t>get a handle</t>
  </si>
  <si>
    <t>you could have knocked me down with a feather</t>
  </si>
  <si>
    <t>you could have knocked me down with a</t>
  </si>
  <si>
    <t>feather</t>
  </si>
  <si>
    <t>get down to brass tacks</t>
  </si>
  <si>
    <t>get down to brass</t>
  </si>
  <si>
    <t>tacks</t>
  </si>
  <si>
    <t>better safe than sorry</t>
  </si>
  <si>
    <t>better safe than</t>
  </si>
  <si>
    <t>sorry</t>
  </si>
  <si>
    <t>put your cards on the table</t>
  </si>
  <si>
    <t>put your cards on the</t>
  </si>
  <si>
    <t>table</t>
  </si>
  <si>
    <t>no rest for the wicked</t>
  </si>
  <si>
    <t>no rest for the</t>
  </si>
  <si>
    <t>wicked</t>
  </si>
  <si>
    <t>push the panic button</t>
  </si>
  <si>
    <t>push the panic</t>
  </si>
  <si>
    <t>go down like a lead balloon</t>
  </si>
  <si>
    <t>go down like a lead</t>
  </si>
  <si>
    <t>balloon</t>
  </si>
  <si>
    <t>in the driver's seat</t>
  </si>
  <si>
    <t>in the driver's</t>
  </si>
  <si>
    <t>asleep at the wheel</t>
  </si>
  <si>
    <t>asleep at the</t>
  </si>
  <si>
    <t>wheel</t>
  </si>
  <si>
    <t>the ball is in someone's court</t>
  </si>
  <si>
    <t>the ball is in someone's</t>
  </si>
  <si>
    <t>court</t>
  </si>
  <si>
    <t>eat your heart out</t>
  </si>
  <si>
    <t>eat your heart</t>
  </si>
  <si>
    <t>not to be sneezed at</t>
  </si>
  <si>
    <t>not to be sneezed</t>
  </si>
  <si>
    <t>straight from the horse's mouth</t>
  </si>
  <si>
    <t>straight from the horse's</t>
  </si>
  <si>
    <t>draw a bead on</t>
  </si>
  <si>
    <t>draw a bead</t>
  </si>
  <si>
    <t>dog in the manger</t>
  </si>
  <si>
    <t>dog in the</t>
  </si>
  <si>
    <t>manger</t>
  </si>
  <si>
    <t>dog in the snowThe dog in</t>
  </si>
  <si>
    <t>sweep someone off their feet</t>
  </si>
  <si>
    <t>sweep someone off their</t>
  </si>
  <si>
    <t>feet</t>
  </si>
  <si>
    <t>jump down someone's throat</t>
  </si>
  <si>
    <t>jump down someone's</t>
  </si>
  <si>
    <t>throat</t>
  </si>
  <si>
    <t>not just a pretty face</t>
  </si>
  <si>
    <t>not just a pretty</t>
  </si>
  <si>
    <t>do the right thing</t>
  </si>
  <si>
    <t>do the right</t>
  </si>
  <si>
    <t>thing</t>
  </si>
  <si>
    <t>beat the daylights out of</t>
  </si>
  <si>
    <t>beat the daylights out</t>
  </si>
  <si>
    <t>put the moves on</t>
  </si>
  <si>
    <t>put the moves</t>
  </si>
  <si>
    <t>let the genie out of the bottle</t>
  </si>
  <si>
    <t>let the genie out of the</t>
  </si>
  <si>
    <t>bottle</t>
  </si>
  <si>
    <t>let the cat out of the bag</t>
  </si>
  <si>
    <t>let the cat out of the</t>
  </si>
  <si>
    <t>bag</t>
  </si>
  <si>
    <t>get your skates on</t>
  </si>
  <si>
    <t>get your skates</t>
  </si>
  <si>
    <t>close but no cigar</t>
  </si>
  <si>
    <t>close but no</t>
  </si>
  <si>
    <t>cigar</t>
  </si>
  <si>
    <t>snap someone's head off</t>
  </si>
  <si>
    <t>snap someone's head</t>
  </si>
  <si>
    <t>still waters run deep</t>
  </si>
  <si>
    <t>still waters run</t>
  </si>
  <si>
    <t>deep</t>
  </si>
  <si>
    <t>too many cooks spoil the broth</t>
  </si>
  <si>
    <t>too many cooks spoil the</t>
  </si>
  <si>
    <t>broth</t>
  </si>
  <si>
    <t>take the gilt off the gingerbread</t>
  </si>
  <si>
    <t>take the gilt off the</t>
  </si>
  <si>
    <t>gingerbread</t>
  </si>
  <si>
    <t>shuffle off this mortal coil</t>
  </si>
  <si>
    <t>shuffle off this mortal</t>
  </si>
  <si>
    <t>coil</t>
  </si>
  <si>
    <t>throw the baby out with the bathwater</t>
  </si>
  <si>
    <t>throw the baby out with the</t>
  </si>
  <si>
    <t>bathwater</t>
  </si>
  <si>
    <t>in for a penny, in for a pound</t>
  </si>
  <si>
    <t>in for a penny, in for a</t>
  </si>
  <si>
    <t>pound</t>
  </si>
  <si>
    <t>not to put too fine a point on it</t>
  </si>
  <si>
    <t>not to put too fine a point on</t>
  </si>
  <si>
    <t>give someone a piece of your mind</t>
  </si>
  <si>
    <t>give someone a piece of your</t>
  </si>
  <si>
    <t>from the horse's mouth</t>
  </si>
  <si>
    <t>from the horse's</t>
  </si>
  <si>
    <t>come down the pike</t>
  </si>
  <si>
    <t>come down the</t>
  </si>
  <si>
    <t>pike</t>
  </si>
  <si>
    <t>keep your nose to the grindstone</t>
  </si>
  <si>
    <t>keep your nose to the</t>
  </si>
  <si>
    <t>grindstone</t>
  </si>
  <si>
    <t>thumb your nose at</t>
  </si>
  <si>
    <t>thumb your nose</t>
  </si>
  <si>
    <t>fish in troubled waters</t>
  </si>
  <si>
    <t>fish in troubled</t>
  </si>
  <si>
    <t>waters</t>
  </si>
  <si>
    <t>a little bird told me</t>
  </si>
  <si>
    <t>a little bird told</t>
  </si>
  <si>
    <t>me</t>
  </si>
  <si>
    <t>day in, day out</t>
  </si>
  <si>
    <t>day in, day</t>
  </si>
  <si>
    <t>dead as a dodo</t>
  </si>
  <si>
    <t>dodo</t>
  </si>
  <si>
    <t>dead as a doornail meaning</t>
  </si>
  <si>
    <t>go the extra mile</t>
  </si>
  <si>
    <t>go the extra</t>
  </si>
  <si>
    <t>mile</t>
  </si>
  <si>
    <t>start off on the right foot</t>
  </si>
  <si>
    <t>start off on the right</t>
  </si>
  <si>
    <t>time and tide wait for no man</t>
  </si>
  <si>
    <t>time and tide wait for no</t>
  </si>
  <si>
    <t>man</t>
  </si>
  <si>
    <t>warm the cockles of someone's heart</t>
  </si>
  <si>
    <t>warm the cockles of someone's</t>
  </si>
  <si>
    <t>heart</t>
  </si>
  <si>
    <t>get your feet wet</t>
  </si>
  <si>
    <t>get your feet</t>
  </si>
  <si>
    <t>wet</t>
  </si>
  <si>
    <t>kick against the pricks</t>
  </si>
  <si>
    <t>kick against the</t>
  </si>
  <si>
    <t>pricks</t>
  </si>
  <si>
    <t>kick against the canons of the church</t>
  </si>
  <si>
    <t>by the skin of your teeth</t>
  </si>
  <si>
    <t>by the skin of your</t>
  </si>
  <si>
    <t>teeth</t>
  </si>
  <si>
    <t>not bat an eye</t>
  </si>
  <si>
    <t>not bat an</t>
  </si>
  <si>
    <t>get a rise out of</t>
  </si>
  <si>
    <t>get a rise out</t>
  </si>
  <si>
    <t>keep your head above water</t>
  </si>
  <si>
    <t>keep your head above</t>
  </si>
  <si>
    <t>make a night of it</t>
  </si>
  <si>
    <t>make a night of</t>
  </si>
  <si>
    <t>draw a line in the sand</t>
  </si>
  <si>
    <t>draw a line in the</t>
  </si>
  <si>
    <t>sand</t>
  </si>
  <si>
    <t>blow the lid off</t>
  </si>
  <si>
    <t>blow the lid</t>
  </si>
  <si>
    <t>it's all Greek to me</t>
  </si>
  <si>
    <t>it's all Greek to</t>
  </si>
  <si>
    <t>dot the i's and cross the t's</t>
  </si>
  <si>
    <t>dot the i's and cross the</t>
  </si>
  <si>
    <t>t's</t>
  </si>
  <si>
    <t>haul someone over the coals</t>
  </si>
  <si>
    <t>haul someone over the</t>
  </si>
  <si>
    <t>separate the sheep from the goats</t>
  </si>
  <si>
    <t>separate the sheep from the</t>
  </si>
  <si>
    <t>goats</t>
  </si>
  <si>
    <t>put your heads together</t>
  </si>
  <si>
    <t>put your heads</t>
  </si>
  <si>
    <t>together</t>
  </si>
  <si>
    <t>speak of the devil</t>
  </si>
  <si>
    <t>speak of the</t>
  </si>
  <si>
    <t>devil</t>
  </si>
  <si>
    <t>have a tiger by the tail</t>
  </si>
  <si>
    <t>have a tiger by the</t>
  </si>
  <si>
    <t>tail</t>
  </si>
  <si>
    <t>spare the rod and spoil the child</t>
  </si>
  <si>
    <t>spare the rod and spoil the</t>
  </si>
  <si>
    <t>child</t>
  </si>
  <si>
    <t>waste not, want not</t>
  </si>
  <si>
    <t>waste not, want</t>
  </si>
  <si>
    <t>not</t>
  </si>
  <si>
    <t>it never rains but it pours</t>
  </si>
  <si>
    <t>it never rains but it</t>
  </si>
  <si>
    <t>pours</t>
  </si>
  <si>
    <t>rain cats and dogs</t>
  </si>
  <si>
    <t>rain cats and</t>
  </si>
  <si>
    <t>dogs</t>
  </si>
  <si>
    <t>bury your head in the sand</t>
  </si>
  <si>
    <t>bury your head in the</t>
  </si>
  <si>
    <t>make money hand over fist</t>
  </si>
  <si>
    <t>make money hand over</t>
  </si>
  <si>
    <t>fist</t>
  </si>
  <si>
    <t>have a bun in the oven</t>
  </si>
  <si>
    <t>have a bun in the</t>
  </si>
  <si>
    <t>oven</t>
  </si>
  <si>
    <t>throw your hat in the ring</t>
  </si>
  <si>
    <t>throw your hat in the</t>
  </si>
  <si>
    <t>ring</t>
  </si>
  <si>
    <t>put the screws on</t>
  </si>
  <si>
    <t>put the screws</t>
  </si>
  <si>
    <t>kill the fatted calf</t>
  </si>
  <si>
    <t>kill the fatted</t>
  </si>
  <si>
    <t>calf</t>
  </si>
  <si>
    <t>there's no fool like an old fool</t>
  </si>
  <si>
    <t>there's no fool like an old</t>
  </si>
  <si>
    <t>fool</t>
  </si>
  <si>
    <t>all dressed up and nowhere to go</t>
  </si>
  <si>
    <t>all dressed up and nowhere to</t>
  </si>
  <si>
    <t>go</t>
  </si>
  <si>
    <t>keep your nose clean</t>
  </si>
  <si>
    <t>keep your nose</t>
  </si>
  <si>
    <t>a dime a dozen</t>
  </si>
  <si>
    <t>a dime a</t>
  </si>
  <si>
    <t>dozen</t>
  </si>
  <si>
    <t>get your act together</t>
  </si>
  <si>
    <t>get your act</t>
  </si>
  <si>
    <t>give someone the benefit of the doubt</t>
  </si>
  <si>
    <t>give someone the benefit of the</t>
  </si>
  <si>
    <t>doubt</t>
  </si>
  <si>
    <t>go back to the drawing board</t>
  </si>
  <si>
    <t>go back to the drawing</t>
  </si>
  <si>
    <t>it's not rocket science</t>
  </si>
  <si>
    <t>it's not rocket</t>
  </si>
  <si>
    <t>science</t>
  </si>
  <si>
    <t>let someone off the hook</t>
  </si>
  <si>
    <t>let someone off the</t>
  </si>
  <si>
    <t>hook</t>
  </si>
  <si>
    <t>make a long story short</t>
  </si>
  <si>
    <t>make a long story</t>
  </si>
  <si>
    <t>short</t>
  </si>
  <si>
    <t>no pain, no gain</t>
  </si>
  <si>
    <t>no pain, no</t>
  </si>
  <si>
    <t>gain</t>
  </si>
  <si>
    <t>so far so good</t>
  </si>
  <si>
    <t>so far so</t>
  </si>
  <si>
    <t>good</t>
  </si>
  <si>
    <t>the best of both worlds</t>
  </si>
  <si>
    <t>the best of both</t>
  </si>
  <si>
    <t>worlds</t>
  </si>
  <si>
    <t>to get bent out of shape</t>
  </si>
  <si>
    <t>to get bent out of</t>
  </si>
  <si>
    <t>shape</t>
  </si>
  <si>
    <t>to make matters worse</t>
  </si>
  <si>
    <t>to make matters</t>
  </si>
  <si>
    <t>worse</t>
  </si>
  <si>
    <t>we'll cross that bridge when we come to it</t>
  </si>
  <si>
    <t>we'll cross that bridge when we come to</t>
  </si>
  <si>
    <t>a bird in the hand is worth two in the bush</t>
  </si>
  <si>
    <t>a bird in the hand is worth two in the</t>
  </si>
  <si>
    <t>bush</t>
  </si>
  <si>
    <t>a penny saved is a penny earned</t>
  </si>
  <si>
    <t>a penny saved is a penny</t>
  </si>
  <si>
    <t>earned</t>
  </si>
  <si>
    <t>a picture is worth 1000 words</t>
  </si>
  <si>
    <t>a picture is worth 1000</t>
  </si>
  <si>
    <t>words</t>
  </si>
  <si>
    <t>actions speak louder than words</t>
  </si>
  <si>
    <t>actions speak louder than</t>
  </si>
  <si>
    <t>barking up the wrong tree</t>
  </si>
  <si>
    <t>barking up the wrong</t>
  </si>
  <si>
    <t>birds of a feather flock together</t>
  </si>
  <si>
    <t>birds of a feather flock</t>
  </si>
  <si>
    <t>comparing apples to oranges</t>
  </si>
  <si>
    <t>comparing apples to</t>
  </si>
  <si>
    <t>oranges</t>
  </si>
  <si>
    <t>costs an arm and a leg</t>
  </si>
  <si>
    <t>costs an arm and a</t>
  </si>
  <si>
    <t>leg</t>
  </si>
  <si>
    <t>do something at the drop of a hat</t>
  </si>
  <si>
    <t>do something at the drop of a</t>
  </si>
  <si>
    <t>do unto others as you would have them do unto you</t>
  </si>
  <si>
    <t>do unto others as you would have them do unto</t>
  </si>
  <si>
    <t>you</t>
  </si>
  <si>
    <t>don't count your chickens before they hatch</t>
  </si>
  <si>
    <t>don't count your chickens before they</t>
  </si>
  <si>
    <t>hatch</t>
  </si>
  <si>
    <t>don't cry over spilt milk</t>
  </si>
  <si>
    <t>don't cry over spilt</t>
  </si>
  <si>
    <t>milk</t>
  </si>
  <si>
    <t>don't give up your day job</t>
  </si>
  <si>
    <t>don't give up your day</t>
  </si>
  <si>
    <t>don't put all your eggs in one basket</t>
  </si>
  <si>
    <t>don't put all your eggs in one</t>
  </si>
  <si>
    <t>basket</t>
  </si>
  <si>
    <t>every cloud has a silver lining</t>
  </si>
  <si>
    <t>every cloud has a silver</t>
  </si>
  <si>
    <t>lining</t>
  </si>
  <si>
    <t>get a taste of your own medicine</t>
  </si>
  <si>
    <t>get a taste of your own</t>
  </si>
  <si>
    <t>medicine</t>
  </si>
  <si>
    <t>give someone the cold shoulder</t>
  </si>
  <si>
    <t>give someone the cold</t>
  </si>
  <si>
    <t>shoulder</t>
  </si>
  <si>
    <t>go on a wild goose chase</t>
  </si>
  <si>
    <t>go on a wild goose</t>
  </si>
  <si>
    <t>chase</t>
  </si>
  <si>
    <t>good things come to those who wait</t>
  </si>
  <si>
    <t>good things come to those who</t>
  </si>
  <si>
    <t>wait</t>
  </si>
  <si>
    <t>he has bigger fish to fry</t>
  </si>
  <si>
    <t>he has bigger fish to</t>
  </si>
  <si>
    <t>fry</t>
  </si>
  <si>
    <t>he's a chip off the old block</t>
  </si>
  <si>
    <t>he's a chip off the old</t>
  </si>
  <si>
    <t>block</t>
  </si>
  <si>
    <t>it ain't over till the fat lady sings</t>
  </si>
  <si>
    <t>it ain't over till the fat lady</t>
  </si>
  <si>
    <t>sings</t>
  </si>
  <si>
    <t>it takes one to know one</t>
  </si>
  <si>
    <t>it takes one to know</t>
  </si>
  <si>
    <t>it's a piece of cake</t>
  </si>
  <si>
    <t>it's a piece of</t>
  </si>
  <si>
    <t>it's raining cats and dogs</t>
  </si>
  <si>
    <t>it's raining cats and</t>
  </si>
  <si>
    <t>saving for a rainy day</t>
  </si>
  <si>
    <t>saving for a rainy</t>
  </si>
  <si>
    <t>slow and steady wins the race</t>
  </si>
  <si>
    <t>slow and steady wins the</t>
  </si>
  <si>
    <t>race</t>
  </si>
  <si>
    <t>take a rain check</t>
  </si>
  <si>
    <t>take a rain</t>
  </si>
  <si>
    <t>check</t>
  </si>
  <si>
    <t>take it with a grain of salt</t>
  </si>
  <si>
    <t>take it with a grain of</t>
  </si>
  <si>
    <t>salt</t>
  </si>
  <si>
    <t>the ball is in your court</t>
  </si>
  <si>
    <t>the ball is in your</t>
  </si>
  <si>
    <t>the best thing since sliced bread</t>
  </si>
  <si>
    <t>the best thing since sliced</t>
  </si>
  <si>
    <t>bread</t>
  </si>
  <si>
    <t>the devil is in the details</t>
  </si>
  <si>
    <t>the devil is in the</t>
  </si>
  <si>
    <t>details</t>
  </si>
  <si>
    <t>the early bird gets the worm</t>
  </si>
  <si>
    <t>the early bird gets the</t>
  </si>
  <si>
    <t>worm</t>
  </si>
  <si>
    <t>the elephant in the room</t>
  </si>
  <si>
    <t>the elephant in the</t>
  </si>
  <si>
    <t>room</t>
  </si>
  <si>
    <t>the whole nine yards</t>
  </si>
  <si>
    <t>the whole nine</t>
  </si>
  <si>
    <t>yards</t>
  </si>
  <si>
    <t>there are other fish in the sea</t>
  </si>
  <si>
    <t>there are other fish in the</t>
  </si>
  <si>
    <t>there's a method to his madness</t>
  </si>
  <si>
    <t>there's a method to his</t>
  </si>
  <si>
    <t>madness</t>
  </si>
  <si>
    <t>you can't have your cake and eat it too</t>
  </si>
  <si>
    <t>too</t>
  </si>
  <si>
    <t>you can't judge a book by its cover</t>
  </si>
  <si>
    <t>you can't judge a book by its</t>
  </si>
  <si>
    <t>cover</t>
  </si>
  <si>
    <t>a little learning is a dangerous thing</t>
  </si>
  <si>
    <t>a little learning is a dangerous</t>
  </si>
  <si>
    <t>a snowball's chance in hell</t>
  </si>
  <si>
    <t>a snowball's chance in</t>
  </si>
  <si>
    <t>a storm in a teacup</t>
  </si>
  <si>
    <t>a storm in a</t>
  </si>
  <si>
    <t>teacup</t>
  </si>
  <si>
    <t>an apple a day keeps the doctor away</t>
  </si>
  <si>
    <t>an apple a day keeps the doctor</t>
  </si>
  <si>
    <t>away</t>
  </si>
  <si>
    <t>an ounce of prevention is worth a pound of cure</t>
  </si>
  <si>
    <t>an ounce of prevention is worth a pound of</t>
  </si>
  <si>
    <t>cure</t>
  </si>
  <si>
    <t>calm before the storm</t>
  </si>
  <si>
    <t>calm before the</t>
  </si>
  <si>
    <t>storm</t>
  </si>
  <si>
    <t>don't beat a dead horse</t>
  </si>
  <si>
    <t>don't beat a dead</t>
  </si>
  <si>
    <t>every dog has his day</t>
  </si>
  <si>
    <t>every dog has his</t>
  </si>
  <si>
    <t>have your head in the clouds</t>
  </si>
  <si>
    <t>have your head in the</t>
  </si>
  <si>
    <t>clouds</t>
  </si>
  <si>
    <t>he who laughs last laughs loudest</t>
  </si>
  <si>
    <t>he who laughs last laughs</t>
  </si>
  <si>
    <t>loudest</t>
  </si>
  <si>
    <t>hear something straight from the horse's mouth</t>
  </si>
  <si>
    <t>hear something straight from the horse's</t>
  </si>
  <si>
    <t>he's off his rocker</t>
  </si>
  <si>
    <t>he's off his</t>
  </si>
  <si>
    <t>rocker</t>
  </si>
  <si>
    <t>he's off his meds againI</t>
  </si>
  <si>
    <t>it is always darkest before the dawn</t>
  </si>
  <si>
    <t>it is always darkest before the</t>
  </si>
  <si>
    <t>dawn</t>
  </si>
  <si>
    <t>know which way the wind is blowing</t>
  </si>
  <si>
    <t>know which way the wind is</t>
  </si>
  <si>
    <t>blowing</t>
  </si>
  <si>
    <t>like two peas in a pod</t>
  </si>
  <si>
    <t>like two peas in a</t>
  </si>
  <si>
    <t>pod</t>
  </si>
  <si>
    <t>make hay while the sun shines</t>
  </si>
  <si>
    <t>make hay while the sun</t>
  </si>
  <si>
    <t>shines</t>
  </si>
  <si>
    <t>shape up or ship out</t>
  </si>
  <si>
    <t>shape up or ship</t>
  </si>
  <si>
    <t>that ship has sailed</t>
  </si>
  <si>
    <t>that ship has</t>
  </si>
  <si>
    <t>sailed</t>
  </si>
  <si>
    <t>the pot calling the kettle black</t>
  </si>
  <si>
    <t>the pot calling the kettle</t>
  </si>
  <si>
    <t>black</t>
  </si>
  <si>
    <t>there are clouds on the horizon</t>
  </si>
  <si>
    <t>there are clouds on the</t>
  </si>
  <si>
    <t>horizon</t>
  </si>
  <si>
    <t>those who live in glass houses shouldn't throw stones</t>
  </si>
  <si>
    <t>those who live in glass houses shouldn't throw</t>
  </si>
  <si>
    <t>stones</t>
  </si>
  <si>
    <t>we see eye to eye</t>
  </si>
  <si>
    <t>we see eye to</t>
  </si>
  <si>
    <t>when it rains it pours</t>
  </si>
  <si>
    <t>when it rains it</t>
  </si>
  <si>
    <t>you can catch more flies with honey than you can with vinegar</t>
  </si>
  <si>
    <t>you can catch more flies with honey than you can with</t>
  </si>
  <si>
    <t>vinegar</t>
  </si>
  <si>
    <t>you can lead a horse to water, but you can't make him drink</t>
  </si>
  <si>
    <t>you can lead a horse to water, but you can't make him</t>
  </si>
  <si>
    <t>drink</t>
  </si>
  <si>
    <t>you can't make an omelet without breaking some eggs</t>
  </si>
  <si>
    <t>you can't make an omelet without breaking some</t>
  </si>
  <si>
    <t>keep up the good work</t>
  </si>
  <si>
    <t>keep up the good</t>
  </si>
  <si>
    <t>not in a million years</t>
  </si>
  <si>
    <t>not in a million</t>
  </si>
  <si>
    <t>years</t>
  </si>
  <si>
    <t>between life and death</t>
  </si>
  <si>
    <t>between life and</t>
  </si>
  <si>
    <t>death</t>
  </si>
  <si>
    <t>for love nor money</t>
  </si>
  <si>
    <t>for love nor</t>
  </si>
  <si>
    <t>money</t>
  </si>
  <si>
    <t>just what the doctor ordered</t>
  </si>
  <si>
    <t>just what the doctor</t>
  </si>
  <si>
    <t>ordered</t>
  </si>
  <si>
    <t>in the cold light of day</t>
  </si>
  <si>
    <t>in the cold light of</t>
  </si>
  <si>
    <t>in the wake of</t>
  </si>
  <si>
    <t>in the wake</t>
  </si>
  <si>
    <t>the letter of the law</t>
  </si>
  <si>
    <t>the letter of the</t>
  </si>
  <si>
    <t>law</t>
  </si>
  <si>
    <t>the men in grey suits</t>
  </si>
  <si>
    <t>the men in grey</t>
  </si>
  <si>
    <t>suits</t>
  </si>
  <si>
    <t>the spirit of the law</t>
  </si>
  <si>
    <t>the spirit of the</t>
  </si>
  <si>
    <t>middle of the road</t>
  </si>
  <si>
    <t>middle of the</t>
  </si>
  <si>
    <t>road</t>
  </si>
  <si>
    <t>caught in the crossfire</t>
  </si>
  <si>
    <t>caught in the</t>
  </si>
  <si>
    <t>crossfire</t>
  </si>
  <si>
    <t>caught in the act of doing something wrong</t>
  </si>
  <si>
    <t>a breath of fresh air</t>
  </si>
  <si>
    <t>a breath of fresh</t>
  </si>
  <si>
    <t>a clean bill of health</t>
  </si>
  <si>
    <t>a clean bill of</t>
  </si>
  <si>
    <t>health</t>
  </si>
  <si>
    <t>a new lease of life</t>
  </si>
  <si>
    <t>a new lease of</t>
  </si>
  <si>
    <t>life</t>
  </si>
  <si>
    <t>in the heat of the moment</t>
  </si>
  <si>
    <t>in the heat of the</t>
  </si>
  <si>
    <t>a fate worse than death</t>
  </si>
  <si>
    <t>a fate worse than</t>
  </si>
  <si>
    <t>a fish out of water</t>
  </si>
  <si>
    <t>a fish out of</t>
  </si>
  <si>
    <t>a flash in the pan</t>
  </si>
  <si>
    <t>a flash in the</t>
  </si>
  <si>
    <t>pan</t>
  </si>
  <si>
    <t>a fly on the wall</t>
  </si>
  <si>
    <t>a fly on the</t>
  </si>
  <si>
    <t>wall</t>
  </si>
  <si>
    <t>a foot in the door</t>
  </si>
  <si>
    <t>a foot in the</t>
  </si>
  <si>
    <t>a safe pair of hands</t>
  </si>
  <si>
    <t>a safe pair of</t>
  </si>
  <si>
    <t>hands</t>
  </si>
  <si>
    <t>a sight for sore eyes</t>
  </si>
  <si>
    <t>a sight for sore</t>
  </si>
  <si>
    <t>eyes</t>
  </si>
  <si>
    <t>a slap on the wrist</t>
  </si>
  <si>
    <t>a slap on the</t>
  </si>
  <si>
    <t>wrist</t>
  </si>
  <si>
    <t>absence makes the heart grow fonder</t>
  </si>
  <si>
    <t>absence makes the heart grow</t>
  </si>
  <si>
    <t>fonder</t>
  </si>
  <si>
    <t>as high as a kite</t>
  </si>
  <si>
    <t>as high as a</t>
  </si>
  <si>
    <t>stranger things have happened</t>
  </si>
  <si>
    <t>stranger things have</t>
  </si>
  <si>
    <t>happened</t>
  </si>
  <si>
    <t>it's a small world</t>
  </si>
  <si>
    <t>it's a small</t>
  </si>
  <si>
    <t>give credit where credit is due</t>
  </si>
  <si>
    <t>give credit where credit is</t>
  </si>
  <si>
    <t>due</t>
  </si>
  <si>
    <t>the straw that broke the camel's back</t>
  </si>
  <si>
    <t>the straw that broke the camel's</t>
  </si>
  <si>
    <t>back</t>
  </si>
  <si>
    <t>you reap what you sow</t>
  </si>
  <si>
    <t>you reap what you</t>
  </si>
  <si>
    <t>sow</t>
  </si>
  <si>
    <t>turn a deaf ear</t>
  </si>
  <si>
    <t>turn a deaf</t>
  </si>
  <si>
    <t>ear</t>
  </si>
  <si>
    <t>finding a needle in a haystack</t>
  </si>
  <si>
    <t>finding a needle in a</t>
  </si>
  <si>
    <t>haystack</t>
  </si>
  <si>
    <t>see light at the end of the tunnel</t>
  </si>
  <si>
    <t>see light at the end of the</t>
  </si>
  <si>
    <t>tunnel</t>
  </si>
  <si>
    <t>don't look a gift horse in the mouth</t>
  </si>
  <si>
    <t>don't look a gift horse in the</t>
  </si>
  <si>
    <t>make hair stand on end</t>
  </si>
  <si>
    <t>make hair stand on</t>
  </si>
  <si>
    <t>taste of your own medicine</t>
  </si>
  <si>
    <t>taste of your own</t>
  </si>
  <si>
    <t>a fish rots from the head down</t>
  </si>
  <si>
    <t>a fish rots from the head</t>
  </si>
  <si>
    <t>know like the back of your hand</t>
  </si>
  <si>
    <t>know like the back of your</t>
  </si>
  <si>
    <t>have finger in too many pies</t>
  </si>
  <si>
    <t>have finger in too many</t>
  </si>
  <si>
    <t>pies</t>
  </si>
  <si>
    <t>no pain no gain</t>
  </si>
  <si>
    <t>no pain no</t>
  </si>
  <si>
    <t>there's no smoke without fire</t>
  </si>
  <si>
    <t>there's no smoke without</t>
  </si>
  <si>
    <t>its raining cats and dogs</t>
  </si>
  <si>
    <t>its raining cats and</t>
  </si>
  <si>
    <t>have two pennies to rub together</t>
  </si>
  <si>
    <t>have two pennies to rub</t>
  </si>
  <si>
    <t>be glad to see the back of</t>
  </si>
  <si>
    <t>be glad to see the back</t>
  </si>
  <si>
    <t>to rub salt in the wound</t>
  </si>
  <si>
    <t>to rub salt in the</t>
  </si>
  <si>
    <t>wound</t>
  </si>
  <si>
    <t>crème de la crème</t>
  </si>
  <si>
    <t>crème de la</t>
  </si>
  <si>
    <t>crème</t>
  </si>
  <si>
    <t>in an extremely blissful state</t>
  </si>
  <si>
    <t>in an extremely blissful</t>
  </si>
  <si>
    <t>state</t>
  </si>
  <si>
    <t>don't count your chickens before they've hatched</t>
  </si>
  <si>
    <t>don't count your chickens before they've</t>
  </si>
  <si>
    <t>hatched</t>
  </si>
  <si>
    <t>feeling a bit under the weather</t>
  </si>
  <si>
    <t>feeling a bit under the</t>
  </si>
  <si>
    <t>weather</t>
  </si>
  <si>
    <t>talking to a brick wall</t>
  </si>
  <si>
    <t>talking to a brick</t>
  </si>
  <si>
    <t>packed (in) like sardines</t>
  </si>
  <si>
    <t>packed (in) like</t>
  </si>
  <si>
    <t>sardines</t>
  </si>
  <si>
    <t>to be at the end of one's rope</t>
  </si>
  <si>
    <t>to be at the end of one's</t>
  </si>
  <si>
    <t>rope</t>
  </si>
  <si>
    <t>to be at the end of one's tetherto be</t>
  </si>
  <si>
    <t>hard work never hurt anyone</t>
  </si>
  <si>
    <t>hard work never hurt</t>
  </si>
  <si>
    <t>anyone</t>
  </si>
  <si>
    <t>the odd one out</t>
  </si>
  <si>
    <t>the odd one</t>
  </si>
  <si>
    <t>having to start all over again</t>
  </si>
  <si>
    <t>having to start all over</t>
  </si>
  <si>
    <t>again</t>
  </si>
  <si>
    <t>that's the heart of the matter</t>
  </si>
  <si>
    <t>that's the heart of the</t>
  </si>
  <si>
    <t>matter</t>
  </si>
  <si>
    <t>to have your cake and eat it, too</t>
  </si>
  <si>
    <t>to have your cake and eat it,</t>
  </si>
  <si>
    <t>hear it on the grapevine</t>
  </si>
  <si>
    <t>hear it on the</t>
  </si>
  <si>
    <t>grapevine</t>
  </si>
  <si>
    <t>to place the cherry on top</t>
  </si>
  <si>
    <t>to place the cherry on</t>
  </si>
  <si>
    <t>top</t>
  </si>
  <si>
    <t>make a bad situation even worse</t>
  </si>
  <si>
    <t>make a bad situation even</t>
  </si>
  <si>
    <t>caught with one's hand in the cookie jar</t>
  </si>
  <si>
    <t>caught with one's hand in the cookie</t>
  </si>
  <si>
    <t>jar</t>
  </si>
  <si>
    <t>by hook or crook</t>
  </si>
  <si>
    <t>by hook or</t>
  </si>
  <si>
    <t>wouldn't be caught dead</t>
  </si>
  <si>
    <t>wouldn't be caught</t>
  </si>
  <si>
    <t>dead</t>
  </si>
  <si>
    <t>don't toot your own horn</t>
  </si>
  <si>
    <t>don't toot your own</t>
  </si>
  <si>
    <t>horn</t>
  </si>
  <si>
    <t>snake in the grass</t>
  </si>
  <si>
    <t>snake in the</t>
  </si>
  <si>
    <t>grass</t>
  </si>
  <si>
    <t>rome wasn't built in a day</t>
  </si>
  <si>
    <t>rome wasn't built in a</t>
  </si>
  <si>
    <t>to paint the town red</t>
  </si>
  <si>
    <t>to paint the town</t>
  </si>
  <si>
    <t>red</t>
  </si>
  <si>
    <t>the shoemaker's son always goes barefoot</t>
  </si>
  <si>
    <t>the shoemaker's son always goes</t>
  </si>
  <si>
    <t>barefoot</t>
  </si>
  <si>
    <t>savings set aside for future use</t>
  </si>
  <si>
    <t>savings set aside for future</t>
  </si>
  <si>
    <t>use</t>
  </si>
  <si>
    <t>misfortunes never come singly</t>
  </si>
  <si>
    <t>misfortunes never come</t>
  </si>
  <si>
    <t>singly</t>
  </si>
  <si>
    <t>tough nut to crack</t>
  </si>
  <si>
    <t>tough nut to</t>
  </si>
  <si>
    <t>crack</t>
  </si>
  <si>
    <t>cross that bridge when you come to it</t>
  </si>
  <si>
    <t>cross that bridge when you come to</t>
  </si>
  <si>
    <t>not playing with a full deck</t>
  </si>
  <si>
    <t>not playing with a full</t>
  </si>
  <si>
    <t>deck</t>
  </si>
  <si>
    <t>a person who really talks too much</t>
  </si>
  <si>
    <t>a person who really talks too</t>
  </si>
  <si>
    <t>much</t>
  </si>
  <si>
    <t>the apple doesn't fall far from the tree</t>
  </si>
  <si>
    <t>the apple doesn't fall far from the</t>
  </si>
  <si>
    <t>for a very long time</t>
  </si>
  <si>
    <t>for a very long</t>
  </si>
  <si>
    <t>it's greek to me</t>
  </si>
  <si>
    <t>it's greek to</t>
  </si>
  <si>
    <t>to be green with envy</t>
  </si>
  <si>
    <t>to be green with</t>
  </si>
  <si>
    <t>envy</t>
  </si>
  <si>
    <t>the ends justifies the means</t>
  </si>
  <si>
    <t>the ends justifies the</t>
  </si>
  <si>
    <t>means</t>
  </si>
  <si>
    <t>walk on thin ice</t>
  </si>
  <si>
    <t>walk on thin</t>
  </si>
  <si>
    <t>ice</t>
  </si>
  <si>
    <t>beat a dead horse</t>
  </si>
  <si>
    <t>beat a dead</t>
  </si>
  <si>
    <t>three sheets to the wind</t>
  </si>
  <si>
    <t>three sheets to the</t>
  </si>
  <si>
    <t>to bite the dust</t>
  </si>
  <si>
    <t>to bite the</t>
  </si>
  <si>
    <t>dust</t>
  </si>
  <si>
    <t>to bite the bullet and get a new</t>
  </si>
  <si>
    <t>lose one's train of thought</t>
  </si>
  <si>
    <t>lose one's train of</t>
  </si>
  <si>
    <t>thought</t>
  </si>
  <si>
    <t>throw a spanner in the works</t>
  </si>
  <si>
    <t>throw a spanner in the</t>
  </si>
  <si>
    <t>works</t>
  </si>
  <si>
    <t>can't judge a book by its cover</t>
  </si>
  <si>
    <t>can't judge a book by its</t>
  </si>
  <si>
    <t>on the pig's back</t>
  </si>
  <si>
    <t>on the pig's</t>
  </si>
  <si>
    <t>have an ax to grind</t>
  </si>
  <si>
    <t>have an ax to</t>
  </si>
  <si>
    <t>grind</t>
  </si>
  <si>
    <t>pull the wool over one's eyes</t>
  </si>
  <si>
    <t>pull the wool over one's</t>
  </si>
  <si>
    <t>come a long way</t>
  </si>
  <si>
    <t>come a long</t>
  </si>
  <si>
    <t>a bitter pill to swallow</t>
  </si>
  <si>
    <t>a bitter pill to</t>
  </si>
  <si>
    <t>swallow</t>
  </si>
  <si>
    <t>cry over spilt milk</t>
  </si>
  <si>
    <t>cry over spilt</t>
  </si>
  <si>
    <t>virtually impossible to find</t>
  </si>
  <si>
    <t>virtually impossible to</t>
  </si>
  <si>
    <t>find</t>
  </si>
  <si>
    <t>virtually impossible to get a good night’</t>
  </si>
  <si>
    <t>PUNCT</t>
  </si>
  <si>
    <t>united we stand, divided we fall</t>
  </si>
  <si>
    <t>united we stand, divided we</t>
  </si>
  <si>
    <t>fall</t>
  </si>
  <si>
    <t>pull the cat's tail</t>
  </si>
  <si>
    <t>pull the cat's</t>
  </si>
  <si>
    <t>tomorrow is another day</t>
  </si>
  <si>
    <t>tomorrow is another</t>
  </si>
  <si>
    <t>all that glitters is not gold</t>
  </si>
  <si>
    <t>all that glitters is not</t>
  </si>
  <si>
    <t>gold</t>
  </si>
  <si>
    <t>off the beaten track</t>
  </si>
  <si>
    <t>off the beaten</t>
  </si>
  <si>
    <t>track</t>
  </si>
  <si>
    <t>head for the hills</t>
  </si>
  <si>
    <t>head for the</t>
  </si>
  <si>
    <t>hills</t>
  </si>
  <si>
    <t>bring up the rear</t>
  </si>
  <si>
    <t>bring up the</t>
  </si>
  <si>
    <t>rear</t>
  </si>
  <si>
    <t>make your blood boil</t>
  </si>
  <si>
    <t>make your blood</t>
  </si>
  <si>
    <t>boil</t>
  </si>
  <si>
    <t>put the boot in</t>
  </si>
  <si>
    <t>put the boot</t>
  </si>
  <si>
    <t>paint the town red</t>
  </si>
  <si>
    <t>paint the town</t>
  </si>
  <si>
    <t>in the short run</t>
  </si>
  <si>
    <t>in the short</t>
  </si>
  <si>
    <t>lay down the law</t>
  </si>
  <si>
    <t>lay down the</t>
  </si>
  <si>
    <t>put the wind up</t>
  </si>
  <si>
    <t>put the wind</t>
  </si>
  <si>
    <t>put the wind in your sails</t>
  </si>
  <si>
    <t>cog in the machine</t>
  </si>
  <si>
    <t>cog in the</t>
  </si>
  <si>
    <t>machine</t>
  </si>
  <si>
    <t>cog in the wheelcog in</t>
  </si>
  <si>
    <t>quick as a flash</t>
  </si>
  <si>
    <t>quick as a</t>
  </si>
  <si>
    <t>flash</t>
  </si>
  <si>
    <t>in the final analysis</t>
  </si>
  <si>
    <t>in the final</t>
  </si>
  <si>
    <t>analysis</t>
  </si>
  <si>
    <t>beat about the bush</t>
  </si>
  <si>
    <t>beat about the</t>
  </si>
  <si>
    <t>foam at the mouth</t>
  </si>
  <si>
    <t>foam at the</t>
  </si>
  <si>
    <t>sit on the fence</t>
  </si>
  <si>
    <t>sit on the</t>
  </si>
  <si>
    <t>fence</t>
  </si>
  <si>
    <t>stand someone in good stead</t>
  </si>
  <si>
    <t>stand someone in good</t>
  </si>
  <si>
    <t>stead</t>
  </si>
  <si>
    <t>on the face of it</t>
  </si>
  <si>
    <t>on the face of</t>
  </si>
  <si>
    <t>pick up the pieces</t>
  </si>
  <si>
    <t>pick up the</t>
  </si>
  <si>
    <t>pieces</t>
  </si>
  <si>
    <t>economical with the truth</t>
  </si>
  <si>
    <t>economical with the</t>
  </si>
  <si>
    <t>truth</t>
  </si>
  <si>
    <t>blow hot and cold</t>
  </si>
  <si>
    <t>blow hot and</t>
  </si>
  <si>
    <t>ahead of the curve</t>
  </si>
  <si>
    <t>ahead of the</t>
  </si>
  <si>
    <t>curve</t>
  </si>
  <si>
    <t>dyed in the wool</t>
  </si>
  <si>
    <t>dyed in the</t>
  </si>
  <si>
    <t>wool</t>
  </si>
  <si>
    <t>licence to print money</t>
  </si>
  <si>
    <t>licence to print</t>
  </si>
  <si>
    <t>water under the bridge</t>
  </si>
  <si>
    <t>water under the</t>
  </si>
  <si>
    <t>bridge</t>
  </si>
  <si>
    <t>the joke is on someone</t>
  </si>
  <si>
    <t>the joke is on</t>
  </si>
  <si>
    <t>someone</t>
  </si>
  <si>
    <t>state of the art</t>
  </si>
  <si>
    <t>state of the</t>
  </si>
  <si>
    <t>art</t>
  </si>
  <si>
    <t>wet behind the ears</t>
  </si>
  <si>
    <t>wet behind the</t>
  </si>
  <si>
    <t>rise to the occasion</t>
  </si>
  <si>
    <t>rise to the</t>
  </si>
  <si>
    <t>occasion</t>
  </si>
  <si>
    <t>keep your pecker up</t>
  </si>
  <si>
    <t>keep your pecker</t>
  </si>
  <si>
    <t>turn something on its head</t>
  </si>
  <si>
    <t>turn something on its</t>
  </si>
  <si>
    <t>as the actress said to the bishop</t>
  </si>
  <si>
    <t>as the actress said to the</t>
  </si>
  <si>
    <t>bishop</t>
  </si>
  <si>
    <t>hair of the dog</t>
  </si>
  <si>
    <t>hair of the</t>
  </si>
  <si>
    <t>dog</t>
  </si>
  <si>
    <t>step on someone's toes</t>
  </si>
  <si>
    <t>step on someone's</t>
  </si>
  <si>
    <t>toes</t>
  </si>
  <si>
    <t>eat like a horse</t>
  </si>
  <si>
    <t>eat like a</t>
  </si>
  <si>
    <t>eat like a local in the city of</t>
  </si>
  <si>
    <t>wide of the mark</t>
  </si>
  <si>
    <t>wide of the</t>
  </si>
  <si>
    <t>mark</t>
  </si>
  <si>
    <t>pie in the sky</t>
  </si>
  <si>
    <t>pie in the</t>
  </si>
  <si>
    <t>sky</t>
  </si>
  <si>
    <t>do a number on</t>
  </si>
  <si>
    <t>do a number</t>
  </si>
  <si>
    <t>from the word go</t>
  </si>
  <si>
    <t>from the word</t>
  </si>
  <si>
    <t>too big for your boots</t>
  </si>
  <si>
    <t>too big for your</t>
  </si>
  <si>
    <t>boots</t>
  </si>
  <si>
    <t>cast your mind back</t>
  </si>
  <si>
    <t>cast your mind</t>
  </si>
  <si>
    <t>sure as eggs is eggs</t>
  </si>
  <si>
    <t>sure as eggs is</t>
  </si>
  <si>
    <t>boys will be boys</t>
  </si>
  <si>
    <t>boys will be</t>
  </si>
  <si>
    <t>boys</t>
  </si>
  <si>
    <t>jump on the bandwagon</t>
  </si>
  <si>
    <t>jump on the</t>
  </si>
  <si>
    <t>bandwagon</t>
  </si>
  <si>
    <t>kick up a fuss</t>
  </si>
  <si>
    <t>kick up a</t>
  </si>
  <si>
    <t>fuss</t>
  </si>
  <si>
    <t>any port in a storm</t>
  </si>
  <si>
    <t>any port in a</t>
  </si>
  <si>
    <t>nine times out of ten</t>
  </si>
  <si>
    <t>nine times out of</t>
  </si>
  <si>
    <t>ten</t>
  </si>
  <si>
    <t>stick your neck out</t>
  </si>
  <si>
    <t>stick your neck</t>
  </si>
  <si>
    <t>go down the wrong way</t>
  </si>
  <si>
    <t>go down the wrong</t>
  </si>
  <si>
    <t>talk out of turn</t>
  </si>
  <si>
    <t>talk out of</t>
  </si>
  <si>
    <t>turn</t>
  </si>
  <si>
    <t>in the family way</t>
  </si>
  <si>
    <t>in the family</t>
  </si>
  <si>
    <t>work like a charm</t>
  </si>
  <si>
    <t>work like a</t>
  </si>
  <si>
    <t>charm</t>
  </si>
  <si>
    <t>come to a head</t>
  </si>
  <si>
    <t>come to a</t>
  </si>
  <si>
    <t>saved by the bell</t>
  </si>
  <si>
    <t>saved by the</t>
  </si>
  <si>
    <t>bell</t>
  </si>
  <si>
    <t>deaf as a post</t>
  </si>
  <si>
    <t>deaf as a</t>
  </si>
  <si>
    <t>put a foot wrong</t>
  </si>
  <si>
    <t>put a foot</t>
  </si>
  <si>
    <t>wrong</t>
  </si>
  <si>
    <t>put a foot in the doorThe</t>
  </si>
  <si>
    <t>fit as a fiddle</t>
  </si>
  <si>
    <t>fit as a</t>
  </si>
  <si>
    <t>fiddle</t>
  </si>
  <si>
    <t>the ayes have it</t>
  </si>
  <si>
    <t>the ayes have</t>
  </si>
  <si>
    <t>that makes two of us</t>
  </si>
  <si>
    <t>that makes two of</t>
  </si>
  <si>
    <t>us</t>
  </si>
  <si>
    <t>strike while the iron is hot</t>
  </si>
  <si>
    <t>strike while the iron is</t>
  </si>
  <si>
    <t>hot</t>
  </si>
  <si>
    <t>flash in the pan</t>
  </si>
  <si>
    <t>flash in the</t>
  </si>
  <si>
    <t>rise from the ashes</t>
  </si>
  <si>
    <t>rise from the</t>
  </si>
  <si>
    <t>ashes</t>
  </si>
  <si>
    <t>have a screw loose</t>
  </si>
  <si>
    <t>have a screw</t>
  </si>
  <si>
    <t>get away with murder</t>
  </si>
  <si>
    <t>get away with</t>
  </si>
  <si>
    <t>murder</t>
  </si>
  <si>
    <t>breathe down someone's neck</t>
  </si>
  <si>
    <t>breathe down someone's</t>
  </si>
  <si>
    <t>neck</t>
  </si>
  <si>
    <t>easy on the eye</t>
  </si>
  <si>
    <t>easy on the</t>
  </si>
  <si>
    <t>easy on the eyes which makes it much</t>
  </si>
  <si>
    <t>slip through the net</t>
  </si>
  <si>
    <t>slip through the</t>
  </si>
  <si>
    <t>net</t>
  </si>
  <si>
    <t>neck of the woods</t>
  </si>
  <si>
    <t>neck of the</t>
  </si>
  <si>
    <t>woods</t>
  </si>
  <si>
    <t>hot under the collar</t>
  </si>
  <si>
    <t>hot under the</t>
  </si>
  <si>
    <t>collar</t>
  </si>
  <si>
    <t>play into someone's hands</t>
  </si>
  <si>
    <t>play into someone's</t>
  </si>
  <si>
    <t>come out in the wash</t>
  </si>
  <si>
    <t>come out in the</t>
  </si>
  <si>
    <t>wash</t>
  </si>
  <si>
    <t>light at the end of the tunnel</t>
  </si>
  <si>
    <t>light at the end of the</t>
  </si>
  <si>
    <t>weak at the knees</t>
  </si>
  <si>
    <t>weak at the</t>
  </si>
  <si>
    <t>knees</t>
  </si>
  <si>
    <t>power behind the throne</t>
  </si>
  <si>
    <t>power behind the</t>
  </si>
  <si>
    <t>throne</t>
  </si>
  <si>
    <t>as good as new</t>
  </si>
  <si>
    <t>as good as</t>
  </si>
  <si>
    <t>new</t>
  </si>
  <si>
    <t>bang for the buck</t>
  </si>
  <si>
    <t>bang for the</t>
  </si>
  <si>
    <t>buck</t>
  </si>
  <si>
    <t>let's be having you</t>
  </si>
  <si>
    <t>let's be having</t>
  </si>
  <si>
    <t>at a loss for words</t>
  </si>
  <si>
    <t>at a loss for</t>
  </si>
  <si>
    <t>run out of gas</t>
  </si>
  <si>
    <t>run out of</t>
  </si>
  <si>
    <t>gas</t>
  </si>
  <si>
    <t>run out of timerun out of</t>
  </si>
  <si>
    <t>place in the sun</t>
  </si>
  <si>
    <t>place in the</t>
  </si>
  <si>
    <t>sun</t>
  </si>
  <si>
    <t>drive someone up the wall</t>
  </si>
  <si>
    <t>drive someone up the</t>
  </si>
  <si>
    <t>have an eye for</t>
  </si>
  <si>
    <t>have an eye</t>
  </si>
  <si>
    <t>for</t>
  </si>
  <si>
    <t>do someone's head in</t>
  </si>
  <si>
    <t>do someone's head</t>
  </si>
  <si>
    <t>grist to the mill</t>
  </si>
  <si>
    <t>grist to the</t>
  </si>
  <si>
    <t>mill</t>
  </si>
  <si>
    <t>dead in the water</t>
  </si>
  <si>
    <t>dead in the</t>
  </si>
  <si>
    <t>sleep like a log</t>
  </si>
  <si>
    <t>sleep like a</t>
  </si>
  <si>
    <t>log</t>
  </si>
  <si>
    <t>slip of the pen</t>
  </si>
  <si>
    <t>slip of the</t>
  </si>
  <si>
    <t>pen</t>
  </si>
  <si>
    <t>slip of the tongue meaning in urdu</t>
  </si>
  <si>
    <t>not a pretty sight</t>
  </si>
  <si>
    <t>not a pretty</t>
  </si>
  <si>
    <t>sight</t>
  </si>
  <si>
    <t>paper over the cracks</t>
  </si>
  <si>
    <t>paper over the</t>
  </si>
  <si>
    <t>cracks</t>
  </si>
  <si>
    <t>swear like a trooper</t>
  </si>
  <si>
    <t>swear like a</t>
  </si>
  <si>
    <t>trooper</t>
  </si>
  <si>
    <t>bounce off the walls</t>
  </si>
  <si>
    <t>bounce off the</t>
  </si>
  <si>
    <t>walls</t>
  </si>
  <si>
    <t>think the world of</t>
  </si>
  <si>
    <t>think the world</t>
  </si>
  <si>
    <t>think the world is a better place because</t>
  </si>
  <si>
    <t>SCONJ</t>
  </si>
  <si>
    <t>broad in the beam</t>
  </si>
  <si>
    <t>broad in the</t>
  </si>
  <si>
    <t>beam</t>
  </si>
  <si>
    <t>different strokes for different folks</t>
  </si>
  <si>
    <t>different strokes for different</t>
  </si>
  <si>
    <t>folks</t>
  </si>
  <si>
    <t>ride for a fall</t>
  </si>
  <si>
    <t>ride for a</t>
  </si>
  <si>
    <t>ride for a causeRide for</t>
  </si>
  <si>
    <t>reach for the stars</t>
  </si>
  <si>
    <t>reach for the</t>
  </si>
  <si>
    <t>stars</t>
  </si>
  <si>
    <t>armed to the teeth</t>
  </si>
  <si>
    <t>armed to the</t>
  </si>
  <si>
    <t>throw in the towel</t>
  </si>
  <si>
    <t>throw in the</t>
  </si>
  <si>
    <t>towel</t>
  </si>
  <si>
    <t>see the light of day</t>
  </si>
  <si>
    <t>see the light of</t>
  </si>
  <si>
    <t>easy as falling off a log</t>
  </si>
  <si>
    <t>easy as falling off a</t>
  </si>
  <si>
    <t>shut the door on</t>
  </si>
  <si>
    <t>shut the door</t>
  </si>
  <si>
    <t>cock of the walk</t>
  </si>
  <si>
    <t>cock of the</t>
  </si>
  <si>
    <t>walk</t>
  </si>
  <si>
    <t>straight from the shoulder</t>
  </si>
  <si>
    <t>straight from the</t>
  </si>
  <si>
    <t>straight from the heart of the city</t>
  </si>
  <si>
    <t>make a pig's ear of</t>
  </si>
  <si>
    <t>make a pig's ear</t>
  </si>
  <si>
    <t>share and share alike</t>
  </si>
  <si>
    <t>share and share</t>
  </si>
  <si>
    <t>laugh all the way to the bank</t>
  </si>
  <si>
    <t>laugh all the way to the</t>
  </si>
  <si>
    <t>bank</t>
  </si>
  <si>
    <t>have a foot in both camps</t>
  </si>
  <si>
    <t>have a foot in both</t>
  </si>
  <si>
    <t>camps</t>
  </si>
  <si>
    <t>swim against the tide</t>
  </si>
  <si>
    <t>swim against the</t>
  </si>
  <si>
    <t>tide</t>
  </si>
  <si>
    <t>swim against the current meaningswim</t>
  </si>
  <si>
    <t>let sleeping dogs lie</t>
  </si>
  <si>
    <t>let sleeping dogs</t>
  </si>
  <si>
    <t>lie</t>
  </si>
  <si>
    <t>sail under false colours</t>
  </si>
  <si>
    <t>sail under false</t>
  </si>
  <si>
    <t>colours</t>
  </si>
  <si>
    <t>sail under false colorsSail Under</t>
  </si>
  <si>
    <t>laugh like a drain</t>
  </si>
  <si>
    <t>laugh like a</t>
  </si>
  <si>
    <t>drain</t>
  </si>
  <si>
    <t>laugh like a clownI</t>
  </si>
  <si>
    <t>slap on the wrist</t>
  </si>
  <si>
    <t>slap on the</t>
  </si>
  <si>
    <t>fight fire with fire</t>
  </si>
  <si>
    <t>fight fire with</t>
  </si>
  <si>
    <t>make a meal of</t>
  </si>
  <si>
    <t>make a meal</t>
  </si>
  <si>
    <t>make a meal plan for the week</t>
  </si>
  <si>
    <t>lay a finger on</t>
  </si>
  <si>
    <t>lay a finger</t>
  </si>
  <si>
    <t>go round in circles</t>
  </si>
  <si>
    <t>go round in</t>
  </si>
  <si>
    <t>circles</t>
  </si>
  <si>
    <t>jobs for the boys</t>
  </si>
  <si>
    <t>jobs for the</t>
  </si>
  <si>
    <t>live and let live</t>
  </si>
  <si>
    <t>live and let</t>
  </si>
  <si>
    <t>live</t>
  </si>
  <si>
    <t>make a monkey of someone</t>
  </si>
  <si>
    <t>make a monkey of</t>
  </si>
  <si>
    <t>everything in the garden is rosy</t>
  </si>
  <si>
    <t>everything in the garden is</t>
  </si>
  <si>
    <t>rosy</t>
  </si>
  <si>
    <t>everything in the garden is lovelyThe garden</t>
  </si>
  <si>
    <t>you pays your money and you takes your choice</t>
  </si>
  <si>
    <t>you pays your money and you takes your</t>
  </si>
  <si>
    <t>choice</t>
  </si>
  <si>
    <t>one in the eye for</t>
  </si>
  <si>
    <t>one in the eye</t>
  </si>
  <si>
    <t>birds of a feather</t>
  </si>
  <si>
    <t>birds of a</t>
  </si>
  <si>
    <t>make a virtue of necessity</t>
  </si>
  <si>
    <t>make a virtue of</t>
  </si>
  <si>
    <t>necessity</t>
  </si>
  <si>
    <t>play to the gallery</t>
  </si>
  <si>
    <t>play to the</t>
  </si>
  <si>
    <t>gallery</t>
  </si>
  <si>
    <t>play to the crowdThe crowd is</t>
  </si>
  <si>
    <t>sell like hot cakes</t>
  </si>
  <si>
    <t>sell like hot</t>
  </si>
  <si>
    <t>cakes</t>
  </si>
  <si>
    <t>drop someone a line</t>
  </si>
  <si>
    <t>drop someone a</t>
  </si>
  <si>
    <t>smell of the lamp</t>
  </si>
  <si>
    <t>smell of the</t>
  </si>
  <si>
    <t>lamp</t>
  </si>
  <si>
    <t>smell of the seaThe smell</t>
  </si>
  <si>
    <t>hang by a thread</t>
  </si>
  <si>
    <t>hang by a</t>
  </si>
  <si>
    <t>thread</t>
  </si>
  <si>
    <t>mutton dressed as lamb</t>
  </si>
  <si>
    <t>mutton dressed as</t>
  </si>
  <si>
    <t>lamb</t>
  </si>
  <si>
    <t>I'll eat my hat</t>
  </si>
  <si>
    <t>I'll eat my</t>
  </si>
  <si>
    <t>upset the apple cart</t>
  </si>
  <si>
    <t>upset the apple</t>
  </si>
  <si>
    <t>cart</t>
  </si>
  <si>
    <t>the whole shooting match</t>
  </si>
  <si>
    <t>the whole shooting</t>
  </si>
  <si>
    <t>match</t>
  </si>
  <si>
    <t>put someone in mind of</t>
  </si>
  <si>
    <t>put someone in mind</t>
  </si>
  <si>
    <t>poor as a church mouse</t>
  </si>
  <si>
    <t>poor as a church</t>
  </si>
  <si>
    <t>mouse</t>
  </si>
  <si>
    <t>on the horns of a dilemma</t>
  </si>
  <si>
    <t>on the horns of a</t>
  </si>
  <si>
    <t>dilemma</t>
  </si>
  <si>
    <t>tough as old boots</t>
  </si>
  <si>
    <t>tough as old</t>
  </si>
  <si>
    <t>kiss and make up</t>
  </si>
  <si>
    <t>kiss and make</t>
  </si>
  <si>
    <t>on your high horse</t>
  </si>
  <si>
    <t>on your high</t>
  </si>
  <si>
    <t>one good turn deserves another</t>
  </si>
  <si>
    <t>one good turn deserves</t>
  </si>
  <si>
    <t>another</t>
  </si>
  <si>
    <t>rise through the ranks</t>
  </si>
  <si>
    <t>rise through the</t>
  </si>
  <si>
    <t>ranks</t>
  </si>
  <si>
    <t>joined at the hip</t>
  </si>
  <si>
    <t>joined at the</t>
  </si>
  <si>
    <t>long in the tooth</t>
  </si>
  <si>
    <t>long in the</t>
  </si>
  <si>
    <t>tooth</t>
  </si>
  <si>
    <t>build castles in the air</t>
  </si>
  <si>
    <t>build castles in the</t>
  </si>
  <si>
    <t>put your foot in it</t>
  </si>
  <si>
    <t>put your foot in</t>
  </si>
  <si>
    <t>put your foot in the doorThe phrase</t>
  </si>
  <si>
    <t>turn the other cheek</t>
  </si>
  <si>
    <t>turn the other</t>
  </si>
  <si>
    <t>cheek</t>
  </si>
  <si>
    <t>sail close to the wind</t>
  </si>
  <si>
    <t>sail close to the</t>
  </si>
  <si>
    <t>kick over the traces</t>
  </si>
  <si>
    <t>kick over the</t>
  </si>
  <si>
    <t>traces</t>
  </si>
  <si>
    <t>fit to be tied</t>
  </si>
  <si>
    <t>fit to be</t>
  </si>
  <si>
    <t>tied</t>
  </si>
  <si>
    <t>gone with the wind</t>
  </si>
  <si>
    <t>gone with the</t>
  </si>
  <si>
    <t>throw someone to the wolves</t>
  </si>
  <si>
    <t>throw someone to the</t>
  </si>
  <si>
    <t>wolves</t>
  </si>
  <si>
    <t>clean as a whistle</t>
  </si>
  <si>
    <t>clean as a</t>
  </si>
  <si>
    <t>whistle</t>
  </si>
  <si>
    <t>up hill and down dale</t>
  </si>
  <si>
    <t>up hill and down</t>
  </si>
  <si>
    <t>dale</t>
  </si>
  <si>
    <t>pour oil on troubled waters</t>
  </si>
  <si>
    <t>pour oil on troubled</t>
  </si>
  <si>
    <t>see a man about a dog</t>
  </si>
  <si>
    <t>see a man about a</t>
  </si>
  <si>
    <t>keep body and soul together</t>
  </si>
  <si>
    <t>keep body and soul</t>
  </si>
  <si>
    <t>fly off the handle</t>
  </si>
  <si>
    <t>fly off the</t>
  </si>
  <si>
    <t>handle</t>
  </si>
  <si>
    <t>the world and his wife</t>
  </si>
  <si>
    <t>the world and his</t>
  </si>
  <si>
    <t>wife</t>
  </si>
  <si>
    <t>snug as a bug in a rug</t>
  </si>
  <si>
    <t>snug as a bug in a</t>
  </si>
  <si>
    <t>rug</t>
  </si>
  <si>
    <t>a penny for your thoughts</t>
  </si>
  <si>
    <t>a penny for your</t>
  </si>
  <si>
    <t>thoughts</t>
  </si>
  <si>
    <t>be left holding the baby</t>
  </si>
  <si>
    <t>be left holding the</t>
  </si>
  <si>
    <t>baby</t>
  </si>
  <si>
    <t>have other fish to fry</t>
  </si>
  <si>
    <t>have other fish to</t>
  </si>
  <si>
    <t>nutty as a fruitcake</t>
  </si>
  <si>
    <t>nutty as a</t>
  </si>
  <si>
    <t>fruitcake</t>
  </si>
  <si>
    <t>par for the course</t>
  </si>
  <si>
    <t>par for the</t>
  </si>
  <si>
    <t>course</t>
  </si>
  <si>
    <t>strain at the leash</t>
  </si>
  <si>
    <t>strain at the</t>
  </si>
  <si>
    <t>leash</t>
  </si>
  <si>
    <t>strain at the seamsThe stra</t>
  </si>
  <si>
    <t>poor little rich girl</t>
  </si>
  <si>
    <t>poor little rich</t>
  </si>
  <si>
    <t>girl</t>
  </si>
  <si>
    <t>man of the cloth</t>
  </si>
  <si>
    <t>man of the</t>
  </si>
  <si>
    <t>cloth</t>
  </si>
  <si>
    <t>sweat like a pig</t>
  </si>
  <si>
    <t>sweat like a</t>
  </si>
  <si>
    <t>pig</t>
  </si>
  <si>
    <t>like peas in a pod</t>
  </si>
  <si>
    <t>like peas in a</t>
  </si>
  <si>
    <t>make heavy weather of</t>
  </si>
  <si>
    <t>make heavy weather</t>
  </si>
  <si>
    <t>drunk as a lord</t>
  </si>
  <si>
    <t>drunk as a</t>
  </si>
  <si>
    <t>lord</t>
  </si>
  <si>
    <t>drunk as a skunkdrunk</t>
  </si>
  <si>
    <t>like a bear with a sore head</t>
  </si>
  <si>
    <t>like a bear with a sore</t>
  </si>
  <si>
    <t>kick up your heels</t>
  </si>
  <si>
    <t>kick up your</t>
  </si>
  <si>
    <t>heels</t>
  </si>
  <si>
    <t>pushing up the daisies</t>
  </si>
  <si>
    <t>pushing up the</t>
  </si>
  <si>
    <t>daisies</t>
  </si>
  <si>
    <t>to beat the band</t>
  </si>
  <si>
    <t>to beat the</t>
  </si>
  <si>
    <t>band</t>
  </si>
  <si>
    <t>before you can say Jack Robinson</t>
  </si>
  <si>
    <t>before you can say Jack</t>
  </si>
  <si>
    <t>Robinson</t>
  </si>
  <si>
    <t>talk nineteen to the dozen</t>
  </si>
  <si>
    <t>talk nineteen to the</t>
  </si>
  <si>
    <t>talk nineteen to the nineteenth chapter of</t>
  </si>
  <si>
    <t>stick in your craw</t>
  </si>
  <si>
    <t>stick in your</t>
  </si>
  <si>
    <t>craw</t>
  </si>
  <si>
    <t>fit like a glove</t>
  </si>
  <si>
    <t>fit like a</t>
  </si>
  <si>
    <t>glove</t>
  </si>
  <si>
    <t>eat someone out of house and home</t>
  </si>
  <si>
    <t>eat someone out of house and</t>
  </si>
  <si>
    <t>discretion is the better part of valour</t>
  </si>
  <si>
    <t>discretion is the better part of</t>
  </si>
  <si>
    <t>valour</t>
  </si>
  <si>
    <t>all over bar the shouting</t>
  </si>
  <si>
    <t>all over bar the</t>
  </si>
  <si>
    <t>shouting</t>
  </si>
  <si>
    <t>cut your coat according to your cloth</t>
  </si>
  <si>
    <t>cut your coat according to your</t>
  </si>
  <si>
    <t>reds under the bed</t>
  </si>
  <si>
    <t>reds under the</t>
  </si>
  <si>
    <t>bed</t>
  </si>
  <si>
    <t>hit the right note</t>
  </si>
  <si>
    <t>hit the right</t>
  </si>
  <si>
    <t>note</t>
  </si>
  <si>
    <t>silent as the grave</t>
  </si>
  <si>
    <t>silent as the</t>
  </si>
  <si>
    <t>not miss a trick</t>
  </si>
  <si>
    <t>not miss a</t>
  </si>
  <si>
    <t>trick</t>
  </si>
  <si>
    <t>long time no see</t>
  </si>
  <si>
    <t>long time no</t>
  </si>
  <si>
    <t>see</t>
  </si>
  <si>
    <t>champ at the bit</t>
  </si>
  <si>
    <t>champ at the</t>
  </si>
  <si>
    <t>bit</t>
  </si>
  <si>
    <t>push the boat out</t>
  </si>
  <si>
    <t>push the boat</t>
  </si>
  <si>
    <t>talk of the devil</t>
  </si>
  <si>
    <t>talk of the</t>
  </si>
  <si>
    <t>charity begins at home</t>
  </si>
  <si>
    <t>charity begins at</t>
  </si>
  <si>
    <t>have someone's guts for garters</t>
  </si>
  <si>
    <t>have someone's guts for</t>
  </si>
  <si>
    <t>garters</t>
  </si>
  <si>
    <t>hook, line, and sinker</t>
  </si>
  <si>
    <t>hook, line, and</t>
  </si>
  <si>
    <t>sinker</t>
  </si>
  <si>
    <t>not worth the candle</t>
  </si>
  <si>
    <t>not worth the</t>
  </si>
  <si>
    <t>candle</t>
  </si>
  <si>
    <t>right up your street</t>
  </si>
  <si>
    <t>right up your</t>
  </si>
  <si>
    <t>street</t>
  </si>
  <si>
    <t>cut from the same cloth</t>
  </si>
  <si>
    <t>cut from the same</t>
  </si>
  <si>
    <t>get your hands dirty</t>
  </si>
  <si>
    <t>get your hands</t>
  </si>
  <si>
    <t>dirty</t>
  </si>
  <si>
    <t>get your hands on the best of the</t>
  </si>
  <si>
    <t>tread on someone's toes</t>
  </si>
  <si>
    <t>tread on someone's</t>
  </si>
  <si>
    <t>like father, like son</t>
  </si>
  <si>
    <t>like father, like</t>
  </si>
  <si>
    <t>son</t>
  </si>
  <si>
    <t>stick to your guns</t>
  </si>
  <si>
    <t>stick to your</t>
  </si>
  <si>
    <t>guns</t>
  </si>
  <si>
    <t>bite the big one</t>
  </si>
  <si>
    <t>bite the big</t>
  </si>
  <si>
    <t>not know you are born</t>
  </si>
  <si>
    <t>not know you are</t>
  </si>
  <si>
    <t>born</t>
  </si>
  <si>
    <t>stubborn as a mule</t>
  </si>
  <si>
    <t>stubborn as a</t>
  </si>
  <si>
    <t>mule</t>
  </si>
  <si>
    <t>turn up like a bad penny</t>
  </si>
  <si>
    <t>turn up like a bad</t>
  </si>
  <si>
    <t>penny</t>
  </si>
  <si>
    <t>turn up like a badgeThe Turn Up</t>
  </si>
  <si>
    <t>cruising for a bruising</t>
  </si>
  <si>
    <t>cruising for a</t>
  </si>
  <si>
    <t>bruising</t>
  </si>
  <si>
    <t>prop up the bar</t>
  </si>
  <si>
    <t>prop up the</t>
  </si>
  <si>
    <t>bar</t>
  </si>
  <si>
    <t>run before you can walk</t>
  </si>
  <si>
    <t>run before you can</t>
  </si>
  <si>
    <t>hit the ground running</t>
  </si>
  <si>
    <t>hit the ground</t>
  </si>
  <si>
    <t>running</t>
  </si>
  <si>
    <t>lie through your teeth</t>
  </si>
  <si>
    <t>lie through your</t>
  </si>
  <si>
    <t>tell tales out of school</t>
  </si>
  <si>
    <t>tell tales out of</t>
  </si>
  <si>
    <t>school</t>
  </si>
  <si>
    <t>rough around the edges</t>
  </si>
  <si>
    <t>rough around the</t>
  </si>
  <si>
    <t>edges</t>
  </si>
  <si>
    <t>cast the first stone</t>
  </si>
  <si>
    <t>cast the first</t>
  </si>
  <si>
    <t>up a gum tree</t>
  </si>
  <si>
    <t>up a gum</t>
  </si>
  <si>
    <t>an Englishman's home is his castle</t>
  </si>
  <si>
    <t>an Englishman's home is his</t>
  </si>
  <si>
    <t>castle</t>
  </si>
  <si>
    <t>run into the sand</t>
  </si>
  <si>
    <t>run into the</t>
  </si>
  <si>
    <t>run into the problem of not being able</t>
  </si>
  <si>
    <t>keep your eyes peeled</t>
  </si>
  <si>
    <t>keep your eyes</t>
  </si>
  <si>
    <t>peeled</t>
  </si>
  <si>
    <t>make bricks without straw</t>
  </si>
  <si>
    <t>make bricks without</t>
  </si>
  <si>
    <t>every dog has its day</t>
  </si>
  <si>
    <t>every dog has its</t>
  </si>
  <si>
    <t>bring someone to book</t>
  </si>
  <si>
    <t>bring someone to</t>
  </si>
  <si>
    <t>bring someone to justicethe act of</t>
  </si>
  <si>
    <t>ask for the moon</t>
  </si>
  <si>
    <t>ask for the</t>
  </si>
  <si>
    <t>die on the vine</t>
  </si>
  <si>
    <t>die on the</t>
  </si>
  <si>
    <t>work your fingers to the bone</t>
  </si>
  <si>
    <t>work your fingers to the</t>
  </si>
  <si>
    <t>bone</t>
  </si>
  <si>
    <t>rob Peter to pay Paul</t>
  </si>
  <si>
    <t>rob Peter to pay</t>
  </si>
  <si>
    <t>Paul</t>
  </si>
  <si>
    <t>whistle in the dark</t>
  </si>
  <si>
    <t>whistle in the</t>
  </si>
  <si>
    <t>dark</t>
  </si>
  <si>
    <t>drink like a fish</t>
  </si>
  <si>
    <t>drink like a</t>
  </si>
  <si>
    <t>fish</t>
  </si>
  <si>
    <t>thin as a rake</t>
  </si>
  <si>
    <t>thin as a</t>
  </si>
  <si>
    <t>rake</t>
  </si>
  <si>
    <t>come with the territory</t>
  </si>
  <si>
    <t>come with the</t>
  </si>
  <si>
    <t>territory</t>
  </si>
  <si>
    <t>come out of your shell</t>
  </si>
  <si>
    <t>come out of your</t>
  </si>
  <si>
    <t>shell</t>
  </si>
  <si>
    <t>handsome is as handsome does</t>
  </si>
  <si>
    <t>handsome is as handsome</t>
  </si>
  <si>
    <t>does</t>
  </si>
  <si>
    <t>full of the joys of spring</t>
  </si>
  <si>
    <t>full of the joys of</t>
  </si>
  <si>
    <t>spring</t>
  </si>
  <si>
    <t>use a sledgehammer to crack a nut</t>
  </si>
  <si>
    <t>use a sledgehammer to crack a</t>
  </si>
  <si>
    <t>nut</t>
  </si>
  <si>
    <t>roll up your sleeves</t>
  </si>
  <si>
    <t>roll up your</t>
  </si>
  <si>
    <t>sleeves</t>
  </si>
  <si>
    <t>have the hots for</t>
  </si>
  <si>
    <t>have the hots</t>
  </si>
  <si>
    <t>hit someone for six</t>
  </si>
  <si>
    <t>hit someone for</t>
  </si>
  <si>
    <t>six</t>
  </si>
  <si>
    <t>too many chiefs and not enough Indians</t>
  </si>
  <si>
    <t>too many chiefs and not enough</t>
  </si>
  <si>
    <t>Indians</t>
  </si>
  <si>
    <t>more haste, less speed</t>
  </si>
  <si>
    <t>more haste, less</t>
  </si>
  <si>
    <t>speed</t>
  </si>
  <si>
    <t>shipshape and Bristol fashion</t>
  </si>
  <si>
    <t>shipshape and Bristol</t>
  </si>
  <si>
    <t>fashion</t>
  </si>
  <si>
    <t>put your shoulder to the wheel</t>
  </si>
  <si>
    <t>put your shoulder to the</t>
  </si>
  <si>
    <t>come to a pretty pass</t>
  </si>
  <si>
    <t>come to a pretty</t>
  </si>
  <si>
    <t>pass</t>
  </si>
  <si>
    <t>swim with the tide</t>
  </si>
  <si>
    <t>swim with the</t>
  </si>
  <si>
    <t>carry a torch for</t>
  </si>
  <si>
    <t>carry a torch</t>
  </si>
  <si>
    <t>could eat a horse</t>
  </si>
  <si>
    <t>could eat a</t>
  </si>
  <si>
    <t>roll with the punches</t>
  </si>
  <si>
    <t>roll with the</t>
  </si>
  <si>
    <t>punches</t>
  </si>
  <si>
    <t>fire in the belly</t>
  </si>
  <si>
    <t>fire in the</t>
  </si>
  <si>
    <t>belly</t>
  </si>
  <si>
    <t>fire in the hole meaningThe phrase</t>
  </si>
  <si>
    <t>beard the lion in his den</t>
  </si>
  <si>
    <t>beard the lion in his</t>
  </si>
  <si>
    <t>den</t>
  </si>
  <si>
    <t>no peace for the wicked</t>
  </si>
  <si>
    <t>no peace for the</t>
  </si>
  <si>
    <t>lock the stable door after the horse has bolted</t>
  </si>
  <si>
    <t>lock the stable door after the horse has</t>
  </si>
  <si>
    <t>bolted</t>
  </si>
  <si>
    <t>let someone down gently</t>
  </si>
  <si>
    <t>let someone down</t>
  </si>
  <si>
    <t>gently</t>
  </si>
  <si>
    <t>something nasty in the woodshed</t>
  </si>
  <si>
    <t>something nasty in the</t>
  </si>
  <si>
    <t>woodshed</t>
  </si>
  <si>
    <t>see which way the cat jumps</t>
  </si>
  <si>
    <t>see which way the cat</t>
  </si>
  <si>
    <t>jumps</t>
  </si>
  <si>
    <t>blow your own trumpet</t>
  </si>
  <si>
    <t>blow your own</t>
  </si>
  <si>
    <t>trumpet</t>
  </si>
  <si>
    <t>from stem to stern</t>
  </si>
  <si>
    <t>from stem to</t>
  </si>
  <si>
    <t>stern</t>
  </si>
  <si>
    <t>have someone by the short and curlies</t>
  </si>
  <si>
    <t>have someone by the short and</t>
  </si>
  <si>
    <t>curlies</t>
  </si>
  <si>
    <t>keep your eye on the ball</t>
  </si>
  <si>
    <t>keep your eye on the</t>
  </si>
  <si>
    <t>ball</t>
  </si>
  <si>
    <t>knock someone's block off</t>
  </si>
  <si>
    <t>knock someone's block</t>
  </si>
  <si>
    <t>quiet as a mouse</t>
  </si>
  <si>
    <t>quiet as a</t>
  </si>
  <si>
    <t>spread yourself too thin</t>
  </si>
  <si>
    <t>spread yourself too</t>
  </si>
  <si>
    <t>practise what you preach</t>
  </si>
  <si>
    <t>practise what you</t>
  </si>
  <si>
    <t>preach</t>
  </si>
  <si>
    <t>ring off the hook</t>
  </si>
  <si>
    <t>ring off the</t>
  </si>
  <si>
    <t>a blessing in disguise</t>
  </si>
  <si>
    <t>a blessing in</t>
  </si>
  <si>
    <t>disguise</t>
  </si>
  <si>
    <t>beat around the bush</t>
  </si>
  <si>
    <t>beat around the</t>
  </si>
  <si>
    <t>call it a day</t>
  </si>
  <si>
    <t>call it a</t>
  </si>
  <si>
    <t>cut somebody some slack</t>
  </si>
  <si>
    <t>cut somebody some</t>
  </si>
  <si>
    <t>slack</t>
  </si>
  <si>
    <t>get out of hand</t>
  </si>
  <si>
    <t>get out of</t>
  </si>
  <si>
    <t>get something out of your system</t>
  </si>
  <si>
    <t>get something out of your</t>
  </si>
  <si>
    <t>system</t>
  </si>
  <si>
    <t>that's the last straw</t>
  </si>
  <si>
    <t>that's the last</t>
  </si>
  <si>
    <t>time flies when you're having fun</t>
  </si>
  <si>
    <t>time flies when you're having</t>
  </si>
  <si>
    <t>fun</t>
  </si>
  <si>
    <t>wrap your head around something</t>
  </si>
  <si>
    <t>wrap your head around</t>
  </si>
  <si>
    <t>something</t>
  </si>
  <si>
    <t>you can say that again</t>
  </si>
  <si>
    <t>you can say that</t>
  </si>
  <si>
    <t>put something on ice</t>
  </si>
  <si>
    <t>put something on</t>
  </si>
  <si>
    <t>put something on the tableput something</t>
  </si>
  <si>
    <t>rain on someone's parade</t>
  </si>
  <si>
    <t>rain on someone's</t>
  </si>
  <si>
    <t>parade</t>
  </si>
  <si>
    <t>rain on someone's wedding dayR</t>
  </si>
  <si>
    <t>a stitch in time saves nine</t>
  </si>
  <si>
    <t>a stitch in time saves</t>
  </si>
  <si>
    <t>nine</t>
  </si>
  <si>
    <t>as right as rain</t>
  </si>
  <si>
    <t>as right as</t>
  </si>
  <si>
    <t>rain</t>
  </si>
  <si>
    <t>bolt from the blue</t>
  </si>
  <si>
    <t>bolt from the</t>
  </si>
  <si>
    <t>blue</t>
  </si>
  <si>
    <t>fortune favours the bold</t>
  </si>
  <si>
    <t>fortune favours the</t>
  </si>
  <si>
    <t>bold</t>
  </si>
  <si>
    <t>get a second wind</t>
  </si>
  <si>
    <t>get a second</t>
  </si>
  <si>
    <t>get wind of something</t>
  </si>
  <si>
    <t>get wind of</t>
  </si>
  <si>
    <t>get wind ofget wind of</t>
  </si>
  <si>
    <t>go down in flames</t>
  </si>
  <si>
    <t>go down in</t>
  </si>
  <si>
    <t>flames</t>
  </si>
  <si>
    <t>go down in history as the worst president</t>
  </si>
  <si>
    <t>he's not playing with a full deck</t>
  </si>
  <si>
    <t>he's not playing with a full</t>
  </si>
  <si>
    <t>he's sitting on the fence</t>
  </si>
  <si>
    <t>he's sitting on the</t>
  </si>
  <si>
    <t>it is a poor workman who blames his tools</t>
  </si>
  <si>
    <t>it is a poor workman who blames his</t>
  </si>
  <si>
    <t>tools</t>
  </si>
  <si>
    <t>like riding a bicycle</t>
  </si>
  <si>
    <t>like riding a</t>
  </si>
  <si>
    <t>bicycle</t>
  </si>
  <si>
    <t>out of the frying pan and into the fire</t>
  </si>
  <si>
    <t>out of the frying pan and into the</t>
  </si>
  <si>
    <t>run like the wind</t>
  </si>
  <si>
    <t>run like the</t>
  </si>
  <si>
    <t>well begun is half done</t>
  </si>
  <si>
    <t>well begun is half</t>
  </si>
  <si>
    <t>bright as a button</t>
  </si>
  <si>
    <t>bright as a</t>
  </si>
  <si>
    <t>pain in the neck</t>
  </si>
  <si>
    <t>pain in the</t>
  </si>
  <si>
    <t>salt of the earth</t>
  </si>
  <si>
    <t>salt of the</t>
  </si>
  <si>
    <t>in the best of health</t>
  </si>
  <si>
    <t>in the best of</t>
  </si>
  <si>
    <t>in the eyes of the law</t>
  </si>
  <si>
    <t>in the eyes of the</t>
  </si>
  <si>
    <t>to a fine art</t>
  </si>
  <si>
    <t>to a fine</t>
  </si>
  <si>
    <t>man in the street</t>
  </si>
  <si>
    <t>man in the</t>
  </si>
  <si>
    <t>man in the middle attackThe man</t>
  </si>
  <si>
    <t>money for old rope</t>
  </si>
  <si>
    <t>money for old</t>
  </si>
  <si>
    <t>white as a sheet</t>
  </si>
  <si>
    <t>white as a</t>
  </si>
  <si>
    <t>sheet</t>
  </si>
  <si>
    <t>cream of the crop</t>
  </si>
  <si>
    <t>cream of the</t>
  </si>
  <si>
    <t>crop</t>
  </si>
  <si>
    <t>a whole new ball game</t>
  </si>
  <si>
    <t>a whole new ball</t>
  </si>
  <si>
    <t>game</t>
  </si>
  <si>
    <t>an act of war</t>
  </si>
  <si>
    <t>an act of</t>
  </si>
  <si>
    <t>war</t>
  </si>
  <si>
    <t>an act of the legislature of the</t>
  </si>
  <si>
    <t>an arm and a leg</t>
  </si>
  <si>
    <t>an arm and a</t>
  </si>
  <si>
    <t>an eye for an eye</t>
  </si>
  <si>
    <t>an eye for an</t>
  </si>
  <si>
    <t>as poor as a church mouse</t>
  </si>
  <si>
    <t>as poor as a church</t>
  </si>
  <si>
    <t>cock and bull story</t>
  </si>
  <si>
    <t>cock and bull</t>
  </si>
  <si>
    <t>story</t>
  </si>
  <si>
    <t>icing on the cake</t>
  </si>
  <si>
    <t>icing on the</t>
  </si>
  <si>
    <t>a load of cobblers</t>
  </si>
  <si>
    <t>a load of</t>
  </si>
  <si>
    <t>cobblers</t>
  </si>
  <si>
    <t>a load of old rubbish</t>
  </si>
  <si>
    <t>a shot in the dark</t>
  </si>
  <si>
    <t>a shot in the</t>
  </si>
  <si>
    <t>a shot in the arm for the economy</t>
  </si>
  <si>
    <t>first come first served</t>
  </si>
  <si>
    <t>first come first</t>
  </si>
  <si>
    <t>served</t>
  </si>
  <si>
    <t>first come first serve policyThe first</t>
  </si>
  <si>
    <t>hold on a second</t>
  </si>
  <si>
    <t>hold on a</t>
  </si>
  <si>
    <t>second</t>
  </si>
  <si>
    <t>son of a gun</t>
  </si>
  <si>
    <t>son of a</t>
  </si>
  <si>
    <t>gun</t>
  </si>
  <si>
    <t>put salt on his tail</t>
  </si>
  <si>
    <t>put salt on his</t>
  </si>
  <si>
    <t>one card shy of a full deck</t>
  </si>
  <si>
    <t>one card shy of a full</t>
  </si>
  <si>
    <t>be in seventh heaven</t>
  </si>
  <si>
    <t>be in seventh</t>
  </si>
  <si>
    <t>heaven</t>
  </si>
  <si>
    <t>pull someone's bacon out of the fire</t>
  </si>
  <si>
    <t>pull someone's bacon out of the</t>
  </si>
  <si>
    <t>butterflies in my stomach</t>
  </si>
  <si>
    <t>butterflies in my</t>
  </si>
  <si>
    <t>stomach</t>
  </si>
  <si>
    <t>look like a million dollars</t>
  </si>
  <si>
    <t>look like a million</t>
  </si>
  <si>
    <t>dollars</t>
  </si>
  <si>
    <t>be happy when a person leaves</t>
  </si>
  <si>
    <t>be happy when a person</t>
  </si>
  <si>
    <t>leaves</t>
  </si>
  <si>
    <t>up a creek without a paddle</t>
  </si>
  <si>
    <t>up a creek without a</t>
  </si>
  <si>
    <t>paddle</t>
  </si>
  <si>
    <t>you can bet your life on that</t>
  </si>
  <si>
    <t>you can bet your life on</t>
  </si>
  <si>
    <t>red in the face</t>
  </si>
  <si>
    <t>red in the</t>
  </si>
  <si>
    <t>hold your tongue back</t>
  </si>
  <si>
    <t>hold your tongue</t>
  </si>
  <si>
    <t>land on one's feet</t>
  </si>
  <si>
    <t>land on one's</t>
  </si>
  <si>
    <t>the forbidden fruit is the sweetest</t>
  </si>
  <si>
    <t>the forbidden fruit is the</t>
  </si>
  <si>
    <t>sweetest</t>
  </si>
  <si>
    <t>the forbidden fruit is the best fruitThe forb</t>
  </si>
  <si>
    <t>cut to the chase</t>
  </si>
  <si>
    <t>cut to the</t>
  </si>
  <si>
    <t>talk the hind legs off a donkey</t>
  </si>
  <si>
    <t>talk the hind legs off a</t>
  </si>
  <si>
    <t>donkey</t>
  </si>
  <si>
    <t>east or west, home is best</t>
  </si>
  <si>
    <t>east or west, home is</t>
  </si>
  <si>
    <t>best</t>
  </si>
  <si>
    <t>don't wash your dirty laundry in public</t>
  </si>
  <si>
    <t>don't wash your dirty laundry in</t>
  </si>
  <si>
    <t>public</t>
  </si>
  <si>
    <t>arm and a leg</t>
  </si>
  <si>
    <t>arm and a</t>
  </si>
  <si>
    <t>made your bed, now lie</t>
  </si>
  <si>
    <t>made your bed, now</t>
  </si>
  <si>
    <t>old chicken makes good soup</t>
  </si>
  <si>
    <t>old chicken makes good</t>
  </si>
  <si>
    <t>soup</t>
  </si>
  <si>
    <t>tip of the iceberg</t>
  </si>
  <si>
    <t>tip of the</t>
  </si>
  <si>
    <t>iceberg</t>
  </si>
  <si>
    <t>cat got your tongue</t>
  </si>
  <si>
    <t>cat got your</t>
  </si>
  <si>
    <t>tongue</t>
  </si>
  <si>
    <t>neither a borrower or a lender be</t>
  </si>
  <si>
    <t>neither a borrower or a lender</t>
  </si>
  <si>
    <t>be</t>
  </si>
  <si>
    <t>while there is life there is hope</t>
  </si>
  <si>
    <t>while there is life there is</t>
  </si>
  <si>
    <t>hope</t>
  </si>
  <si>
    <t>bet your bottom dollar</t>
  </si>
  <si>
    <t>bet your bottom</t>
  </si>
  <si>
    <t>dollar</t>
  </si>
  <si>
    <t>dumb as a post</t>
  </si>
  <si>
    <t>dumb as a</t>
  </si>
  <si>
    <t>all sizzle and no steak</t>
  </si>
  <si>
    <t>all sizzle and no</t>
  </si>
  <si>
    <t>steak</t>
  </si>
  <si>
    <t>all the way to egery and back</t>
  </si>
  <si>
    <t>all the way to egery and</t>
  </si>
  <si>
    <t>not a spark of decency</t>
  </si>
  <si>
    <t>not a spark of</t>
  </si>
  <si>
    <t>decency</t>
  </si>
  <si>
    <t>not a spark of lightThe first time</t>
  </si>
  <si>
    <t>a skeleton in the closet</t>
  </si>
  <si>
    <t>a skeleton in the</t>
  </si>
  <si>
    <t>closet</t>
  </si>
  <si>
    <t>lose sleep over it</t>
  </si>
  <si>
    <t>lose sleep over</t>
  </si>
  <si>
    <t>lose sleep overLose Sleep</t>
  </si>
  <si>
    <t>penny for your thoughts</t>
  </si>
  <si>
    <t>penny for your</t>
  </si>
  <si>
    <t>picture paints a thousand words</t>
  </si>
  <si>
    <t>picture paints a thousand</t>
  </si>
  <si>
    <t>method to my madness</t>
  </si>
  <si>
    <t>method to my</t>
  </si>
  <si>
    <t>a voice crying in the wilderness</t>
  </si>
  <si>
    <t>a voice crying in the</t>
  </si>
  <si>
    <t>wilderness</t>
  </si>
  <si>
    <t>cast in the same mould</t>
  </si>
  <si>
    <t>cast in the same</t>
  </si>
  <si>
    <t>mould</t>
  </si>
  <si>
    <t>cast in the same mold as the original</t>
  </si>
  <si>
    <t>as old as the hills</t>
  </si>
  <si>
    <t>as old as the</t>
  </si>
  <si>
    <t>roll up one's sleeves</t>
  </si>
  <si>
    <t>roll up one's</t>
  </si>
  <si>
    <t>company in distress makes sorrow less</t>
  </si>
  <si>
    <t>company in distress makes sorrow</t>
  </si>
  <si>
    <t>less</t>
  </si>
  <si>
    <t>your belly button is bigger than your stomach</t>
  </si>
  <si>
    <t>your belly button is bigger than your</t>
  </si>
  <si>
    <t>no flying from fate</t>
  </si>
  <si>
    <t>no flying from</t>
  </si>
  <si>
    <t>fate</t>
  </si>
  <si>
    <t>speak off the cuff</t>
  </si>
  <si>
    <t>speak off the</t>
  </si>
  <si>
    <t>cuff</t>
  </si>
  <si>
    <t>a friend in need</t>
  </si>
  <si>
    <t>a friend in</t>
  </si>
  <si>
    <t>need</t>
  </si>
  <si>
    <t>a cold day in hell</t>
  </si>
  <si>
    <t>a cold day in</t>
  </si>
  <si>
    <t>a cold day in the parkI was</t>
  </si>
  <si>
    <t>it doesn't hurt to ask</t>
  </si>
  <si>
    <t>it doesn't hurt to</t>
  </si>
  <si>
    <t>ask</t>
  </si>
  <si>
    <t>whale of a time</t>
  </si>
  <si>
    <t>whale of a</t>
  </si>
  <si>
    <t>elvis has left the building</t>
  </si>
  <si>
    <t>elvis has left the</t>
  </si>
  <si>
    <t>building</t>
  </si>
  <si>
    <t>idiom</t>
  </si>
  <si>
    <t>predict</t>
  </si>
  <si>
    <t>idiom_len</t>
  </si>
  <si>
    <t>last_word_len</t>
  </si>
  <si>
    <t>idioms_last_word_pos</t>
  </si>
  <si>
    <t>predict_last_word_pos</t>
  </si>
  <si>
    <t>probabilities_mean_valued</t>
  </si>
  <si>
    <t>probabilities_variance_value</t>
  </si>
  <si>
    <t>hidden_states_mean_value</t>
  </si>
  <si>
    <t>hidden_states_variance_value</t>
  </si>
  <si>
    <t>id</t>
    <phoneticPr fontId="1" type="noConversion"/>
  </si>
  <si>
    <t>MASK</t>
    <phoneticPr fontId="1" type="noConversion"/>
  </si>
  <si>
    <t>pour cold water into the pot.</t>
  </si>
  <si>
    <t xml:space="preserve">wither on the </t>
  </si>
  <si>
    <t>by a long-</t>
  </si>
  <si>
    <t>in the fastest way possible.</t>
  </si>
  <si>
    <t>sick as a dog,</t>
  </si>
  <si>
    <t>hold all the answers.</t>
  </si>
  <si>
    <t>throw the baby out with the bath water.</t>
  </si>
  <si>
    <t>come down the mountain,</t>
  </si>
  <si>
    <t>put the screws to (</t>
  </si>
  <si>
    <t>he who laughs last laughs bestI'</t>
  </si>
  <si>
    <t>middle of the night,</t>
  </si>
  <si>
    <t>in the heat of the day,</t>
  </si>
  <si>
    <t xml:space="preserve">hear it on the radioThe </t>
  </si>
  <si>
    <t>off the beaten path,</t>
  </si>
  <si>
    <t>in the short term,</t>
  </si>
  <si>
    <t>sit on the floor,</t>
  </si>
  <si>
    <t>pick up the phone and call me,</t>
  </si>
  <si>
    <t>the joke is on you,</t>
  </si>
  <si>
    <t>rise to the challenge.</t>
  </si>
  <si>
    <t>from the word "</t>
  </si>
  <si>
    <t>too big for your britchesI'</t>
  </si>
  <si>
    <t>go down the wrong pathI'</t>
  </si>
  <si>
    <t>talk out of schoolI'</t>
  </si>
  <si>
    <t xml:space="preserve">in the family of the </t>
  </si>
  <si>
    <t>get away with it.</t>
  </si>
  <si>
    <t>slip through the cracks.</t>
  </si>
  <si>
    <t>come out in the open.</t>
  </si>
  <si>
    <t>place in the world.</t>
  </si>
  <si>
    <t>sleep like a baby,</t>
  </si>
  <si>
    <t>paper over the window.</t>
  </si>
  <si>
    <t>swear like a sailorI'</t>
  </si>
  <si>
    <t>shut the door,</t>
  </si>
  <si>
    <t>have a foot in both worlds.</t>
  </si>
  <si>
    <t xml:space="preserve">jobs for the future </t>
  </si>
  <si>
    <t>on your high school transcript.</t>
  </si>
  <si>
    <t>be left holding the bag.</t>
  </si>
  <si>
    <t>man of the match:</t>
  </si>
  <si>
    <t>to beat the heat,</t>
  </si>
  <si>
    <t>stick in your mind.</t>
  </si>
  <si>
    <t>discretion is the better part of valor.</t>
  </si>
  <si>
    <t>not miss a beat.</t>
  </si>
  <si>
    <t xml:space="preserve">champ at the </t>
  </si>
  <si>
    <t>talk of the town:</t>
  </si>
  <si>
    <t>not worth the time or effort.</t>
  </si>
  <si>
    <t>right up your alley.</t>
  </si>
  <si>
    <t>not know you are a Christian.</t>
  </si>
  <si>
    <t>prop up the back of the chair.</t>
  </si>
  <si>
    <t>keep your eyes on the prize.</t>
  </si>
  <si>
    <t>ask for the best price.</t>
  </si>
  <si>
    <t xml:space="preserve">die on the </t>
  </si>
  <si>
    <t>thin as a blade of grass.</t>
  </si>
  <si>
    <t xml:space="preserve">come with the </t>
  </si>
  <si>
    <t>too many chiefs and not enough indiansI'</t>
  </si>
  <si>
    <t>swim with the sharks,</t>
  </si>
  <si>
    <t>let someone down##</t>
  </si>
  <si>
    <t>get out of the way,</t>
  </si>
  <si>
    <t>that's the last time I'</t>
  </si>
  <si>
    <t>wrap your head around it.</t>
  </si>
  <si>
    <t>fortune favours the brave,</t>
  </si>
  <si>
    <t>get a second opinion on your case.</t>
  </si>
  <si>
    <t>he's sitting on the couch,</t>
  </si>
  <si>
    <t>like riding a bike,</t>
  </si>
  <si>
    <t>bright as a star,</t>
  </si>
  <si>
    <t>in the eyes of the beholder.</t>
  </si>
  <si>
    <t>to a fine of $</t>
  </si>
  <si>
    <t>white as a ghostI'</t>
  </si>
  <si>
    <t>son of a bitch,</t>
  </si>
  <si>
    <t>put salt on his wounds.</t>
  </si>
  <si>
    <t>look like a million bucks.</t>
  </si>
  <si>
    <t>be happy when a person is happy,</t>
  </si>
  <si>
    <t>you can bet your life on it.</t>
  </si>
  <si>
    <t>hold your tongue,</t>
  </si>
  <si>
    <t>tip of the day:</t>
  </si>
  <si>
    <t>dumb as a rockI'</t>
  </si>
  <si>
    <t>company in distress makes sorrowful reading.</t>
  </si>
  <si>
    <t>your belly button is bigger than your head.</t>
  </si>
  <si>
    <t xml:space="preserve">no flying from the </t>
  </si>
  <si>
    <t>it doesn't hurt to have a little help.</t>
  </si>
  <si>
    <t>dot the i's and cross the t'</t>
    <phoneticPr fontId="1" type="noConversion"/>
  </si>
  <si>
    <t>prompt</t>
  </si>
  <si>
    <t>行标签</t>
  </si>
  <si>
    <t>总计</t>
  </si>
  <si>
    <t>列标签</t>
  </si>
  <si>
    <t>计数项:id</t>
  </si>
  <si>
    <t>单词长度</t>
    <phoneticPr fontId="1" type="noConversion"/>
  </si>
  <si>
    <t>句子长度</t>
    <phoneticPr fontId="1" type="noConversion"/>
  </si>
  <si>
    <t>Y</t>
    <phoneticPr fontId="1" type="noConversion"/>
  </si>
  <si>
    <t>N</t>
    <phoneticPr fontId="1" type="noConversion"/>
  </si>
  <si>
    <t>hidden_states_mean_value</t>
    <phoneticPr fontId="1" type="noConversion"/>
  </si>
  <si>
    <t>最大</t>
  </si>
  <si>
    <t>最大</t>
    <phoneticPr fontId="1" type="noConversion"/>
  </si>
  <si>
    <t>最小</t>
  </si>
  <si>
    <t>最小</t>
    <phoneticPr fontId="1" type="noConversion"/>
  </si>
  <si>
    <t>平均</t>
  </si>
  <si>
    <t>平均</t>
    <phoneticPr fontId="1" type="noConversion"/>
  </si>
  <si>
    <t>标准差</t>
  </si>
  <si>
    <t>标准差</t>
    <phoneticPr fontId="1" type="noConversion"/>
  </si>
  <si>
    <t>组距</t>
  </si>
  <si>
    <t>组距</t>
    <phoneticPr fontId="1" type="noConversion"/>
  </si>
  <si>
    <t>组数</t>
  </si>
  <si>
    <t>组数</t>
    <phoneticPr fontId="1" type="noConversion"/>
  </si>
  <si>
    <t>区间</t>
    <phoneticPr fontId="1" type="noConversion"/>
  </si>
  <si>
    <t>接收</t>
  </si>
  <si>
    <t>其他</t>
  </si>
  <si>
    <t>频率</t>
  </si>
  <si>
    <t>正态分布值</t>
    <phoneticPr fontId="1" type="noConversion"/>
  </si>
  <si>
    <t>正态分布</t>
    <phoneticPr fontId="1" type="noConversion"/>
  </si>
  <si>
    <t>正态分布Y</t>
    <phoneticPr fontId="1" type="noConversion"/>
  </si>
  <si>
    <t>正态分布N</t>
    <phoneticPr fontId="1" type="noConversion"/>
  </si>
  <si>
    <t>名词</t>
  </si>
  <si>
    <t>介词</t>
  </si>
  <si>
    <t>动词</t>
  </si>
  <si>
    <t>形容词</t>
  </si>
  <si>
    <t>副词</t>
  </si>
  <si>
    <t>代词</t>
  </si>
  <si>
    <t>数词</t>
  </si>
  <si>
    <t>专有名词</t>
  </si>
  <si>
    <t>助动词</t>
  </si>
  <si>
    <t>助词</t>
  </si>
  <si>
    <t>POS</t>
    <phoneticPr fontId="1" type="noConversion"/>
  </si>
  <si>
    <t>Rate</t>
    <phoneticPr fontId="1" type="noConversion"/>
  </si>
  <si>
    <t>dot the i's and cross the t'</t>
  </si>
  <si>
    <t>probabilities_max_valued</t>
    <phoneticPr fontId="1" type="noConversion"/>
  </si>
  <si>
    <t>length</t>
    <phoneticPr fontId="1" type="noConversion"/>
  </si>
  <si>
    <t>mem-idiom</t>
  </si>
  <si>
    <t>non-mem-idiom</t>
  </si>
  <si>
    <t>position</t>
  </si>
  <si>
    <t>probability</t>
  </si>
  <si>
    <t>word 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</si>
</sst>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Consolas"/>
      <family val="2"/>
    </font>
    <font>
      <b/>
      <sz val="12"/>
      <color theme="1"/>
      <name val="Consolas"/>
      <family val="2"/>
    </font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>
      <alignment vertical="center"/>
    </xf>
    <xf numFmtId="11" fontId="2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6" fillId="3" borderId="1" xfId="0" applyFont="1" applyFill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6" fillId="4" borderId="1" xfId="0" applyFont="1" applyFill="1" applyBorder="1">
      <alignment vertical="center"/>
    </xf>
    <xf numFmtId="0" fontId="7" fillId="5" borderId="1" xfId="0" applyFont="1" applyFill="1" applyBorder="1" applyAlignment="1">
      <alignment horizontal="left" vertical="center"/>
    </xf>
    <xf numFmtId="176" fontId="7" fillId="5" borderId="1" xfId="1" applyNumberFormat="1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176" fontId="0" fillId="5" borderId="1" xfId="1" applyNumberFormat="1" applyFont="1" applyFill="1" applyBorder="1">
      <alignment vertical="center"/>
    </xf>
    <xf numFmtId="11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9" fontId="0" fillId="0" borderId="0" xfId="1" applyFont="1">
      <alignment vertical="center"/>
    </xf>
    <xf numFmtId="9" fontId="0" fillId="5" borderId="1" xfId="0" applyNumberFormat="1" applyFill="1" applyBorder="1">
      <alignment vertical="center"/>
    </xf>
    <xf numFmtId="10" fontId="0" fillId="0" borderId="0" xfId="1" applyNumberFormat="1" applyFont="1">
      <alignment vertical="center"/>
    </xf>
    <xf numFmtId="10" fontId="0" fillId="0" borderId="0" xfId="1" applyNumberFormat="1" applyFont="1" applyFill="1" applyBorder="1" applyAlignme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'单词-句子长度'!$B$1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'单词-句子长度'!$A$2:$A$12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'单词-句子长度'!$B$2:$B$12</c:f>
              <c:numCache>
                <c:formatCode>General</c:formatCode>
                <c:ptCount val="11"/>
                <c:pt idx="0">
                  <c:v>63</c:v>
                </c:pt>
                <c:pt idx="1">
                  <c:v>121</c:v>
                </c:pt>
                <c:pt idx="2">
                  <c:v>207</c:v>
                </c:pt>
                <c:pt idx="3">
                  <c:v>172</c:v>
                </c:pt>
                <c:pt idx="4">
                  <c:v>70</c:v>
                </c:pt>
                <c:pt idx="5">
                  <c:v>49</c:v>
                </c:pt>
                <c:pt idx="6">
                  <c:v>29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C-CA40-A365-B9909FEBD388}"/>
            </c:ext>
          </c:extLst>
        </c:ser>
        <c:ser>
          <c:idx val="1"/>
          <c:order val="1"/>
          <c:tx>
            <c:strRef>
              <c:f>'单词-句子长度'!$C$1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'单词-句子长度'!$A$2:$A$12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'单词-句子长度'!$C$2:$C$12</c:f>
              <c:numCache>
                <c:formatCode>General</c:formatCode>
                <c:ptCount val="11"/>
                <c:pt idx="0">
                  <c:v>9</c:v>
                </c:pt>
                <c:pt idx="1">
                  <c:v>18</c:v>
                </c:pt>
                <c:pt idx="2">
                  <c:v>39</c:v>
                </c:pt>
                <c:pt idx="3">
                  <c:v>22</c:v>
                </c:pt>
                <c:pt idx="4">
                  <c:v>19</c:v>
                </c:pt>
                <c:pt idx="5">
                  <c:v>13</c:v>
                </c:pt>
                <c:pt idx="6">
                  <c:v>5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C-CA40-A365-B9909FEBD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8482703"/>
        <c:axId val="2103399903"/>
      </c:barChart>
      <c:catAx>
        <c:axId val="177848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3399903"/>
        <c:crosses val="autoZero"/>
        <c:auto val="1"/>
        <c:lblAlgn val="ctr"/>
        <c:lblOffset val="100"/>
        <c:noMultiLvlLbl val="0"/>
      </c:catAx>
      <c:valAx>
        <c:axId val="210339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848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'单词-句子长度'!$G$38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'单词-句子长度'!$F$39:$F$45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'单词-句子长度'!$G$39:$G$45</c:f>
              <c:numCache>
                <c:formatCode>0.0%</c:formatCode>
                <c:ptCount val="7"/>
                <c:pt idx="0">
                  <c:v>0.875</c:v>
                </c:pt>
                <c:pt idx="1">
                  <c:v>0.87050359712230219</c:v>
                </c:pt>
                <c:pt idx="2">
                  <c:v>0.84146341463414631</c:v>
                </c:pt>
                <c:pt idx="3">
                  <c:v>0.88659793814432986</c:v>
                </c:pt>
                <c:pt idx="4">
                  <c:v>0.7865168539325843</c:v>
                </c:pt>
                <c:pt idx="5">
                  <c:v>0.79032258064516125</c:v>
                </c:pt>
                <c:pt idx="6">
                  <c:v>0.8529411764705882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A3-7C42-86BF-D1B613DB2B61}"/>
            </c:ext>
          </c:extLst>
        </c:ser>
        <c:ser>
          <c:idx val="1"/>
          <c:order val="1"/>
          <c:tx>
            <c:strRef>
              <c:f>'单词-句子长度'!$H$38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'单词-句子长度'!$F$39:$F$45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'单词-句子长度'!$H$39:$H$45</c:f>
              <c:numCache>
                <c:formatCode>0.0%</c:formatCode>
                <c:ptCount val="7"/>
                <c:pt idx="0">
                  <c:v>0.125</c:v>
                </c:pt>
                <c:pt idx="1">
                  <c:v>0.12949640287769784</c:v>
                </c:pt>
                <c:pt idx="2">
                  <c:v>0.15853658536585366</c:v>
                </c:pt>
                <c:pt idx="3">
                  <c:v>0.1134020618556701</c:v>
                </c:pt>
                <c:pt idx="4">
                  <c:v>0.21348314606741572</c:v>
                </c:pt>
                <c:pt idx="5">
                  <c:v>0.20967741935483872</c:v>
                </c:pt>
                <c:pt idx="6">
                  <c:v>0.14705882352941177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A3-7C42-86BF-D1B613DB2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020831"/>
        <c:axId val="1470022559"/>
      </c:lineChart>
      <c:catAx>
        <c:axId val="147002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0022559"/>
        <c:crosses val="autoZero"/>
        <c:auto val="1"/>
        <c:lblAlgn val="ctr"/>
        <c:lblOffset val="100"/>
        <c:noMultiLvlLbl val="0"/>
      </c:catAx>
      <c:valAx>
        <c:axId val="147002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002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'单词-句子长度'!$B$63</c:f>
              <c:strCache>
                <c:ptCount val="1"/>
                <c:pt idx="0">
                  <c:v>mem-idiom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'单词-句子长度'!$A$64:$A$73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</c:numCache>
            </c:numRef>
          </c:cat>
          <c:val>
            <c:numRef>
              <c:f>'单词-句子长度'!$B$64:$B$73</c:f>
              <c:numCache>
                <c:formatCode>General</c:formatCode>
                <c:ptCount val="10"/>
                <c:pt idx="0">
                  <c:v>347</c:v>
                </c:pt>
                <c:pt idx="1">
                  <c:v>183</c:v>
                </c:pt>
                <c:pt idx="2">
                  <c:v>105</c:v>
                </c:pt>
                <c:pt idx="3">
                  <c:v>52</c:v>
                </c:pt>
                <c:pt idx="4">
                  <c:v>18</c:v>
                </c:pt>
                <c:pt idx="5">
                  <c:v>10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F-094A-84C3-D208D05C1CCD}"/>
            </c:ext>
          </c:extLst>
        </c:ser>
        <c:ser>
          <c:idx val="1"/>
          <c:order val="1"/>
          <c:tx>
            <c:strRef>
              <c:f>'单词-句子长度'!$C$63</c:f>
              <c:strCache>
                <c:ptCount val="1"/>
                <c:pt idx="0">
                  <c:v>non-mem-idiom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'单词-句子长度'!$A$64:$A$73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</c:numCache>
            </c:numRef>
          </c:cat>
          <c:val>
            <c:numRef>
              <c:f>'单词-句子长度'!$C$64:$C$73</c:f>
              <c:numCache>
                <c:formatCode>General</c:formatCode>
                <c:ptCount val="10"/>
                <c:pt idx="0">
                  <c:v>97</c:v>
                </c:pt>
                <c:pt idx="1">
                  <c:v>18</c:v>
                </c:pt>
                <c:pt idx="2">
                  <c:v>9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F-094A-84C3-D208D05C1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4227615"/>
        <c:axId val="2065018863"/>
      </c:barChart>
      <c:catAx>
        <c:axId val="202422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5018863"/>
        <c:crosses val="autoZero"/>
        <c:auto val="1"/>
        <c:lblAlgn val="ctr"/>
        <c:lblOffset val="100"/>
        <c:noMultiLvlLbl val="0"/>
      </c:catAx>
      <c:valAx>
        <c:axId val="206501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422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'单词-句子长度'!$G$79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'单词-句子长度'!$F$80:$F$89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</c:numCache>
            </c:numRef>
          </c:cat>
          <c:val>
            <c:numRef>
              <c:f>'单词-句子长度'!$G$80:$G$89</c:f>
              <c:numCache>
                <c:formatCode>0.0%</c:formatCode>
                <c:ptCount val="10"/>
                <c:pt idx="0">
                  <c:v>0.78153153153153154</c:v>
                </c:pt>
                <c:pt idx="1">
                  <c:v>0.91044776119402981</c:v>
                </c:pt>
                <c:pt idx="2">
                  <c:v>0.92105263157894735</c:v>
                </c:pt>
                <c:pt idx="3">
                  <c:v>0.89655172413793105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7-8F41-A130-AE3ED741D016}"/>
            </c:ext>
          </c:extLst>
        </c:ser>
        <c:ser>
          <c:idx val="1"/>
          <c:order val="1"/>
          <c:tx>
            <c:strRef>
              <c:f>'单词-句子长度'!$H$79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'单词-句子长度'!$F$80:$F$89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</c:numCache>
            </c:numRef>
          </c:cat>
          <c:val>
            <c:numRef>
              <c:f>'单词-句子长度'!$H$80:$H$89</c:f>
              <c:numCache>
                <c:formatCode>0.0%</c:formatCode>
                <c:ptCount val="10"/>
                <c:pt idx="0">
                  <c:v>0.21846846846846846</c:v>
                </c:pt>
                <c:pt idx="1">
                  <c:v>8.9552238805970144E-2</c:v>
                </c:pt>
                <c:pt idx="2">
                  <c:v>7.8947368421052627E-2</c:v>
                </c:pt>
                <c:pt idx="3">
                  <c:v>0.10344827586206896</c:v>
                </c:pt>
                <c:pt idx="4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97-8F41-A130-AE3ED741D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286895"/>
        <c:axId val="1750164239"/>
      </c:lineChart>
      <c:catAx>
        <c:axId val="206528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0164239"/>
        <c:crosses val="autoZero"/>
        <c:auto val="1"/>
        <c:lblAlgn val="ctr"/>
        <c:lblOffset val="100"/>
        <c:noMultiLvlLbl val="0"/>
      </c:catAx>
      <c:valAx>
        <c:axId val="175016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528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'POS-图'!$B$1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'POS-图'!$A$2:$A$11</c:f>
              <c:strCache>
                <c:ptCount val="10"/>
                <c:pt idx="0">
                  <c:v>NOUN</c:v>
                </c:pt>
                <c:pt idx="1">
                  <c:v>ADP</c:v>
                </c:pt>
                <c:pt idx="2">
                  <c:v>VERB</c:v>
                </c:pt>
                <c:pt idx="3">
                  <c:v>ADJ</c:v>
                </c:pt>
                <c:pt idx="4">
                  <c:v>ADV</c:v>
                </c:pt>
                <c:pt idx="5">
                  <c:v>PRON</c:v>
                </c:pt>
                <c:pt idx="6">
                  <c:v>NUM</c:v>
                </c:pt>
                <c:pt idx="7">
                  <c:v>PROPN</c:v>
                </c:pt>
                <c:pt idx="8">
                  <c:v>AUX</c:v>
                </c:pt>
                <c:pt idx="9">
                  <c:v>PART</c:v>
                </c:pt>
              </c:strCache>
            </c:strRef>
          </c:cat>
          <c:val>
            <c:numRef>
              <c:f>'POS-图'!$B$2:$B$11</c:f>
              <c:numCache>
                <c:formatCode>General</c:formatCode>
                <c:ptCount val="10"/>
                <c:pt idx="0">
                  <c:v>483</c:v>
                </c:pt>
                <c:pt idx="1">
                  <c:v>67</c:v>
                </c:pt>
                <c:pt idx="2">
                  <c:v>53</c:v>
                </c:pt>
                <c:pt idx="3">
                  <c:v>37</c:v>
                </c:pt>
                <c:pt idx="4">
                  <c:v>31</c:v>
                </c:pt>
                <c:pt idx="5">
                  <c:v>27</c:v>
                </c:pt>
                <c:pt idx="6">
                  <c:v>8</c:v>
                </c:pt>
                <c:pt idx="7">
                  <c:v>8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B-AF49-85C5-B9C3E777FB22}"/>
            </c:ext>
          </c:extLst>
        </c:ser>
        <c:ser>
          <c:idx val="1"/>
          <c:order val="1"/>
          <c:tx>
            <c:strRef>
              <c:f>'POS-图'!$C$1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'POS-图'!$A$2:$A$11</c:f>
              <c:strCache>
                <c:ptCount val="10"/>
                <c:pt idx="0">
                  <c:v>NOUN</c:v>
                </c:pt>
                <c:pt idx="1">
                  <c:v>ADP</c:v>
                </c:pt>
                <c:pt idx="2">
                  <c:v>VERB</c:v>
                </c:pt>
                <c:pt idx="3">
                  <c:v>ADJ</c:v>
                </c:pt>
                <c:pt idx="4">
                  <c:v>ADV</c:v>
                </c:pt>
                <c:pt idx="5">
                  <c:v>PRON</c:v>
                </c:pt>
                <c:pt idx="6">
                  <c:v>NUM</c:v>
                </c:pt>
                <c:pt idx="7">
                  <c:v>PROPN</c:v>
                </c:pt>
                <c:pt idx="8">
                  <c:v>AUX</c:v>
                </c:pt>
                <c:pt idx="9">
                  <c:v>PART</c:v>
                </c:pt>
              </c:strCache>
            </c:strRef>
          </c:cat>
          <c:val>
            <c:numRef>
              <c:f>'POS-图'!$C$2:$C$11</c:f>
              <c:numCache>
                <c:formatCode>General</c:formatCode>
                <c:ptCount val="10"/>
                <c:pt idx="0">
                  <c:v>100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4B-AF49-85C5-B9C3E777F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2414559"/>
        <c:axId val="1673248879"/>
      </c:barChart>
      <c:catAx>
        <c:axId val="210241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3248879"/>
        <c:crosses val="autoZero"/>
        <c:auto val="1"/>
        <c:lblAlgn val="ctr"/>
        <c:lblOffset val="100"/>
        <c:noMultiLvlLbl val="0"/>
      </c:catAx>
      <c:valAx>
        <c:axId val="16732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241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5459447618399662"/>
          <c:y val="0.18252524931450767"/>
          <c:w val="3.4568023615106393E-2"/>
          <c:h val="9.6142446550010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'POS-图'!$B$33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'POS-图'!$A$34:$A$43</c:f>
              <c:strCache>
                <c:ptCount val="10"/>
                <c:pt idx="0">
                  <c:v>NUM</c:v>
                </c:pt>
                <c:pt idx="1">
                  <c:v>AUX</c:v>
                </c:pt>
                <c:pt idx="2">
                  <c:v>ADP</c:v>
                </c:pt>
                <c:pt idx="3">
                  <c:v>ADV</c:v>
                </c:pt>
                <c:pt idx="4">
                  <c:v>ADJ</c:v>
                </c:pt>
                <c:pt idx="5">
                  <c:v>VERB</c:v>
                </c:pt>
                <c:pt idx="6">
                  <c:v>NOUN</c:v>
                </c:pt>
                <c:pt idx="7">
                  <c:v>PRON</c:v>
                </c:pt>
                <c:pt idx="8">
                  <c:v>PROPN</c:v>
                </c:pt>
                <c:pt idx="9">
                  <c:v>PART</c:v>
                </c:pt>
              </c:strCache>
            </c:strRef>
          </c:cat>
          <c:val>
            <c:numRef>
              <c:f>'POS-图'!$B$34:$B$43</c:f>
              <c:numCache>
                <c:formatCode>0.0%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0.91800000000000004</c:v>
                </c:pt>
                <c:pt idx="3">
                  <c:v>0.91200000000000003</c:v>
                </c:pt>
                <c:pt idx="4">
                  <c:v>0.88100000000000001</c:v>
                </c:pt>
                <c:pt idx="5">
                  <c:v>0.86899999999999999</c:v>
                </c:pt>
                <c:pt idx="6">
                  <c:v>0.82799999999999996</c:v>
                </c:pt>
                <c:pt idx="7">
                  <c:v>0.81799999999999995</c:v>
                </c:pt>
                <c:pt idx="8">
                  <c:v>0.72699999999999998</c:v>
                </c:pt>
                <c:pt idx="9">
                  <c:v>0.66700000000000004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D-B849-A71E-E38FF64E0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8248624"/>
        <c:axId val="2004976816"/>
      </c:barChart>
      <c:catAx>
        <c:axId val="200824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4976816"/>
        <c:crosses val="autoZero"/>
        <c:auto val="1"/>
        <c:lblAlgn val="ctr"/>
        <c:lblOffset val="100"/>
        <c:noMultiLvlLbl val="0"/>
      </c:catAx>
      <c:valAx>
        <c:axId val="2004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824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'POS-图'!$B$59</c:f>
              <c:strCache>
                <c:ptCount val="1"/>
                <c:pt idx="0">
                  <c:v>mem-idiom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'POS-图'!$A$60:$A$69</c:f>
              <c:strCache>
                <c:ptCount val="10"/>
                <c:pt idx="0">
                  <c:v>NUM</c:v>
                </c:pt>
                <c:pt idx="1">
                  <c:v>AUX</c:v>
                </c:pt>
                <c:pt idx="2">
                  <c:v>ADP</c:v>
                </c:pt>
                <c:pt idx="3">
                  <c:v>ADV</c:v>
                </c:pt>
                <c:pt idx="4">
                  <c:v>ADJ</c:v>
                </c:pt>
                <c:pt idx="5">
                  <c:v>VERB</c:v>
                </c:pt>
                <c:pt idx="6">
                  <c:v>NOUN</c:v>
                </c:pt>
                <c:pt idx="7">
                  <c:v>PRON</c:v>
                </c:pt>
                <c:pt idx="8">
                  <c:v>PROPN</c:v>
                </c:pt>
                <c:pt idx="9">
                  <c:v>PART</c:v>
                </c:pt>
              </c:strCache>
            </c:strRef>
          </c:cat>
          <c:val>
            <c:numRef>
              <c:f>'POS-图'!$B$60:$B$69</c:f>
              <c:numCache>
                <c:formatCode>General</c:formatCode>
                <c:ptCount val="10"/>
                <c:pt idx="0">
                  <c:v>8</c:v>
                </c:pt>
                <c:pt idx="1">
                  <c:v>4</c:v>
                </c:pt>
                <c:pt idx="2">
                  <c:v>67</c:v>
                </c:pt>
                <c:pt idx="3">
                  <c:v>31</c:v>
                </c:pt>
                <c:pt idx="4">
                  <c:v>37</c:v>
                </c:pt>
                <c:pt idx="5">
                  <c:v>53</c:v>
                </c:pt>
                <c:pt idx="6">
                  <c:v>483</c:v>
                </c:pt>
                <c:pt idx="7">
                  <c:v>27</c:v>
                </c:pt>
                <c:pt idx="8">
                  <c:v>8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3-5640-B98A-F916B6F38091}"/>
            </c:ext>
          </c:extLst>
        </c:ser>
        <c:ser>
          <c:idx val="1"/>
          <c:order val="1"/>
          <c:tx>
            <c:strRef>
              <c:f>'POS-图'!$C$59</c:f>
              <c:strCache>
                <c:ptCount val="1"/>
                <c:pt idx="0">
                  <c:v>non-mem-idiom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'POS-图'!$A$60:$A$69</c:f>
              <c:strCache>
                <c:ptCount val="10"/>
                <c:pt idx="0">
                  <c:v>NUM</c:v>
                </c:pt>
                <c:pt idx="1">
                  <c:v>AUX</c:v>
                </c:pt>
                <c:pt idx="2">
                  <c:v>ADP</c:v>
                </c:pt>
                <c:pt idx="3">
                  <c:v>ADV</c:v>
                </c:pt>
                <c:pt idx="4">
                  <c:v>ADJ</c:v>
                </c:pt>
                <c:pt idx="5">
                  <c:v>VERB</c:v>
                </c:pt>
                <c:pt idx="6">
                  <c:v>NOUN</c:v>
                </c:pt>
                <c:pt idx="7">
                  <c:v>PRON</c:v>
                </c:pt>
                <c:pt idx="8">
                  <c:v>PROPN</c:v>
                </c:pt>
                <c:pt idx="9">
                  <c:v>PART</c:v>
                </c:pt>
              </c:strCache>
            </c:strRef>
          </c:cat>
          <c:val>
            <c:numRef>
              <c:f>'POS-图'!$C$60:$C$69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  <c:pt idx="6">
                  <c:v>100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3-5640-B98A-F916B6F38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0630672"/>
        <c:axId val="1925182336"/>
      </c:barChart>
      <c:lineChart>
        <c:grouping val="standard"/>
        <c:varyColors val="0"/>
        <c:ser>
          <c:idx val="2"/>
          <c:order val="2"/>
          <c:tx>
            <c:strRef>
              <c:f>'POS-图'!$D$59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'POS-图'!$A$60:$A$69</c:f>
              <c:strCache>
                <c:ptCount val="10"/>
                <c:pt idx="0">
                  <c:v>NUM</c:v>
                </c:pt>
                <c:pt idx="1">
                  <c:v>AUX</c:v>
                </c:pt>
                <c:pt idx="2">
                  <c:v>ADP</c:v>
                </c:pt>
                <c:pt idx="3">
                  <c:v>ADV</c:v>
                </c:pt>
                <c:pt idx="4">
                  <c:v>ADJ</c:v>
                </c:pt>
                <c:pt idx="5">
                  <c:v>VERB</c:v>
                </c:pt>
                <c:pt idx="6">
                  <c:v>NOUN</c:v>
                </c:pt>
                <c:pt idx="7">
                  <c:v>PRON</c:v>
                </c:pt>
                <c:pt idx="8">
                  <c:v>PROPN</c:v>
                </c:pt>
                <c:pt idx="9">
                  <c:v>PART</c:v>
                </c:pt>
              </c:strCache>
            </c:strRef>
          </c:cat>
          <c:val>
            <c:numRef>
              <c:f>'POS-图'!$D$60:$D$69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0.92</c:v>
                </c:pt>
                <c:pt idx="3">
                  <c:v>0.91</c:v>
                </c:pt>
                <c:pt idx="4">
                  <c:v>0.88</c:v>
                </c:pt>
                <c:pt idx="5">
                  <c:v>0.87</c:v>
                </c:pt>
                <c:pt idx="6">
                  <c:v>0.83</c:v>
                </c:pt>
                <c:pt idx="7">
                  <c:v>0.82</c:v>
                </c:pt>
                <c:pt idx="8">
                  <c:v>0.73</c:v>
                </c:pt>
                <c:pt idx="9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F3-5640-B98A-F916B6F38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4711552"/>
        <c:axId val="2117750608"/>
      </c:lineChart>
      <c:catAx>
        <c:axId val="202063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182336"/>
        <c:crosses val="autoZero"/>
        <c:auto val="1"/>
        <c:lblAlgn val="ctr"/>
        <c:lblOffset val="100"/>
        <c:noMultiLvlLbl val="0"/>
      </c:catAx>
      <c:valAx>
        <c:axId val="192518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0630672"/>
        <c:crosses val="autoZero"/>
        <c:crossBetween val="between"/>
      </c:valAx>
      <c:valAx>
        <c:axId val="2117750608"/>
        <c:scaling>
          <c:orientation val="minMax"/>
          <c:max val="1"/>
          <c:min val="0.65000000000000013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4711552"/>
        <c:crosses val="max"/>
        <c:crossBetween val="between"/>
      </c:valAx>
      <c:catAx>
        <c:axId val="1884711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7750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probabilities_mean_valued!$F$1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probabilities_mean_valued!$E$2:$E$721</c:f>
              <c:numCache>
                <c:formatCode>0.00E+00</c:formatCode>
                <c:ptCount val="720"/>
                <c:pt idx="0">
                  <c:v>3.1199999999999999E-5</c:v>
                </c:pt>
                <c:pt idx="1">
                  <c:v>3.1300000000000002E-5</c:v>
                </c:pt>
                <c:pt idx="2">
                  <c:v>3.1300000000000002E-5</c:v>
                </c:pt>
                <c:pt idx="3">
                  <c:v>3.1300000000000002E-5</c:v>
                </c:pt>
                <c:pt idx="4">
                  <c:v>3.1300000000000002E-5</c:v>
                </c:pt>
                <c:pt idx="5">
                  <c:v>3.1300000000000002E-5</c:v>
                </c:pt>
                <c:pt idx="6">
                  <c:v>3.1300000000000002E-5</c:v>
                </c:pt>
                <c:pt idx="7">
                  <c:v>3.1199999999999999E-5</c:v>
                </c:pt>
                <c:pt idx="8">
                  <c:v>3.1300000000000002E-5</c:v>
                </c:pt>
                <c:pt idx="9">
                  <c:v>3.1300000000000002E-5</c:v>
                </c:pt>
                <c:pt idx="10">
                  <c:v>3.1300000000000002E-5</c:v>
                </c:pt>
                <c:pt idx="11">
                  <c:v>3.1300000000000002E-5</c:v>
                </c:pt>
                <c:pt idx="12">
                  <c:v>3.1300000000000002E-5</c:v>
                </c:pt>
                <c:pt idx="13">
                  <c:v>3.1300000000000002E-5</c:v>
                </c:pt>
                <c:pt idx="14">
                  <c:v>3.1300000000000002E-5</c:v>
                </c:pt>
                <c:pt idx="15">
                  <c:v>3.1300000000000002E-5</c:v>
                </c:pt>
                <c:pt idx="16">
                  <c:v>3.1300000000000002E-5</c:v>
                </c:pt>
                <c:pt idx="17">
                  <c:v>3.1300000000000002E-5</c:v>
                </c:pt>
                <c:pt idx="18">
                  <c:v>3.1300000000000002E-5</c:v>
                </c:pt>
                <c:pt idx="19">
                  <c:v>3.1300000000000002E-5</c:v>
                </c:pt>
                <c:pt idx="20">
                  <c:v>3.1300000000000002E-5</c:v>
                </c:pt>
                <c:pt idx="21">
                  <c:v>3.1300000000000002E-5</c:v>
                </c:pt>
                <c:pt idx="22">
                  <c:v>3.1300000000000002E-5</c:v>
                </c:pt>
                <c:pt idx="23">
                  <c:v>3.1300000000000002E-5</c:v>
                </c:pt>
                <c:pt idx="24">
                  <c:v>3.1199999999999999E-5</c:v>
                </c:pt>
                <c:pt idx="25">
                  <c:v>3.1300000000000002E-5</c:v>
                </c:pt>
                <c:pt idx="26">
                  <c:v>3.1300000000000002E-5</c:v>
                </c:pt>
                <c:pt idx="27">
                  <c:v>3.1300000000000002E-5</c:v>
                </c:pt>
                <c:pt idx="28">
                  <c:v>3.1199999999999999E-5</c:v>
                </c:pt>
                <c:pt idx="29">
                  <c:v>3.1300000000000002E-5</c:v>
                </c:pt>
                <c:pt idx="30">
                  <c:v>3.1300000000000002E-5</c:v>
                </c:pt>
                <c:pt idx="31">
                  <c:v>3.1300000000000002E-5</c:v>
                </c:pt>
                <c:pt idx="32">
                  <c:v>3.1300000000000002E-5</c:v>
                </c:pt>
                <c:pt idx="33">
                  <c:v>3.1300000000000002E-5</c:v>
                </c:pt>
                <c:pt idx="34">
                  <c:v>3.1300000000000002E-5</c:v>
                </c:pt>
                <c:pt idx="35">
                  <c:v>3.1300000000000002E-5</c:v>
                </c:pt>
                <c:pt idx="36">
                  <c:v>3.1300000000000002E-5</c:v>
                </c:pt>
                <c:pt idx="37">
                  <c:v>3.1199999999999999E-5</c:v>
                </c:pt>
                <c:pt idx="38">
                  <c:v>3.1300000000000002E-5</c:v>
                </c:pt>
                <c:pt idx="39">
                  <c:v>3.1300000000000002E-5</c:v>
                </c:pt>
                <c:pt idx="40">
                  <c:v>3.1300000000000002E-5</c:v>
                </c:pt>
                <c:pt idx="41">
                  <c:v>3.1300000000000002E-5</c:v>
                </c:pt>
                <c:pt idx="42">
                  <c:v>3.1300000000000002E-5</c:v>
                </c:pt>
                <c:pt idx="43">
                  <c:v>3.1300000000000002E-5</c:v>
                </c:pt>
                <c:pt idx="44">
                  <c:v>3.1300000000000002E-5</c:v>
                </c:pt>
                <c:pt idx="45">
                  <c:v>3.1300000000000002E-5</c:v>
                </c:pt>
                <c:pt idx="46">
                  <c:v>3.1300000000000002E-5</c:v>
                </c:pt>
                <c:pt idx="47">
                  <c:v>3.1300000000000002E-5</c:v>
                </c:pt>
                <c:pt idx="48">
                  <c:v>3.1199999999999999E-5</c:v>
                </c:pt>
                <c:pt idx="49">
                  <c:v>3.1300000000000002E-5</c:v>
                </c:pt>
                <c:pt idx="50">
                  <c:v>3.1199999999999999E-5</c:v>
                </c:pt>
                <c:pt idx="51">
                  <c:v>3.1300000000000002E-5</c:v>
                </c:pt>
                <c:pt idx="52">
                  <c:v>3.1300000000000002E-5</c:v>
                </c:pt>
                <c:pt idx="53">
                  <c:v>3.1300000000000002E-5</c:v>
                </c:pt>
                <c:pt idx="54">
                  <c:v>3.1300000000000002E-5</c:v>
                </c:pt>
                <c:pt idx="55">
                  <c:v>3.1300000000000002E-5</c:v>
                </c:pt>
                <c:pt idx="56">
                  <c:v>3.1300000000000002E-5</c:v>
                </c:pt>
                <c:pt idx="57">
                  <c:v>3.1300000000000002E-5</c:v>
                </c:pt>
                <c:pt idx="58">
                  <c:v>3.1300000000000002E-5</c:v>
                </c:pt>
                <c:pt idx="59">
                  <c:v>3.1300000000000002E-5</c:v>
                </c:pt>
                <c:pt idx="60">
                  <c:v>3.1300000000000002E-5</c:v>
                </c:pt>
                <c:pt idx="61">
                  <c:v>3.1199999999999999E-5</c:v>
                </c:pt>
                <c:pt idx="62">
                  <c:v>3.1300000000000002E-5</c:v>
                </c:pt>
                <c:pt idx="63">
                  <c:v>3.1300000000000002E-5</c:v>
                </c:pt>
                <c:pt idx="64">
                  <c:v>3.1300000000000002E-5</c:v>
                </c:pt>
                <c:pt idx="65">
                  <c:v>3.1199999999999999E-5</c:v>
                </c:pt>
                <c:pt idx="66">
                  <c:v>3.1199999999999999E-5</c:v>
                </c:pt>
                <c:pt idx="67">
                  <c:v>3.1199999999999999E-5</c:v>
                </c:pt>
                <c:pt idx="68">
                  <c:v>3.1300000000000002E-5</c:v>
                </c:pt>
                <c:pt idx="69">
                  <c:v>3.1300000000000002E-5</c:v>
                </c:pt>
                <c:pt idx="70">
                  <c:v>3.1300000000000002E-5</c:v>
                </c:pt>
                <c:pt idx="71">
                  <c:v>3.1199999999999999E-5</c:v>
                </c:pt>
                <c:pt idx="72">
                  <c:v>3.1300000000000002E-5</c:v>
                </c:pt>
                <c:pt idx="73">
                  <c:v>3.1300000000000002E-5</c:v>
                </c:pt>
                <c:pt idx="74">
                  <c:v>3.1300000000000002E-5</c:v>
                </c:pt>
                <c:pt idx="75">
                  <c:v>3.1300000000000002E-5</c:v>
                </c:pt>
                <c:pt idx="76">
                  <c:v>3.1199999999999999E-5</c:v>
                </c:pt>
                <c:pt idx="77">
                  <c:v>3.1300000000000002E-5</c:v>
                </c:pt>
                <c:pt idx="78">
                  <c:v>3.1199999999999999E-5</c:v>
                </c:pt>
                <c:pt idx="79">
                  <c:v>3.1300000000000002E-5</c:v>
                </c:pt>
                <c:pt idx="80">
                  <c:v>3.1300000000000002E-5</c:v>
                </c:pt>
                <c:pt idx="81">
                  <c:v>3.1300000000000002E-5</c:v>
                </c:pt>
                <c:pt idx="82">
                  <c:v>3.1300000000000002E-5</c:v>
                </c:pt>
                <c:pt idx="83">
                  <c:v>3.1300000000000002E-5</c:v>
                </c:pt>
                <c:pt idx="84">
                  <c:v>3.1300000000000002E-5</c:v>
                </c:pt>
                <c:pt idx="85">
                  <c:v>3.1300000000000002E-5</c:v>
                </c:pt>
                <c:pt idx="86">
                  <c:v>3.1300000000000002E-5</c:v>
                </c:pt>
                <c:pt idx="87">
                  <c:v>3.1199999999999999E-5</c:v>
                </c:pt>
                <c:pt idx="88">
                  <c:v>3.1199999999999999E-5</c:v>
                </c:pt>
                <c:pt idx="89">
                  <c:v>3.1199999999999999E-5</c:v>
                </c:pt>
                <c:pt idx="90">
                  <c:v>3.1300000000000002E-5</c:v>
                </c:pt>
                <c:pt idx="91">
                  <c:v>3.1300000000000002E-5</c:v>
                </c:pt>
                <c:pt idx="92">
                  <c:v>3.1199999999999999E-5</c:v>
                </c:pt>
                <c:pt idx="93">
                  <c:v>3.1199999999999999E-5</c:v>
                </c:pt>
                <c:pt idx="94">
                  <c:v>3.1300000000000002E-5</c:v>
                </c:pt>
                <c:pt idx="95">
                  <c:v>3.1300000000000002E-5</c:v>
                </c:pt>
                <c:pt idx="96">
                  <c:v>3.1199999999999999E-5</c:v>
                </c:pt>
                <c:pt idx="97">
                  <c:v>3.1300000000000002E-5</c:v>
                </c:pt>
                <c:pt idx="98">
                  <c:v>3.1199999999999999E-5</c:v>
                </c:pt>
                <c:pt idx="99">
                  <c:v>3.1300000000000002E-5</c:v>
                </c:pt>
                <c:pt idx="100">
                  <c:v>3.1199999999999999E-5</c:v>
                </c:pt>
                <c:pt idx="101">
                  <c:v>3.1300000000000002E-5</c:v>
                </c:pt>
                <c:pt idx="102">
                  <c:v>3.1300000000000002E-5</c:v>
                </c:pt>
                <c:pt idx="103">
                  <c:v>3.1199999999999999E-5</c:v>
                </c:pt>
                <c:pt idx="104">
                  <c:v>3.1199999999999999E-5</c:v>
                </c:pt>
                <c:pt idx="105">
                  <c:v>3.1300000000000002E-5</c:v>
                </c:pt>
                <c:pt idx="106">
                  <c:v>3.1300000000000002E-5</c:v>
                </c:pt>
                <c:pt idx="107">
                  <c:v>3.1300000000000002E-5</c:v>
                </c:pt>
                <c:pt idx="108">
                  <c:v>3.1300000000000002E-5</c:v>
                </c:pt>
                <c:pt idx="109">
                  <c:v>3.1300000000000002E-5</c:v>
                </c:pt>
                <c:pt idx="110">
                  <c:v>3.1199999999999999E-5</c:v>
                </c:pt>
                <c:pt idx="111">
                  <c:v>3.1300000000000002E-5</c:v>
                </c:pt>
                <c:pt idx="112">
                  <c:v>3.1300000000000002E-5</c:v>
                </c:pt>
                <c:pt idx="113">
                  <c:v>3.1300000000000002E-5</c:v>
                </c:pt>
                <c:pt idx="114">
                  <c:v>3.1300000000000002E-5</c:v>
                </c:pt>
                <c:pt idx="115">
                  <c:v>3.1300000000000002E-5</c:v>
                </c:pt>
                <c:pt idx="116">
                  <c:v>3.1300000000000002E-5</c:v>
                </c:pt>
                <c:pt idx="117">
                  <c:v>3.1199999999999999E-5</c:v>
                </c:pt>
                <c:pt idx="118">
                  <c:v>3.1199999999999999E-5</c:v>
                </c:pt>
                <c:pt idx="119">
                  <c:v>3.1300000000000002E-5</c:v>
                </c:pt>
                <c:pt idx="120">
                  <c:v>3.1300000000000002E-5</c:v>
                </c:pt>
                <c:pt idx="121">
                  <c:v>3.1300000000000002E-5</c:v>
                </c:pt>
                <c:pt idx="122">
                  <c:v>3.1300000000000002E-5</c:v>
                </c:pt>
                <c:pt idx="123">
                  <c:v>3.1300000000000002E-5</c:v>
                </c:pt>
                <c:pt idx="124">
                  <c:v>3.1300000000000002E-5</c:v>
                </c:pt>
                <c:pt idx="125">
                  <c:v>3.1300000000000002E-5</c:v>
                </c:pt>
                <c:pt idx="126">
                  <c:v>3.1300000000000002E-5</c:v>
                </c:pt>
                <c:pt idx="127">
                  <c:v>3.1300000000000002E-5</c:v>
                </c:pt>
                <c:pt idx="128">
                  <c:v>3.1300000000000002E-5</c:v>
                </c:pt>
                <c:pt idx="129">
                  <c:v>3.1300000000000002E-5</c:v>
                </c:pt>
                <c:pt idx="130">
                  <c:v>3.1300000000000002E-5</c:v>
                </c:pt>
                <c:pt idx="131">
                  <c:v>3.1199999999999999E-5</c:v>
                </c:pt>
                <c:pt idx="132">
                  <c:v>3.1300000000000002E-5</c:v>
                </c:pt>
                <c:pt idx="133">
                  <c:v>3.1300000000000002E-5</c:v>
                </c:pt>
                <c:pt idx="134">
                  <c:v>3.1300000000000002E-5</c:v>
                </c:pt>
                <c:pt idx="135">
                  <c:v>3.1300000000000002E-5</c:v>
                </c:pt>
                <c:pt idx="136">
                  <c:v>3.1300000000000002E-5</c:v>
                </c:pt>
                <c:pt idx="137">
                  <c:v>3.1300000000000002E-5</c:v>
                </c:pt>
                <c:pt idx="138">
                  <c:v>3.1300000000000002E-5</c:v>
                </c:pt>
                <c:pt idx="139">
                  <c:v>3.1199999999999999E-5</c:v>
                </c:pt>
                <c:pt idx="140">
                  <c:v>3.1300000000000002E-5</c:v>
                </c:pt>
                <c:pt idx="141">
                  <c:v>3.1300000000000002E-5</c:v>
                </c:pt>
                <c:pt idx="142">
                  <c:v>3.1300000000000002E-5</c:v>
                </c:pt>
                <c:pt idx="143">
                  <c:v>3.1300000000000002E-5</c:v>
                </c:pt>
                <c:pt idx="144">
                  <c:v>3.1300000000000002E-5</c:v>
                </c:pt>
                <c:pt idx="145">
                  <c:v>3.1300000000000002E-5</c:v>
                </c:pt>
                <c:pt idx="146">
                  <c:v>3.1300000000000002E-5</c:v>
                </c:pt>
                <c:pt idx="147">
                  <c:v>3.1199999999999999E-5</c:v>
                </c:pt>
                <c:pt idx="148">
                  <c:v>3.1300000000000002E-5</c:v>
                </c:pt>
                <c:pt idx="149">
                  <c:v>3.1199999999999999E-5</c:v>
                </c:pt>
                <c:pt idx="150">
                  <c:v>3.1300000000000002E-5</c:v>
                </c:pt>
                <c:pt idx="151">
                  <c:v>3.1300000000000002E-5</c:v>
                </c:pt>
                <c:pt idx="152">
                  <c:v>3.1199999999999999E-5</c:v>
                </c:pt>
                <c:pt idx="153">
                  <c:v>3.1300000000000002E-5</c:v>
                </c:pt>
                <c:pt idx="154">
                  <c:v>3.1300000000000002E-5</c:v>
                </c:pt>
                <c:pt idx="155">
                  <c:v>3.1300000000000002E-5</c:v>
                </c:pt>
                <c:pt idx="156">
                  <c:v>3.1300000000000002E-5</c:v>
                </c:pt>
                <c:pt idx="157">
                  <c:v>3.1300000000000002E-5</c:v>
                </c:pt>
                <c:pt idx="158">
                  <c:v>3.1300000000000002E-5</c:v>
                </c:pt>
                <c:pt idx="159">
                  <c:v>3.1300000000000002E-5</c:v>
                </c:pt>
                <c:pt idx="160">
                  <c:v>3.1300000000000002E-5</c:v>
                </c:pt>
                <c:pt idx="161">
                  <c:v>3.1300000000000002E-5</c:v>
                </c:pt>
                <c:pt idx="162">
                  <c:v>3.1199999999999999E-5</c:v>
                </c:pt>
                <c:pt idx="163">
                  <c:v>3.1300000000000002E-5</c:v>
                </c:pt>
                <c:pt idx="164">
                  <c:v>3.1300000000000002E-5</c:v>
                </c:pt>
                <c:pt idx="165">
                  <c:v>3.1300000000000002E-5</c:v>
                </c:pt>
                <c:pt idx="166">
                  <c:v>3.1300000000000002E-5</c:v>
                </c:pt>
                <c:pt idx="167">
                  <c:v>3.1300000000000002E-5</c:v>
                </c:pt>
                <c:pt idx="168">
                  <c:v>3.1300000000000002E-5</c:v>
                </c:pt>
                <c:pt idx="169">
                  <c:v>3.1300000000000002E-5</c:v>
                </c:pt>
                <c:pt idx="170">
                  <c:v>3.1300000000000002E-5</c:v>
                </c:pt>
                <c:pt idx="171">
                  <c:v>3.1300000000000002E-5</c:v>
                </c:pt>
                <c:pt idx="172">
                  <c:v>3.1300000000000002E-5</c:v>
                </c:pt>
                <c:pt idx="173">
                  <c:v>3.1300000000000002E-5</c:v>
                </c:pt>
                <c:pt idx="174">
                  <c:v>3.1300000000000002E-5</c:v>
                </c:pt>
                <c:pt idx="175">
                  <c:v>3.1300000000000002E-5</c:v>
                </c:pt>
                <c:pt idx="176">
                  <c:v>3.1300000000000002E-5</c:v>
                </c:pt>
                <c:pt idx="177">
                  <c:v>3.1300000000000002E-5</c:v>
                </c:pt>
                <c:pt idx="178">
                  <c:v>3.1300000000000002E-5</c:v>
                </c:pt>
                <c:pt idx="179">
                  <c:v>3.1300000000000002E-5</c:v>
                </c:pt>
                <c:pt idx="180">
                  <c:v>3.1300000000000002E-5</c:v>
                </c:pt>
                <c:pt idx="181">
                  <c:v>3.1199999999999999E-5</c:v>
                </c:pt>
                <c:pt idx="182">
                  <c:v>3.1199999999999999E-5</c:v>
                </c:pt>
                <c:pt idx="183">
                  <c:v>3.1199999999999999E-5</c:v>
                </c:pt>
                <c:pt idx="184">
                  <c:v>3.1199999999999999E-5</c:v>
                </c:pt>
                <c:pt idx="185">
                  <c:v>3.1300000000000002E-5</c:v>
                </c:pt>
                <c:pt idx="186">
                  <c:v>3.1300000000000002E-5</c:v>
                </c:pt>
                <c:pt idx="187">
                  <c:v>3.1199999999999999E-5</c:v>
                </c:pt>
                <c:pt idx="188">
                  <c:v>3.1300000000000002E-5</c:v>
                </c:pt>
                <c:pt idx="189">
                  <c:v>3.1300000000000002E-5</c:v>
                </c:pt>
                <c:pt idx="190">
                  <c:v>3.1300000000000002E-5</c:v>
                </c:pt>
                <c:pt idx="191">
                  <c:v>3.1300000000000002E-5</c:v>
                </c:pt>
                <c:pt idx="192">
                  <c:v>3.1300000000000002E-5</c:v>
                </c:pt>
                <c:pt idx="193">
                  <c:v>3.1300000000000002E-5</c:v>
                </c:pt>
                <c:pt idx="194">
                  <c:v>3.1199999999999999E-5</c:v>
                </c:pt>
                <c:pt idx="195">
                  <c:v>3.1300000000000002E-5</c:v>
                </c:pt>
                <c:pt idx="196">
                  <c:v>3.1300000000000002E-5</c:v>
                </c:pt>
                <c:pt idx="197">
                  <c:v>3.1199999999999999E-5</c:v>
                </c:pt>
                <c:pt idx="198">
                  <c:v>3.1300000000000002E-5</c:v>
                </c:pt>
                <c:pt idx="199">
                  <c:v>3.1199999999999999E-5</c:v>
                </c:pt>
                <c:pt idx="200">
                  <c:v>3.1300000000000002E-5</c:v>
                </c:pt>
                <c:pt idx="201">
                  <c:v>3.1300000000000002E-5</c:v>
                </c:pt>
                <c:pt idx="202">
                  <c:v>3.1199999999999999E-5</c:v>
                </c:pt>
                <c:pt idx="203">
                  <c:v>3.1300000000000002E-5</c:v>
                </c:pt>
                <c:pt idx="204">
                  <c:v>3.1300000000000002E-5</c:v>
                </c:pt>
                <c:pt idx="205">
                  <c:v>3.1300000000000002E-5</c:v>
                </c:pt>
                <c:pt idx="206">
                  <c:v>3.1300000000000002E-5</c:v>
                </c:pt>
                <c:pt idx="207">
                  <c:v>3.1300000000000002E-5</c:v>
                </c:pt>
                <c:pt idx="208">
                  <c:v>3.1199999999999999E-5</c:v>
                </c:pt>
                <c:pt idx="209">
                  <c:v>3.1199999999999999E-5</c:v>
                </c:pt>
                <c:pt idx="210">
                  <c:v>3.1300000000000002E-5</c:v>
                </c:pt>
                <c:pt idx="211">
                  <c:v>3.1300000000000002E-5</c:v>
                </c:pt>
                <c:pt idx="212">
                  <c:v>3.1300000000000002E-5</c:v>
                </c:pt>
                <c:pt idx="213">
                  <c:v>3.1300000000000002E-5</c:v>
                </c:pt>
                <c:pt idx="214">
                  <c:v>3.1199999999999999E-5</c:v>
                </c:pt>
                <c:pt idx="215">
                  <c:v>3.1300000000000002E-5</c:v>
                </c:pt>
                <c:pt idx="216">
                  <c:v>3.1300000000000002E-5</c:v>
                </c:pt>
                <c:pt idx="217">
                  <c:v>3.1300000000000002E-5</c:v>
                </c:pt>
                <c:pt idx="218">
                  <c:v>3.1300000000000002E-5</c:v>
                </c:pt>
                <c:pt idx="219">
                  <c:v>3.1300000000000002E-5</c:v>
                </c:pt>
                <c:pt idx="220">
                  <c:v>3.1300000000000002E-5</c:v>
                </c:pt>
                <c:pt idx="221">
                  <c:v>3.1300000000000002E-5</c:v>
                </c:pt>
                <c:pt idx="222">
                  <c:v>3.1300000000000002E-5</c:v>
                </c:pt>
                <c:pt idx="223">
                  <c:v>3.1300000000000002E-5</c:v>
                </c:pt>
                <c:pt idx="224">
                  <c:v>3.1199999999999999E-5</c:v>
                </c:pt>
                <c:pt idx="225">
                  <c:v>3.1300000000000002E-5</c:v>
                </c:pt>
                <c:pt idx="226">
                  <c:v>3.1199999999999999E-5</c:v>
                </c:pt>
                <c:pt idx="227">
                  <c:v>3.1199999999999999E-5</c:v>
                </c:pt>
                <c:pt idx="228">
                  <c:v>3.1300000000000002E-5</c:v>
                </c:pt>
                <c:pt idx="229">
                  <c:v>3.1300000000000002E-5</c:v>
                </c:pt>
                <c:pt idx="230">
                  <c:v>3.1199999999999999E-5</c:v>
                </c:pt>
                <c:pt idx="231">
                  <c:v>3.1300000000000002E-5</c:v>
                </c:pt>
                <c:pt idx="232">
                  <c:v>3.1300000000000002E-5</c:v>
                </c:pt>
                <c:pt idx="233">
                  <c:v>3.1199999999999999E-5</c:v>
                </c:pt>
                <c:pt idx="234">
                  <c:v>3.1300000000000002E-5</c:v>
                </c:pt>
                <c:pt idx="235">
                  <c:v>3.1300000000000002E-5</c:v>
                </c:pt>
                <c:pt idx="236">
                  <c:v>3.1199999999999999E-5</c:v>
                </c:pt>
                <c:pt idx="237">
                  <c:v>3.1300000000000002E-5</c:v>
                </c:pt>
                <c:pt idx="238">
                  <c:v>3.1300000000000002E-5</c:v>
                </c:pt>
                <c:pt idx="239">
                  <c:v>3.1300000000000002E-5</c:v>
                </c:pt>
                <c:pt idx="240">
                  <c:v>3.1300000000000002E-5</c:v>
                </c:pt>
                <c:pt idx="241">
                  <c:v>3.1300000000000002E-5</c:v>
                </c:pt>
                <c:pt idx="242">
                  <c:v>3.1300000000000002E-5</c:v>
                </c:pt>
                <c:pt idx="243">
                  <c:v>3.1300000000000002E-5</c:v>
                </c:pt>
                <c:pt idx="244">
                  <c:v>3.1300000000000002E-5</c:v>
                </c:pt>
                <c:pt idx="245">
                  <c:v>3.1300000000000002E-5</c:v>
                </c:pt>
                <c:pt idx="246">
                  <c:v>3.1300000000000002E-5</c:v>
                </c:pt>
                <c:pt idx="247">
                  <c:v>3.1300000000000002E-5</c:v>
                </c:pt>
                <c:pt idx="248">
                  <c:v>3.1300000000000002E-5</c:v>
                </c:pt>
                <c:pt idx="249">
                  <c:v>3.1300000000000002E-5</c:v>
                </c:pt>
                <c:pt idx="250">
                  <c:v>3.1199999999999999E-5</c:v>
                </c:pt>
                <c:pt idx="251">
                  <c:v>3.1300000000000002E-5</c:v>
                </c:pt>
                <c:pt idx="252">
                  <c:v>3.1300000000000002E-5</c:v>
                </c:pt>
                <c:pt idx="253">
                  <c:v>3.1300000000000002E-5</c:v>
                </c:pt>
                <c:pt idx="254">
                  <c:v>3.1300000000000002E-5</c:v>
                </c:pt>
                <c:pt idx="255">
                  <c:v>3.1300000000000002E-5</c:v>
                </c:pt>
                <c:pt idx="256">
                  <c:v>3.1300000000000002E-5</c:v>
                </c:pt>
                <c:pt idx="257">
                  <c:v>3.1300000000000002E-5</c:v>
                </c:pt>
                <c:pt idx="258">
                  <c:v>3.1300000000000002E-5</c:v>
                </c:pt>
                <c:pt idx="259">
                  <c:v>3.1300000000000002E-5</c:v>
                </c:pt>
                <c:pt idx="260">
                  <c:v>3.1300000000000002E-5</c:v>
                </c:pt>
                <c:pt idx="261">
                  <c:v>3.1300000000000002E-5</c:v>
                </c:pt>
                <c:pt idx="262">
                  <c:v>3.1300000000000002E-5</c:v>
                </c:pt>
                <c:pt idx="263">
                  <c:v>3.1300000000000002E-5</c:v>
                </c:pt>
                <c:pt idx="264">
                  <c:v>3.1300000000000002E-5</c:v>
                </c:pt>
                <c:pt idx="265">
                  <c:v>3.1300000000000002E-5</c:v>
                </c:pt>
                <c:pt idx="266">
                  <c:v>3.1300000000000002E-5</c:v>
                </c:pt>
                <c:pt idx="267">
                  <c:v>3.1300000000000002E-5</c:v>
                </c:pt>
                <c:pt idx="268">
                  <c:v>3.1199999999999999E-5</c:v>
                </c:pt>
                <c:pt idx="269">
                  <c:v>3.1300000000000002E-5</c:v>
                </c:pt>
                <c:pt idx="270">
                  <c:v>3.1300000000000002E-5</c:v>
                </c:pt>
                <c:pt idx="271">
                  <c:v>3.1300000000000002E-5</c:v>
                </c:pt>
                <c:pt idx="272">
                  <c:v>3.1300000000000002E-5</c:v>
                </c:pt>
                <c:pt idx="273">
                  <c:v>3.1199999999999999E-5</c:v>
                </c:pt>
                <c:pt idx="274">
                  <c:v>3.1300000000000002E-5</c:v>
                </c:pt>
                <c:pt idx="275">
                  <c:v>3.1300000000000002E-5</c:v>
                </c:pt>
                <c:pt idx="276">
                  <c:v>3.1300000000000002E-5</c:v>
                </c:pt>
                <c:pt idx="277">
                  <c:v>3.1300000000000002E-5</c:v>
                </c:pt>
                <c:pt idx="278">
                  <c:v>3.1199999999999999E-5</c:v>
                </c:pt>
                <c:pt idx="279">
                  <c:v>3.1300000000000002E-5</c:v>
                </c:pt>
                <c:pt idx="280">
                  <c:v>3.1300000000000002E-5</c:v>
                </c:pt>
                <c:pt idx="281">
                  <c:v>3.1199999999999999E-5</c:v>
                </c:pt>
                <c:pt idx="282">
                  <c:v>3.1300000000000002E-5</c:v>
                </c:pt>
                <c:pt idx="283">
                  <c:v>3.1300000000000002E-5</c:v>
                </c:pt>
                <c:pt idx="284">
                  <c:v>3.1300000000000002E-5</c:v>
                </c:pt>
                <c:pt idx="285">
                  <c:v>3.1300000000000002E-5</c:v>
                </c:pt>
                <c:pt idx="286">
                  <c:v>3.1300000000000002E-5</c:v>
                </c:pt>
                <c:pt idx="287">
                  <c:v>3.1300000000000002E-5</c:v>
                </c:pt>
                <c:pt idx="288">
                  <c:v>3.1300000000000002E-5</c:v>
                </c:pt>
                <c:pt idx="289">
                  <c:v>3.1300000000000002E-5</c:v>
                </c:pt>
                <c:pt idx="290">
                  <c:v>3.1300000000000002E-5</c:v>
                </c:pt>
                <c:pt idx="291">
                  <c:v>3.1300000000000002E-5</c:v>
                </c:pt>
                <c:pt idx="292">
                  <c:v>3.1300000000000002E-5</c:v>
                </c:pt>
                <c:pt idx="293">
                  <c:v>3.1300000000000002E-5</c:v>
                </c:pt>
                <c:pt idx="294">
                  <c:v>3.1300000000000002E-5</c:v>
                </c:pt>
                <c:pt idx="295">
                  <c:v>3.1300000000000002E-5</c:v>
                </c:pt>
                <c:pt idx="296">
                  <c:v>3.1300000000000002E-5</c:v>
                </c:pt>
                <c:pt idx="297">
                  <c:v>3.1199999999999999E-5</c:v>
                </c:pt>
                <c:pt idx="298">
                  <c:v>3.1300000000000002E-5</c:v>
                </c:pt>
                <c:pt idx="299">
                  <c:v>3.1300000000000002E-5</c:v>
                </c:pt>
                <c:pt idx="300">
                  <c:v>3.1300000000000002E-5</c:v>
                </c:pt>
                <c:pt idx="301">
                  <c:v>3.1199999999999999E-5</c:v>
                </c:pt>
                <c:pt idx="302">
                  <c:v>3.1199999999999999E-5</c:v>
                </c:pt>
                <c:pt idx="303">
                  <c:v>3.1199999999999999E-5</c:v>
                </c:pt>
                <c:pt idx="304">
                  <c:v>3.1300000000000002E-5</c:v>
                </c:pt>
                <c:pt idx="305">
                  <c:v>3.1300000000000002E-5</c:v>
                </c:pt>
                <c:pt idx="306">
                  <c:v>3.1300000000000002E-5</c:v>
                </c:pt>
                <c:pt idx="307">
                  <c:v>3.1300000000000002E-5</c:v>
                </c:pt>
                <c:pt idx="308">
                  <c:v>3.1300000000000002E-5</c:v>
                </c:pt>
                <c:pt idx="309">
                  <c:v>3.1300000000000002E-5</c:v>
                </c:pt>
                <c:pt idx="310">
                  <c:v>3.1300000000000002E-5</c:v>
                </c:pt>
                <c:pt idx="311">
                  <c:v>3.1300000000000002E-5</c:v>
                </c:pt>
                <c:pt idx="312">
                  <c:v>3.1300000000000002E-5</c:v>
                </c:pt>
                <c:pt idx="313">
                  <c:v>3.1300000000000002E-5</c:v>
                </c:pt>
                <c:pt idx="314">
                  <c:v>3.1300000000000002E-5</c:v>
                </c:pt>
                <c:pt idx="315">
                  <c:v>3.1300000000000002E-5</c:v>
                </c:pt>
                <c:pt idx="316">
                  <c:v>3.1300000000000002E-5</c:v>
                </c:pt>
                <c:pt idx="317">
                  <c:v>3.1300000000000002E-5</c:v>
                </c:pt>
                <c:pt idx="318">
                  <c:v>3.1300000000000002E-5</c:v>
                </c:pt>
                <c:pt idx="319">
                  <c:v>3.1300000000000002E-5</c:v>
                </c:pt>
                <c:pt idx="320">
                  <c:v>3.1300000000000002E-5</c:v>
                </c:pt>
                <c:pt idx="321">
                  <c:v>3.1300000000000002E-5</c:v>
                </c:pt>
                <c:pt idx="322">
                  <c:v>3.1300000000000002E-5</c:v>
                </c:pt>
                <c:pt idx="323">
                  <c:v>3.1199999999999999E-5</c:v>
                </c:pt>
                <c:pt idx="324">
                  <c:v>3.1300000000000002E-5</c:v>
                </c:pt>
                <c:pt idx="325">
                  <c:v>3.1300000000000002E-5</c:v>
                </c:pt>
                <c:pt idx="326">
                  <c:v>3.1199999999999999E-5</c:v>
                </c:pt>
                <c:pt idx="327">
                  <c:v>3.1300000000000002E-5</c:v>
                </c:pt>
                <c:pt idx="328">
                  <c:v>3.1300000000000002E-5</c:v>
                </c:pt>
                <c:pt idx="329">
                  <c:v>3.1300000000000002E-5</c:v>
                </c:pt>
                <c:pt idx="330">
                  <c:v>3.1199999999999999E-5</c:v>
                </c:pt>
                <c:pt idx="331">
                  <c:v>3.1199999999999999E-5</c:v>
                </c:pt>
                <c:pt idx="332">
                  <c:v>3.1300000000000002E-5</c:v>
                </c:pt>
                <c:pt idx="333">
                  <c:v>3.1300000000000002E-5</c:v>
                </c:pt>
                <c:pt idx="334">
                  <c:v>3.1300000000000002E-5</c:v>
                </c:pt>
                <c:pt idx="335">
                  <c:v>3.1300000000000002E-5</c:v>
                </c:pt>
                <c:pt idx="336">
                  <c:v>3.1300000000000002E-5</c:v>
                </c:pt>
                <c:pt idx="337">
                  <c:v>3.1300000000000002E-5</c:v>
                </c:pt>
                <c:pt idx="338">
                  <c:v>3.1300000000000002E-5</c:v>
                </c:pt>
                <c:pt idx="339">
                  <c:v>3.1300000000000002E-5</c:v>
                </c:pt>
                <c:pt idx="340">
                  <c:v>3.1300000000000002E-5</c:v>
                </c:pt>
                <c:pt idx="341">
                  <c:v>3.1300000000000002E-5</c:v>
                </c:pt>
                <c:pt idx="342">
                  <c:v>3.1300000000000002E-5</c:v>
                </c:pt>
                <c:pt idx="343">
                  <c:v>3.1300000000000002E-5</c:v>
                </c:pt>
                <c:pt idx="344">
                  <c:v>3.1199999999999999E-5</c:v>
                </c:pt>
                <c:pt idx="345">
                  <c:v>3.1300000000000002E-5</c:v>
                </c:pt>
                <c:pt idx="346">
                  <c:v>3.1300000000000002E-5</c:v>
                </c:pt>
                <c:pt idx="347">
                  <c:v>3.1300000000000002E-5</c:v>
                </c:pt>
                <c:pt idx="348">
                  <c:v>3.1300000000000002E-5</c:v>
                </c:pt>
                <c:pt idx="349">
                  <c:v>3.1300000000000002E-5</c:v>
                </c:pt>
                <c:pt idx="350">
                  <c:v>3.1300000000000002E-5</c:v>
                </c:pt>
                <c:pt idx="351">
                  <c:v>3.1300000000000002E-5</c:v>
                </c:pt>
                <c:pt idx="352">
                  <c:v>3.1300000000000002E-5</c:v>
                </c:pt>
                <c:pt idx="353">
                  <c:v>3.1300000000000002E-5</c:v>
                </c:pt>
                <c:pt idx="354">
                  <c:v>3.1199999999999999E-5</c:v>
                </c:pt>
                <c:pt idx="355">
                  <c:v>3.1300000000000002E-5</c:v>
                </c:pt>
                <c:pt idx="356">
                  <c:v>3.1199999999999999E-5</c:v>
                </c:pt>
                <c:pt idx="357">
                  <c:v>3.1300000000000002E-5</c:v>
                </c:pt>
                <c:pt idx="358">
                  <c:v>3.1199999999999999E-5</c:v>
                </c:pt>
                <c:pt idx="359">
                  <c:v>3.1300000000000002E-5</c:v>
                </c:pt>
                <c:pt idx="360">
                  <c:v>3.1300000000000002E-5</c:v>
                </c:pt>
                <c:pt idx="361">
                  <c:v>3.1300000000000002E-5</c:v>
                </c:pt>
                <c:pt idx="362">
                  <c:v>3.1199999999999999E-5</c:v>
                </c:pt>
                <c:pt idx="363">
                  <c:v>3.1300000000000002E-5</c:v>
                </c:pt>
                <c:pt idx="364">
                  <c:v>3.1300000000000002E-5</c:v>
                </c:pt>
                <c:pt idx="365">
                  <c:v>3.1300000000000002E-5</c:v>
                </c:pt>
                <c:pt idx="366">
                  <c:v>3.1300000000000002E-5</c:v>
                </c:pt>
                <c:pt idx="367">
                  <c:v>3.1300000000000002E-5</c:v>
                </c:pt>
                <c:pt idx="368">
                  <c:v>3.1300000000000002E-5</c:v>
                </c:pt>
                <c:pt idx="369">
                  <c:v>3.1300000000000002E-5</c:v>
                </c:pt>
                <c:pt idx="370">
                  <c:v>3.1199999999999999E-5</c:v>
                </c:pt>
                <c:pt idx="371">
                  <c:v>3.1300000000000002E-5</c:v>
                </c:pt>
                <c:pt idx="372">
                  <c:v>3.1199999999999999E-5</c:v>
                </c:pt>
                <c:pt idx="373">
                  <c:v>3.1199999999999999E-5</c:v>
                </c:pt>
                <c:pt idx="374">
                  <c:v>3.1300000000000002E-5</c:v>
                </c:pt>
                <c:pt idx="375">
                  <c:v>3.1199999999999999E-5</c:v>
                </c:pt>
                <c:pt idx="376">
                  <c:v>3.1300000000000002E-5</c:v>
                </c:pt>
                <c:pt idx="377">
                  <c:v>3.1300000000000002E-5</c:v>
                </c:pt>
                <c:pt idx="378">
                  <c:v>3.1199999999999999E-5</c:v>
                </c:pt>
                <c:pt idx="379">
                  <c:v>3.1199999999999999E-5</c:v>
                </c:pt>
                <c:pt idx="380">
                  <c:v>3.1300000000000002E-5</c:v>
                </c:pt>
                <c:pt idx="381">
                  <c:v>3.1199999999999999E-5</c:v>
                </c:pt>
                <c:pt idx="382">
                  <c:v>3.1300000000000002E-5</c:v>
                </c:pt>
                <c:pt idx="383">
                  <c:v>3.1300000000000002E-5</c:v>
                </c:pt>
                <c:pt idx="384">
                  <c:v>3.1300000000000002E-5</c:v>
                </c:pt>
                <c:pt idx="385">
                  <c:v>3.1300000000000002E-5</c:v>
                </c:pt>
                <c:pt idx="386">
                  <c:v>3.1300000000000002E-5</c:v>
                </c:pt>
                <c:pt idx="387">
                  <c:v>3.1199999999999999E-5</c:v>
                </c:pt>
                <c:pt idx="388">
                  <c:v>3.1300000000000002E-5</c:v>
                </c:pt>
                <c:pt idx="389">
                  <c:v>3.1300000000000002E-5</c:v>
                </c:pt>
                <c:pt idx="390">
                  <c:v>3.1300000000000002E-5</c:v>
                </c:pt>
                <c:pt idx="391">
                  <c:v>3.1300000000000002E-5</c:v>
                </c:pt>
                <c:pt idx="392">
                  <c:v>3.1300000000000002E-5</c:v>
                </c:pt>
                <c:pt idx="393">
                  <c:v>3.1300000000000002E-5</c:v>
                </c:pt>
                <c:pt idx="394">
                  <c:v>3.1300000000000002E-5</c:v>
                </c:pt>
                <c:pt idx="395">
                  <c:v>3.1300000000000002E-5</c:v>
                </c:pt>
                <c:pt idx="396">
                  <c:v>3.1300000000000002E-5</c:v>
                </c:pt>
                <c:pt idx="397">
                  <c:v>3.1300000000000002E-5</c:v>
                </c:pt>
                <c:pt idx="398">
                  <c:v>3.1300000000000002E-5</c:v>
                </c:pt>
                <c:pt idx="399">
                  <c:v>3.1300000000000002E-5</c:v>
                </c:pt>
                <c:pt idx="400">
                  <c:v>3.1300000000000002E-5</c:v>
                </c:pt>
                <c:pt idx="401">
                  <c:v>3.1199999999999999E-5</c:v>
                </c:pt>
                <c:pt idx="402">
                  <c:v>3.1300000000000002E-5</c:v>
                </c:pt>
                <c:pt idx="403">
                  <c:v>3.1300000000000002E-5</c:v>
                </c:pt>
                <c:pt idx="404">
                  <c:v>3.1300000000000002E-5</c:v>
                </c:pt>
                <c:pt idx="405">
                  <c:v>3.1300000000000002E-5</c:v>
                </c:pt>
                <c:pt idx="406">
                  <c:v>3.1199999999999999E-5</c:v>
                </c:pt>
                <c:pt idx="407">
                  <c:v>3.1300000000000002E-5</c:v>
                </c:pt>
                <c:pt idx="408">
                  <c:v>3.1300000000000002E-5</c:v>
                </c:pt>
                <c:pt idx="409">
                  <c:v>3.1300000000000002E-5</c:v>
                </c:pt>
                <c:pt idx="410">
                  <c:v>3.1300000000000002E-5</c:v>
                </c:pt>
                <c:pt idx="411">
                  <c:v>3.1300000000000002E-5</c:v>
                </c:pt>
                <c:pt idx="412">
                  <c:v>3.1300000000000002E-5</c:v>
                </c:pt>
                <c:pt idx="413">
                  <c:v>3.1300000000000002E-5</c:v>
                </c:pt>
                <c:pt idx="414">
                  <c:v>3.1300000000000002E-5</c:v>
                </c:pt>
                <c:pt idx="415">
                  <c:v>3.1300000000000002E-5</c:v>
                </c:pt>
                <c:pt idx="416">
                  <c:v>3.1300000000000002E-5</c:v>
                </c:pt>
                <c:pt idx="417">
                  <c:v>3.1300000000000002E-5</c:v>
                </c:pt>
                <c:pt idx="418">
                  <c:v>3.1199999999999999E-5</c:v>
                </c:pt>
                <c:pt idx="419">
                  <c:v>3.1300000000000002E-5</c:v>
                </c:pt>
                <c:pt idx="420">
                  <c:v>3.1300000000000002E-5</c:v>
                </c:pt>
                <c:pt idx="421">
                  <c:v>3.1300000000000002E-5</c:v>
                </c:pt>
                <c:pt idx="422">
                  <c:v>3.1300000000000002E-5</c:v>
                </c:pt>
                <c:pt idx="423">
                  <c:v>3.1300000000000002E-5</c:v>
                </c:pt>
                <c:pt idx="424">
                  <c:v>3.1199999999999999E-5</c:v>
                </c:pt>
                <c:pt idx="425">
                  <c:v>3.1199999999999999E-5</c:v>
                </c:pt>
                <c:pt idx="426">
                  <c:v>3.1300000000000002E-5</c:v>
                </c:pt>
                <c:pt idx="427">
                  <c:v>3.1300000000000002E-5</c:v>
                </c:pt>
                <c:pt idx="428">
                  <c:v>3.1300000000000002E-5</c:v>
                </c:pt>
                <c:pt idx="429">
                  <c:v>3.1300000000000002E-5</c:v>
                </c:pt>
                <c:pt idx="430">
                  <c:v>3.1199999999999999E-5</c:v>
                </c:pt>
                <c:pt idx="431">
                  <c:v>3.1300000000000002E-5</c:v>
                </c:pt>
                <c:pt idx="432">
                  <c:v>3.1300000000000002E-5</c:v>
                </c:pt>
                <c:pt idx="433">
                  <c:v>3.1300000000000002E-5</c:v>
                </c:pt>
                <c:pt idx="434">
                  <c:v>3.1300000000000002E-5</c:v>
                </c:pt>
                <c:pt idx="435">
                  <c:v>3.1300000000000002E-5</c:v>
                </c:pt>
                <c:pt idx="436">
                  <c:v>3.1300000000000002E-5</c:v>
                </c:pt>
                <c:pt idx="437">
                  <c:v>3.1300000000000002E-5</c:v>
                </c:pt>
                <c:pt idx="438">
                  <c:v>3.1300000000000002E-5</c:v>
                </c:pt>
                <c:pt idx="439">
                  <c:v>3.1300000000000002E-5</c:v>
                </c:pt>
                <c:pt idx="440">
                  <c:v>3.1300000000000002E-5</c:v>
                </c:pt>
                <c:pt idx="441">
                  <c:v>3.1300000000000002E-5</c:v>
                </c:pt>
                <c:pt idx="442">
                  <c:v>3.1300000000000002E-5</c:v>
                </c:pt>
                <c:pt idx="443">
                  <c:v>3.1300000000000002E-5</c:v>
                </c:pt>
                <c:pt idx="444">
                  <c:v>3.1300000000000002E-5</c:v>
                </c:pt>
                <c:pt idx="445">
                  <c:v>3.1199999999999999E-5</c:v>
                </c:pt>
                <c:pt idx="446">
                  <c:v>3.1199999999999999E-5</c:v>
                </c:pt>
                <c:pt idx="447">
                  <c:v>3.1199999999999999E-5</c:v>
                </c:pt>
                <c:pt idx="448">
                  <c:v>3.1300000000000002E-5</c:v>
                </c:pt>
                <c:pt idx="449">
                  <c:v>3.1300000000000002E-5</c:v>
                </c:pt>
                <c:pt idx="450">
                  <c:v>3.1300000000000002E-5</c:v>
                </c:pt>
                <c:pt idx="451">
                  <c:v>3.1300000000000002E-5</c:v>
                </c:pt>
                <c:pt idx="452">
                  <c:v>3.1199999999999999E-5</c:v>
                </c:pt>
                <c:pt idx="453">
                  <c:v>3.1300000000000002E-5</c:v>
                </c:pt>
                <c:pt idx="454">
                  <c:v>3.1300000000000002E-5</c:v>
                </c:pt>
                <c:pt idx="455">
                  <c:v>3.1199999999999999E-5</c:v>
                </c:pt>
                <c:pt idx="456">
                  <c:v>3.1199999999999999E-5</c:v>
                </c:pt>
                <c:pt idx="457">
                  <c:v>3.1300000000000002E-5</c:v>
                </c:pt>
                <c:pt idx="458">
                  <c:v>3.1199999999999999E-5</c:v>
                </c:pt>
                <c:pt idx="459">
                  <c:v>3.1300000000000002E-5</c:v>
                </c:pt>
                <c:pt idx="460">
                  <c:v>3.1300000000000002E-5</c:v>
                </c:pt>
                <c:pt idx="461">
                  <c:v>3.1300000000000002E-5</c:v>
                </c:pt>
                <c:pt idx="462">
                  <c:v>3.1199999999999999E-5</c:v>
                </c:pt>
                <c:pt idx="463">
                  <c:v>3.1199999999999999E-5</c:v>
                </c:pt>
                <c:pt idx="464">
                  <c:v>3.1300000000000002E-5</c:v>
                </c:pt>
                <c:pt idx="465">
                  <c:v>3.1300000000000002E-5</c:v>
                </c:pt>
                <c:pt idx="466">
                  <c:v>3.1300000000000002E-5</c:v>
                </c:pt>
                <c:pt idx="467">
                  <c:v>3.1300000000000002E-5</c:v>
                </c:pt>
                <c:pt idx="468">
                  <c:v>3.1300000000000002E-5</c:v>
                </c:pt>
                <c:pt idx="469">
                  <c:v>3.1300000000000002E-5</c:v>
                </c:pt>
                <c:pt idx="470">
                  <c:v>3.1199999999999999E-5</c:v>
                </c:pt>
                <c:pt idx="471">
                  <c:v>3.1300000000000002E-5</c:v>
                </c:pt>
                <c:pt idx="472">
                  <c:v>3.1300000000000002E-5</c:v>
                </c:pt>
                <c:pt idx="473">
                  <c:v>3.1300000000000002E-5</c:v>
                </c:pt>
                <c:pt idx="474">
                  <c:v>3.1300000000000002E-5</c:v>
                </c:pt>
                <c:pt idx="475">
                  <c:v>3.1300000000000002E-5</c:v>
                </c:pt>
                <c:pt idx="476">
                  <c:v>3.1300000000000002E-5</c:v>
                </c:pt>
                <c:pt idx="477">
                  <c:v>3.1300000000000002E-5</c:v>
                </c:pt>
                <c:pt idx="478">
                  <c:v>3.1300000000000002E-5</c:v>
                </c:pt>
                <c:pt idx="479">
                  <c:v>3.1300000000000002E-5</c:v>
                </c:pt>
                <c:pt idx="480">
                  <c:v>3.1199999999999999E-5</c:v>
                </c:pt>
                <c:pt idx="481">
                  <c:v>3.1300000000000002E-5</c:v>
                </c:pt>
                <c:pt idx="482">
                  <c:v>3.1199999999999999E-5</c:v>
                </c:pt>
                <c:pt idx="483">
                  <c:v>3.1199999999999999E-5</c:v>
                </c:pt>
                <c:pt idx="484">
                  <c:v>3.1300000000000002E-5</c:v>
                </c:pt>
                <c:pt idx="485">
                  <c:v>3.1300000000000002E-5</c:v>
                </c:pt>
                <c:pt idx="486">
                  <c:v>3.1300000000000002E-5</c:v>
                </c:pt>
                <c:pt idx="487">
                  <c:v>3.1300000000000002E-5</c:v>
                </c:pt>
                <c:pt idx="488">
                  <c:v>3.1300000000000002E-5</c:v>
                </c:pt>
                <c:pt idx="489">
                  <c:v>3.1199999999999999E-5</c:v>
                </c:pt>
                <c:pt idx="490">
                  <c:v>3.1300000000000002E-5</c:v>
                </c:pt>
                <c:pt idx="491">
                  <c:v>3.1300000000000002E-5</c:v>
                </c:pt>
                <c:pt idx="492">
                  <c:v>3.1300000000000002E-5</c:v>
                </c:pt>
                <c:pt idx="493">
                  <c:v>3.1300000000000002E-5</c:v>
                </c:pt>
                <c:pt idx="494">
                  <c:v>3.1300000000000002E-5</c:v>
                </c:pt>
                <c:pt idx="495">
                  <c:v>3.1300000000000002E-5</c:v>
                </c:pt>
                <c:pt idx="496">
                  <c:v>3.1300000000000002E-5</c:v>
                </c:pt>
                <c:pt idx="497">
                  <c:v>3.1300000000000002E-5</c:v>
                </c:pt>
                <c:pt idx="498">
                  <c:v>3.1300000000000002E-5</c:v>
                </c:pt>
                <c:pt idx="499">
                  <c:v>3.1300000000000002E-5</c:v>
                </c:pt>
                <c:pt idx="500">
                  <c:v>3.1300000000000002E-5</c:v>
                </c:pt>
                <c:pt idx="501">
                  <c:v>3.1300000000000002E-5</c:v>
                </c:pt>
                <c:pt idx="502">
                  <c:v>3.1199999999999999E-5</c:v>
                </c:pt>
                <c:pt idx="503">
                  <c:v>3.1300000000000002E-5</c:v>
                </c:pt>
                <c:pt idx="504">
                  <c:v>3.1300000000000002E-5</c:v>
                </c:pt>
                <c:pt idx="505">
                  <c:v>3.1300000000000002E-5</c:v>
                </c:pt>
                <c:pt idx="506">
                  <c:v>3.1199999999999999E-5</c:v>
                </c:pt>
                <c:pt idx="507">
                  <c:v>3.1199999999999999E-5</c:v>
                </c:pt>
                <c:pt idx="508">
                  <c:v>3.1300000000000002E-5</c:v>
                </c:pt>
                <c:pt idx="509">
                  <c:v>3.1300000000000002E-5</c:v>
                </c:pt>
                <c:pt idx="510">
                  <c:v>3.1300000000000002E-5</c:v>
                </c:pt>
                <c:pt idx="511">
                  <c:v>3.1300000000000002E-5</c:v>
                </c:pt>
                <c:pt idx="512">
                  <c:v>3.1300000000000002E-5</c:v>
                </c:pt>
                <c:pt idx="513">
                  <c:v>3.1300000000000002E-5</c:v>
                </c:pt>
                <c:pt idx="514">
                  <c:v>3.1300000000000002E-5</c:v>
                </c:pt>
                <c:pt idx="515">
                  <c:v>3.1199999999999999E-5</c:v>
                </c:pt>
                <c:pt idx="516">
                  <c:v>3.1199999999999999E-5</c:v>
                </c:pt>
                <c:pt idx="517">
                  <c:v>3.1199999999999999E-5</c:v>
                </c:pt>
                <c:pt idx="518">
                  <c:v>3.1300000000000002E-5</c:v>
                </c:pt>
                <c:pt idx="519">
                  <c:v>3.1300000000000002E-5</c:v>
                </c:pt>
                <c:pt idx="520">
                  <c:v>3.1300000000000002E-5</c:v>
                </c:pt>
                <c:pt idx="521">
                  <c:v>3.1199999999999999E-5</c:v>
                </c:pt>
                <c:pt idx="522">
                  <c:v>3.1199999999999999E-5</c:v>
                </c:pt>
                <c:pt idx="523">
                  <c:v>3.1300000000000002E-5</c:v>
                </c:pt>
                <c:pt idx="524">
                  <c:v>3.1300000000000002E-5</c:v>
                </c:pt>
                <c:pt idx="525">
                  <c:v>3.1300000000000002E-5</c:v>
                </c:pt>
                <c:pt idx="526">
                  <c:v>3.1300000000000002E-5</c:v>
                </c:pt>
                <c:pt idx="527">
                  <c:v>3.1300000000000002E-5</c:v>
                </c:pt>
                <c:pt idx="528">
                  <c:v>3.1300000000000002E-5</c:v>
                </c:pt>
                <c:pt idx="529">
                  <c:v>3.1300000000000002E-5</c:v>
                </c:pt>
                <c:pt idx="530">
                  <c:v>3.1300000000000002E-5</c:v>
                </c:pt>
                <c:pt idx="531">
                  <c:v>3.1300000000000002E-5</c:v>
                </c:pt>
                <c:pt idx="532">
                  <c:v>3.1300000000000002E-5</c:v>
                </c:pt>
                <c:pt idx="533">
                  <c:v>3.1300000000000002E-5</c:v>
                </c:pt>
                <c:pt idx="534">
                  <c:v>3.1199999999999999E-5</c:v>
                </c:pt>
                <c:pt idx="535">
                  <c:v>3.1300000000000002E-5</c:v>
                </c:pt>
                <c:pt idx="536">
                  <c:v>3.1300000000000002E-5</c:v>
                </c:pt>
                <c:pt idx="537">
                  <c:v>3.1300000000000002E-5</c:v>
                </c:pt>
                <c:pt idx="538">
                  <c:v>3.1300000000000002E-5</c:v>
                </c:pt>
                <c:pt idx="539">
                  <c:v>3.1300000000000002E-5</c:v>
                </c:pt>
                <c:pt idx="540">
                  <c:v>3.1199999999999999E-5</c:v>
                </c:pt>
                <c:pt idx="541">
                  <c:v>3.1300000000000002E-5</c:v>
                </c:pt>
                <c:pt idx="542">
                  <c:v>3.1199999999999999E-5</c:v>
                </c:pt>
                <c:pt idx="543">
                  <c:v>3.1300000000000002E-5</c:v>
                </c:pt>
                <c:pt idx="544">
                  <c:v>3.1300000000000002E-5</c:v>
                </c:pt>
                <c:pt idx="545">
                  <c:v>3.1300000000000002E-5</c:v>
                </c:pt>
                <c:pt idx="546">
                  <c:v>3.1300000000000002E-5</c:v>
                </c:pt>
                <c:pt idx="547">
                  <c:v>3.1300000000000002E-5</c:v>
                </c:pt>
                <c:pt idx="548">
                  <c:v>3.1300000000000002E-5</c:v>
                </c:pt>
                <c:pt idx="549">
                  <c:v>3.1300000000000002E-5</c:v>
                </c:pt>
                <c:pt idx="550">
                  <c:v>3.1300000000000002E-5</c:v>
                </c:pt>
                <c:pt idx="551">
                  <c:v>3.1300000000000002E-5</c:v>
                </c:pt>
                <c:pt idx="552">
                  <c:v>3.1199999999999999E-5</c:v>
                </c:pt>
                <c:pt idx="553">
                  <c:v>3.1300000000000002E-5</c:v>
                </c:pt>
                <c:pt idx="554">
                  <c:v>3.1199999999999999E-5</c:v>
                </c:pt>
                <c:pt idx="555">
                  <c:v>3.1300000000000002E-5</c:v>
                </c:pt>
                <c:pt idx="556">
                  <c:v>3.1300000000000002E-5</c:v>
                </c:pt>
                <c:pt idx="557">
                  <c:v>3.1300000000000002E-5</c:v>
                </c:pt>
                <c:pt idx="558">
                  <c:v>3.1300000000000002E-5</c:v>
                </c:pt>
                <c:pt idx="559">
                  <c:v>3.1300000000000002E-5</c:v>
                </c:pt>
                <c:pt idx="560">
                  <c:v>3.1300000000000002E-5</c:v>
                </c:pt>
                <c:pt idx="561">
                  <c:v>3.1300000000000002E-5</c:v>
                </c:pt>
                <c:pt idx="562">
                  <c:v>3.1300000000000002E-5</c:v>
                </c:pt>
                <c:pt idx="563">
                  <c:v>3.1300000000000002E-5</c:v>
                </c:pt>
                <c:pt idx="564">
                  <c:v>3.1300000000000002E-5</c:v>
                </c:pt>
                <c:pt idx="565">
                  <c:v>3.1300000000000002E-5</c:v>
                </c:pt>
                <c:pt idx="566">
                  <c:v>3.1300000000000002E-5</c:v>
                </c:pt>
                <c:pt idx="567">
                  <c:v>3.1199999999999999E-5</c:v>
                </c:pt>
                <c:pt idx="568">
                  <c:v>3.1300000000000002E-5</c:v>
                </c:pt>
                <c:pt idx="569">
                  <c:v>3.1300000000000002E-5</c:v>
                </c:pt>
                <c:pt idx="570">
                  <c:v>3.1300000000000002E-5</c:v>
                </c:pt>
                <c:pt idx="571">
                  <c:v>3.1300000000000002E-5</c:v>
                </c:pt>
                <c:pt idx="572">
                  <c:v>3.1300000000000002E-5</c:v>
                </c:pt>
                <c:pt idx="573">
                  <c:v>3.1300000000000002E-5</c:v>
                </c:pt>
                <c:pt idx="574">
                  <c:v>3.1199999999999999E-5</c:v>
                </c:pt>
                <c:pt idx="575">
                  <c:v>3.1300000000000002E-5</c:v>
                </c:pt>
                <c:pt idx="576">
                  <c:v>3.1199999999999999E-5</c:v>
                </c:pt>
                <c:pt idx="577">
                  <c:v>3.1199999999999999E-5</c:v>
                </c:pt>
                <c:pt idx="578">
                  <c:v>3.1199999999999999E-5</c:v>
                </c:pt>
                <c:pt idx="579">
                  <c:v>3.1300000000000002E-5</c:v>
                </c:pt>
                <c:pt idx="580">
                  <c:v>3.1300000000000002E-5</c:v>
                </c:pt>
                <c:pt idx="581">
                  <c:v>3.1199999999999999E-5</c:v>
                </c:pt>
                <c:pt idx="582">
                  <c:v>3.1199999999999999E-5</c:v>
                </c:pt>
                <c:pt idx="583">
                  <c:v>3.1300000000000002E-5</c:v>
                </c:pt>
                <c:pt idx="584">
                  <c:v>3.1199999999999999E-5</c:v>
                </c:pt>
                <c:pt idx="585">
                  <c:v>3.1300000000000002E-5</c:v>
                </c:pt>
                <c:pt idx="586">
                  <c:v>3.1300000000000002E-5</c:v>
                </c:pt>
                <c:pt idx="587">
                  <c:v>3.1300000000000002E-5</c:v>
                </c:pt>
                <c:pt idx="588">
                  <c:v>3.1300000000000002E-5</c:v>
                </c:pt>
                <c:pt idx="589">
                  <c:v>3.1300000000000002E-5</c:v>
                </c:pt>
                <c:pt idx="590">
                  <c:v>3.1199999999999999E-5</c:v>
                </c:pt>
                <c:pt idx="591">
                  <c:v>3.1300000000000002E-5</c:v>
                </c:pt>
                <c:pt idx="592">
                  <c:v>3.1199999999999999E-5</c:v>
                </c:pt>
                <c:pt idx="593">
                  <c:v>3.1300000000000002E-5</c:v>
                </c:pt>
                <c:pt idx="594">
                  <c:v>3.1199999999999999E-5</c:v>
                </c:pt>
                <c:pt idx="595">
                  <c:v>3.1300000000000002E-5</c:v>
                </c:pt>
                <c:pt idx="596">
                  <c:v>3.1300000000000002E-5</c:v>
                </c:pt>
                <c:pt idx="597">
                  <c:v>3.1199999999999999E-5</c:v>
                </c:pt>
                <c:pt idx="598">
                  <c:v>3.1300000000000002E-5</c:v>
                </c:pt>
                <c:pt idx="599">
                  <c:v>3.1199999999999999E-5</c:v>
                </c:pt>
                <c:pt idx="600">
                  <c:v>3.1300000000000002E-5</c:v>
                </c:pt>
                <c:pt idx="601">
                  <c:v>3.1300000000000002E-5</c:v>
                </c:pt>
                <c:pt idx="602">
                  <c:v>3.1300000000000002E-5</c:v>
                </c:pt>
                <c:pt idx="603">
                  <c:v>3.1300000000000002E-5</c:v>
                </c:pt>
                <c:pt idx="604">
                  <c:v>3.1300000000000002E-5</c:v>
                </c:pt>
                <c:pt idx="605">
                  <c:v>3.1300000000000002E-5</c:v>
                </c:pt>
                <c:pt idx="606">
                  <c:v>3.1300000000000002E-5</c:v>
                </c:pt>
                <c:pt idx="607">
                  <c:v>3.1300000000000002E-5</c:v>
                </c:pt>
                <c:pt idx="608">
                  <c:v>3.1300000000000002E-5</c:v>
                </c:pt>
                <c:pt idx="609">
                  <c:v>3.1300000000000002E-5</c:v>
                </c:pt>
                <c:pt idx="610">
                  <c:v>3.1300000000000002E-5</c:v>
                </c:pt>
                <c:pt idx="611">
                  <c:v>3.1300000000000002E-5</c:v>
                </c:pt>
                <c:pt idx="612">
                  <c:v>3.1300000000000002E-5</c:v>
                </c:pt>
                <c:pt idx="613">
                  <c:v>3.1300000000000002E-5</c:v>
                </c:pt>
                <c:pt idx="614">
                  <c:v>3.1300000000000002E-5</c:v>
                </c:pt>
                <c:pt idx="615">
                  <c:v>3.1300000000000002E-5</c:v>
                </c:pt>
                <c:pt idx="616">
                  <c:v>3.1300000000000002E-5</c:v>
                </c:pt>
                <c:pt idx="617">
                  <c:v>3.1300000000000002E-5</c:v>
                </c:pt>
                <c:pt idx="618">
                  <c:v>3.1300000000000002E-5</c:v>
                </c:pt>
                <c:pt idx="619">
                  <c:v>3.1300000000000002E-5</c:v>
                </c:pt>
                <c:pt idx="620">
                  <c:v>3.1300000000000002E-5</c:v>
                </c:pt>
                <c:pt idx="621">
                  <c:v>3.1300000000000002E-5</c:v>
                </c:pt>
                <c:pt idx="622">
                  <c:v>3.1300000000000002E-5</c:v>
                </c:pt>
                <c:pt idx="623">
                  <c:v>3.1300000000000002E-5</c:v>
                </c:pt>
                <c:pt idx="624">
                  <c:v>3.1199999999999999E-5</c:v>
                </c:pt>
                <c:pt idx="625">
                  <c:v>3.1300000000000002E-5</c:v>
                </c:pt>
                <c:pt idx="626">
                  <c:v>3.1300000000000002E-5</c:v>
                </c:pt>
                <c:pt idx="627">
                  <c:v>3.1199999999999999E-5</c:v>
                </c:pt>
                <c:pt idx="628">
                  <c:v>3.1300000000000002E-5</c:v>
                </c:pt>
                <c:pt idx="629">
                  <c:v>3.1199999999999999E-5</c:v>
                </c:pt>
                <c:pt idx="630">
                  <c:v>3.1300000000000002E-5</c:v>
                </c:pt>
                <c:pt idx="631">
                  <c:v>3.1300000000000002E-5</c:v>
                </c:pt>
                <c:pt idx="632">
                  <c:v>3.1300000000000002E-5</c:v>
                </c:pt>
                <c:pt idx="633">
                  <c:v>3.1300000000000002E-5</c:v>
                </c:pt>
                <c:pt idx="634">
                  <c:v>3.1199999999999999E-5</c:v>
                </c:pt>
                <c:pt idx="635">
                  <c:v>3.1300000000000002E-5</c:v>
                </c:pt>
                <c:pt idx="636">
                  <c:v>3.1300000000000002E-5</c:v>
                </c:pt>
                <c:pt idx="637">
                  <c:v>3.1300000000000002E-5</c:v>
                </c:pt>
                <c:pt idx="638">
                  <c:v>3.1300000000000002E-5</c:v>
                </c:pt>
                <c:pt idx="639">
                  <c:v>3.1300000000000002E-5</c:v>
                </c:pt>
                <c:pt idx="640">
                  <c:v>3.1300000000000002E-5</c:v>
                </c:pt>
                <c:pt idx="641">
                  <c:v>3.1300000000000002E-5</c:v>
                </c:pt>
                <c:pt idx="642">
                  <c:v>3.1300000000000002E-5</c:v>
                </c:pt>
                <c:pt idx="643">
                  <c:v>3.1300000000000002E-5</c:v>
                </c:pt>
                <c:pt idx="644">
                  <c:v>3.1300000000000002E-5</c:v>
                </c:pt>
                <c:pt idx="645">
                  <c:v>3.1300000000000002E-5</c:v>
                </c:pt>
                <c:pt idx="646">
                  <c:v>3.1300000000000002E-5</c:v>
                </c:pt>
                <c:pt idx="647">
                  <c:v>3.1199999999999999E-5</c:v>
                </c:pt>
                <c:pt idx="648">
                  <c:v>3.1300000000000002E-5</c:v>
                </c:pt>
                <c:pt idx="649">
                  <c:v>3.1300000000000002E-5</c:v>
                </c:pt>
                <c:pt idx="650">
                  <c:v>3.1300000000000002E-5</c:v>
                </c:pt>
                <c:pt idx="651">
                  <c:v>3.1300000000000002E-5</c:v>
                </c:pt>
                <c:pt idx="652">
                  <c:v>3.1300000000000002E-5</c:v>
                </c:pt>
                <c:pt idx="653">
                  <c:v>3.1300000000000002E-5</c:v>
                </c:pt>
                <c:pt idx="654">
                  <c:v>3.1199999999999999E-5</c:v>
                </c:pt>
                <c:pt idx="655">
                  <c:v>3.1199999999999999E-5</c:v>
                </c:pt>
                <c:pt idx="656">
                  <c:v>3.1300000000000002E-5</c:v>
                </c:pt>
                <c:pt idx="657">
                  <c:v>3.1300000000000002E-5</c:v>
                </c:pt>
                <c:pt idx="658">
                  <c:v>3.1300000000000002E-5</c:v>
                </c:pt>
                <c:pt idx="659">
                  <c:v>3.1300000000000002E-5</c:v>
                </c:pt>
                <c:pt idx="660">
                  <c:v>3.1300000000000002E-5</c:v>
                </c:pt>
                <c:pt idx="661">
                  <c:v>3.1300000000000002E-5</c:v>
                </c:pt>
                <c:pt idx="662">
                  <c:v>3.1199999999999999E-5</c:v>
                </c:pt>
                <c:pt idx="663">
                  <c:v>3.1300000000000002E-5</c:v>
                </c:pt>
                <c:pt idx="664">
                  <c:v>3.1199999999999999E-5</c:v>
                </c:pt>
                <c:pt idx="665">
                  <c:v>3.1300000000000002E-5</c:v>
                </c:pt>
                <c:pt idx="666">
                  <c:v>3.1300000000000002E-5</c:v>
                </c:pt>
                <c:pt idx="667">
                  <c:v>3.1300000000000002E-5</c:v>
                </c:pt>
                <c:pt idx="668">
                  <c:v>3.1300000000000002E-5</c:v>
                </c:pt>
                <c:pt idx="669">
                  <c:v>3.1199999999999999E-5</c:v>
                </c:pt>
                <c:pt idx="670">
                  <c:v>3.1300000000000002E-5</c:v>
                </c:pt>
                <c:pt idx="671">
                  <c:v>3.1300000000000002E-5</c:v>
                </c:pt>
                <c:pt idx="672">
                  <c:v>3.1300000000000002E-5</c:v>
                </c:pt>
                <c:pt idx="673">
                  <c:v>3.1300000000000002E-5</c:v>
                </c:pt>
                <c:pt idx="674">
                  <c:v>3.1300000000000002E-5</c:v>
                </c:pt>
                <c:pt idx="675">
                  <c:v>3.1300000000000002E-5</c:v>
                </c:pt>
                <c:pt idx="676">
                  <c:v>3.1199999999999999E-5</c:v>
                </c:pt>
                <c:pt idx="677">
                  <c:v>3.1300000000000002E-5</c:v>
                </c:pt>
                <c:pt idx="678">
                  <c:v>3.1300000000000002E-5</c:v>
                </c:pt>
                <c:pt idx="679">
                  <c:v>3.1300000000000002E-5</c:v>
                </c:pt>
                <c:pt idx="680">
                  <c:v>3.1300000000000002E-5</c:v>
                </c:pt>
                <c:pt idx="681">
                  <c:v>3.1300000000000002E-5</c:v>
                </c:pt>
                <c:pt idx="682">
                  <c:v>3.1300000000000002E-5</c:v>
                </c:pt>
                <c:pt idx="683">
                  <c:v>3.1300000000000002E-5</c:v>
                </c:pt>
                <c:pt idx="684">
                  <c:v>3.1300000000000002E-5</c:v>
                </c:pt>
                <c:pt idx="685">
                  <c:v>3.1199999999999999E-5</c:v>
                </c:pt>
                <c:pt idx="686">
                  <c:v>3.1199999999999999E-5</c:v>
                </c:pt>
                <c:pt idx="687">
                  <c:v>3.1300000000000002E-5</c:v>
                </c:pt>
                <c:pt idx="688">
                  <c:v>3.1300000000000002E-5</c:v>
                </c:pt>
                <c:pt idx="689">
                  <c:v>3.1300000000000002E-5</c:v>
                </c:pt>
                <c:pt idx="690">
                  <c:v>3.1300000000000002E-5</c:v>
                </c:pt>
                <c:pt idx="691">
                  <c:v>3.1300000000000002E-5</c:v>
                </c:pt>
                <c:pt idx="692">
                  <c:v>3.1300000000000002E-5</c:v>
                </c:pt>
                <c:pt idx="693">
                  <c:v>3.1300000000000002E-5</c:v>
                </c:pt>
                <c:pt idx="694">
                  <c:v>3.1300000000000002E-5</c:v>
                </c:pt>
                <c:pt idx="695">
                  <c:v>3.1300000000000002E-5</c:v>
                </c:pt>
                <c:pt idx="696">
                  <c:v>3.1300000000000002E-5</c:v>
                </c:pt>
                <c:pt idx="697">
                  <c:v>3.1300000000000002E-5</c:v>
                </c:pt>
                <c:pt idx="698">
                  <c:v>3.1300000000000002E-5</c:v>
                </c:pt>
                <c:pt idx="699">
                  <c:v>3.1199999999999999E-5</c:v>
                </c:pt>
                <c:pt idx="700">
                  <c:v>3.1300000000000002E-5</c:v>
                </c:pt>
                <c:pt idx="701">
                  <c:v>3.1300000000000002E-5</c:v>
                </c:pt>
                <c:pt idx="702">
                  <c:v>3.1300000000000002E-5</c:v>
                </c:pt>
                <c:pt idx="703">
                  <c:v>3.1199999999999999E-5</c:v>
                </c:pt>
                <c:pt idx="704">
                  <c:v>3.1300000000000002E-5</c:v>
                </c:pt>
                <c:pt idx="705">
                  <c:v>3.1300000000000002E-5</c:v>
                </c:pt>
                <c:pt idx="706">
                  <c:v>3.1300000000000002E-5</c:v>
                </c:pt>
                <c:pt idx="707">
                  <c:v>3.1300000000000002E-5</c:v>
                </c:pt>
                <c:pt idx="708">
                  <c:v>3.1300000000000002E-5</c:v>
                </c:pt>
                <c:pt idx="709">
                  <c:v>3.1300000000000002E-5</c:v>
                </c:pt>
                <c:pt idx="710">
                  <c:v>3.1300000000000002E-5</c:v>
                </c:pt>
                <c:pt idx="711">
                  <c:v>3.1300000000000002E-5</c:v>
                </c:pt>
                <c:pt idx="712">
                  <c:v>3.1300000000000002E-5</c:v>
                </c:pt>
                <c:pt idx="713">
                  <c:v>3.1300000000000002E-5</c:v>
                </c:pt>
                <c:pt idx="714">
                  <c:v>3.1300000000000002E-5</c:v>
                </c:pt>
                <c:pt idx="715">
                  <c:v>3.1300000000000002E-5</c:v>
                </c:pt>
                <c:pt idx="716">
                  <c:v>3.1300000000000002E-5</c:v>
                </c:pt>
                <c:pt idx="717">
                  <c:v>3.1300000000000002E-5</c:v>
                </c:pt>
                <c:pt idx="718">
                  <c:v>3.1300000000000002E-5</c:v>
                </c:pt>
                <c:pt idx="719">
                  <c:v>3.1300000000000002E-5</c:v>
                </c:pt>
              </c:numCache>
            </c:numRef>
          </c:cat>
          <c:val>
            <c:numRef>
              <c:f>probabilities_mean_valued!$F$2:$F$721</c:f>
              <c:numCache>
                <c:formatCode>0.00E+00</c:formatCode>
                <c:ptCount val="720"/>
                <c:pt idx="0">
                  <c:v>3.1300000000000002E-5</c:v>
                </c:pt>
                <c:pt idx="1">
                  <c:v>3.1300000000000002E-5</c:v>
                </c:pt>
                <c:pt idx="2">
                  <c:v>3.1300000000000002E-5</c:v>
                </c:pt>
                <c:pt idx="3">
                  <c:v>3.1300000000000002E-5</c:v>
                </c:pt>
                <c:pt idx="4">
                  <c:v>3.1300000000000002E-5</c:v>
                </c:pt>
                <c:pt idx="5">
                  <c:v>3.1199999999999999E-5</c:v>
                </c:pt>
                <c:pt idx="6">
                  <c:v>3.1300000000000002E-5</c:v>
                </c:pt>
                <c:pt idx="7">
                  <c:v>3.1300000000000002E-5</c:v>
                </c:pt>
                <c:pt idx="8">
                  <c:v>3.1199999999999999E-5</c:v>
                </c:pt>
                <c:pt idx="9">
                  <c:v>3.1199999999999999E-5</c:v>
                </c:pt>
                <c:pt idx="10">
                  <c:v>3.1300000000000002E-5</c:v>
                </c:pt>
                <c:pt idx="11">
                  <c:v>3.1300000000000002E-5</c:v>
                </c:pt>
                <c:pt idx="12">
                  <c:v>3.1300000000000002E-5</c:v>
                </c:pt>
                <c:pt idx="13">
                  <c:v>3.1199999999999999E-5</c:v>
                </c:pt>
                <c:pt idx="14">
                  <c:v>3.1300000000000002E-5</c:v>
                </c:pt>
                <c:pt idx="15">
                  <c:v>3.1199999999999999E-5</c:v>
                </c:pt>
                <c:pt idx="16">
                  <c:v>3.1300000000000002E-5</c:v>
                </c:pt>
                <c:pt idx="17">
                  <c:v>3.1199999999999999E-5</c:v>
                </c:pt>
                <c:pt idx="18">
                  <c:v>3.1199999999999999E-5</c:v>
                </c:pt>
                <c:pt idx="19">
                  <c:v>3.1199999999999999E-5</c:v>
                </c:pt>
                <c:pt idx="20">
                  <c:v>3.1300000000000002E-5</c:v>
                </c:pt>
                <c:pt idx="21">
                  <c:v>3.1300000000000002E-5</c:v>
                </c:pt>
                <c:pt idx="22">
                  <c:v>3.1300000000000002E-5</c:v>
                </c:pt>
                <c:pt idx="23">
                  <c:v>3.1300000000000002E-5</c:v>
                </c:pt>
                <c:pt idx="24">
                  <c:v>3.1300000000000002E-5</c:v>
                </c:pt>
                <c:pt idx="25">
                  <c:v>3.1300000000000002E-5</c:v>
                </c:pt>
                <c:pt idx="26">
                  <c:v>3.1300000000000002E-5</c:v>
                </c:pt>
                <c:pt idx="27">
                  <c:v>3.1199999999999999E-5</c:v>
                </c:pt>
                <c:pt idx="28">
                  <c:v>3.1199999999999999E-5</c:v>
                </c:pt>
                <c:pt idx="29">
                  <c:v>3.1300000000000002E-5</c:v>
                </c:pt>
                <c:pt idx="30">
                  <c:v>3.1199999999999999E-5</c:v>
                </c:pt>
                <c:pt idx="31">
                  <c:v>3.1199999999999999E-5</c:v>
                </c:pt>
                <c:pt idx="32">
                  <c:v>3.1300000000000002E-5</c:v>
                </c:pt>
                <c:pt idx="33">
                  <c:v>3.1300000000000002E-5</c:v>
                </c:pt>
                <c:pt idx="34">
                  <c:v>3.1199999999999999E-5</c:v>
                </c:pt>
                <c:pt idx="35">
                  <c:v>3.1199999999999999E-5</c:v>
                </c:pt>
                <c:pt idx="36">
                  <c:v>3.1300000000000002E-5</c:v>
                </c:pt>
                <c:pt idx="37">
                  <c:v>3.1300000000000002E-5</c:v>
                </c:pt>
                <c:pt idx="38">
                  <c:v>3.1300000000000002E-5</c:v>
                </c:pt>
                <c:pt idx="39">
                  <c:v>3.1199999999999999E-5</c:v>
                </c:pt>
                <c:pt idx="40">
                  <c:v>3.1199999999999999E-5</c:v>
                </c:pt>
                <c:pt idx="41">
                  <c:v>3.1199999999999999E-5</c:v>
                </c:pt>
                <c:pt idx="42">
                  <c:v>3.1300000000000002E-5</c:v>
                </c:pt>
                <c:pt idx="43">
                  <c:v>3.1300000000000002E-5</c:v>
                </c:pt>
                <c:pt idx="44">
                  <c:v>3.1300000000000002E-5</c:v>
                </c:pt>
                <c:pt idx="45">
                  <c:v>3.1199999999999999E-5</c:v>
                </c:pt>
                <c:pt idx="46">
                  <c:v>3.1300000000000002E-5</c:v>
                </c:pt>
                <c:pt idx="47">
                  <c:v>3.1199999999999999E-5</c:v>
                </c:pt>
                <c:pt idx="48">
                  <c:v>3.1199999999999999E-5</c:v>
                </c:pt>
                <c:pt idx="49">
                  <c:v>3.1300000000000002E-5</c:v>
                </c:pt>
                <c:pt idx="50">
                  <c:v>3.1199999999999999E-5</c:v>
                </c:pt>
                <c:pt idx="51">
                  <c:v>3.1300000000000002E-5</c:v>
                </c:pt>
                <c:pt idx="52">
                  <c:v>3.1300000000000002E-5</c:v>
                </c:pt>
                <c:pt idx="53">
                  <c:v>3.1300000000000002E-5</c:v>
                </c:pt>
                <c:pt idx="54">
                  <c:v>3.1300000000000002E-5</c:v>
                </c:pt>
                <c:pt idx="55">
                  <c:v>3.1199999999999999E-5</c:v>
                </c:pt>
                <c:pt idx="56">
                  <c:v>3.1199999999999999E-5</c:v>
                </c:pt>
                <c:pt idx="57">
                  <c:v>3.1300000000000002E-5</c:v>
                </c:pt>
                <c:pt idx="58">
                  <c:v>3.1300000000000002E-5</c:v>
                </c:pt>
                <c:pt idx="59">
                  <c:v>3.1199999999999999E-5</c:v>
                </c:pt>
                <c:pt idx="60">
                  <c:v>3.1199999999999999E-5</c:v>
                </c:pt>
                <c:pt idx="61">
                  <c:v>3.1199999999999999E-5</c:v>
                </c:pt>
                <c:pt idx="62">
                  <c:v>3.1300000000000002E-5</c:v>
                </c:pt>
                <c:pt idx="63">
                  <c:v>3.1300000000000002E-5</c:v>
                </c:pt>
                <c:pt idx="64">
                  <c:v>3.1300000000000002E-5</c:v>
                </c:pt>
                <c:pt idx="65">
                  <c:v>3.1300000000000002E-5</c:v>
                </c:pt>
                <c:pt idx="66">
                  <c:v>3.1300000000000002E-5</c:v>
                </c:pt>
                <c:pt idx="67">
                  <c:v>3.1300000000000002E-5</c:v>
                </c:pt>
                <c:pt idx="68">
                  <c:v>3.1199999999999999E-5</c:v>
                </c:pt>
                <c:pt idx="69">
                  <c:v>3.1199999999999999E-5</c:v>
                </c:pt>
                <c:pt idx="70">
                  <c:v>3.1300000000000002E-5</c:v>
                </c:pt>
                <c:pt idx="71">
                  <c:v>3.1199999999999999E-5</c:v>
                </c:pt>
                <c:pt idx="72">
                  <c:v>3.1199999999999999E-5</c:v>
                </c:pt>
                <c:pt idx="73">
                  <c:v>3.1300000000000002E-5</c:v>
                </c:pt>
                <c:pt idx="74">
                  <c:v>3.1300000000000002E-5</c:v>
                </c:pt>
                <c:pt idx="75">
                  <c:v>3.1300000000000002E-5</c:v>
                </c:pt>
                <c:pt idx="76">
                  <c:v>3.1300000000000002E-5</c:v>
                </c:pt>
                <c:pt idx="77">
                  <c:v>3.1199999999999999E-5</c:v>
                </c:pt>
                <c:pt idx="78">
                  <c:v>3.1199999999999999E-5</c:v>
                </c:pt>
                <c:pt idx="79">
                  <c:v>3.1300000000000002E-5</c:v>
                </c:pt>
                <c:pt idx="80">
                  <c:v>3.1300000000000002E-5</c:v>
                </c:pt>
                <c:pt idx="81">
                  <c:v>3.1300000000000002E-5</c:v>
                </c:pt>
                <c:pt idx="82">
                  <c:v>3.1300000000000002E-5</c:v>
                </c:pt>
                <c:pt idx="83">
                  <c:v>3.1199999999999999E-5</c:v>
                </c:pt>
                <c:pt idx="84">
                  <c:v>3.1300000000000002E-5</c:v>
                </c:pt>
                <c:pt idx="85">
                  <c:v>3.1300000000000002E-5</c:v>
                </c:pt>
                <c:pt idx="86">
                  <c:v>3.1300000000000002E-5</c:v>
                </c:pt>
                <c:pt idx="87">
                  <c:v>3.1300000000000002E-5</c:v>
                </c:pt>
                <c:pt idx="88">
                  <c:v>3.1199999999999999E-5</c:v>
                </c:pt>
                <c:pt idx="89">
                  <c:v>3.1199999999999999E-5</c:v>
                </c:pt>
                <c:pt idx="90">
                  <c:v>3.1199999999999999E-5</c:v>
                </c:pt>
                <c:pt idx="91">
                  <c:v>3.1300000000000002E-5</c:v>
                </c:pt>
                <c:pt idx="92">
                  <c:v>3.1300000000000002E-5</c:v>
                </c:pt>
                <c:pt idx="93">
                  <c:v>3.1199999999999999E-5</c:v>
                </c:pt>
                <c:pt idx="94">
                  <c:v>3.1199999999999999E-5</c:v>
                </c:pt>
                <c:pt idx="95">
                  <c:v>3.1199999999999999E-5</c:v>
                </c:pt>
                <c:pt idx="96">
                  <c:v>3.1300000000000002E-5</c:v>
                </c:pt>
                <c:pt idx="97">
                  <c:v>3.1300000000000002E-5</c:v>
                </c:pt>
                <c:pt idx="98">
                  <c:v>3.1300000000000002E-5</c:v>
                </c:pt>
                <c:pt idx="99">
                  <c:v>3.1199999999999999E-5</c:v>
                </c:pt>
                <c:pt idx="100">
                  <c:v>3.1300000000000002E-5</c:v>
                </c:pt>
                <c:pt idx="101">
                  <c:v>3.1300000000000002E-5</c:v>
                </c:pt>
                <c:pt idx="102">
                  <c:v>3.1300000000000002E-5</c:v>
                </c:pt>
                <c:pt idx="103">
                  <c:v>3.1300000000000002E-5</c:v>
                </c:pt>
                <c:pt idx="104">
                  <c:v>3.1199999999999999E-5</c:v>
                </c:pt>
                <c:pt idx="105">
                  <c:v>3.1300000000000002E-5</c:v>
                </c:pt>
                <c:pt idx="106">
                  <c:v>3.1300000000000002E-5</c:v>
                </c:pt>
                <c:pt idx="107">
                  <c:v>3.1300000000000002E-5</c:v>
                </c:pt>
                <c:pt idx="108">
                  <c:v>3.1300000000000002E-5</c:v>
                </c:pt>
                <c:pt idx="109">
                  <c:v>3.1300000000000002E-5</c:v>
                </c:pt>
                <c:pt idx="110">
                  <c:v>3.1300000000000002E-5</c:v>
                </c:pt>
                <c:pt idx="111">
                  <c:v>3.1300000000000002E-5</c:v>
                </c:pt>
                <c:pt idx="112">
                  <c:v>3.1300000000000002E-5</c:v>
                </c:pt>
                <c:pt idx="113">
                  <c:v>3.1300000000000002E-5</c:v>
                </c:pt>
                <c:pt idx="114">
                  <c:v>3.1300000000000002E-5</c:v>
                </c:pt>
                <c:pt idx="115">
                  <c:v>3.1300000000000002E-5</c:v>
                </c:pt>
                <c:pt idx="116">
                  <c:v>3.1300000000000002E-5</c:v>
                </c:pt>
                <c:pt idx="117">
                  <c:v>3.1300000000000002E-5</c:v>
                </c:pt>
                <c:pt idx="118">
                  <c:v>3.1300000000000002E-5</c:v>
                </c:pt>
                <c:pt idx="119">
                  <c:v>3.1300000000000002E-5</c:v>
                </c:pt>
                <c:pt idx="120">
                  <c:v>3.1199999999999999E-5</c:v>
                </c:pt>
                <c:pt idx="121">
                  <c:v>3.1300000000000002E-5</c:v>
                </c:pt>
                <c:pt idx="122">
                  <c:v>3.1199999999999999E-5</c:v>
                </c:pt>
                <c:pt idx="123">
                  <c:v>3.1300000000000002E-5</c:v>
                </c:pt>
                <c:pt idx="124">
                  <c:v>3.1300000000000002E-5</c:v>
                </c:pt>
                <c:pt idx="125">
                  <c:v>3.1300000000000002E-5</c:v>
                </c:pt>
                <c:pt idx="126">
                  <c:v>3.1199999999999999E-5</c:v>
                </c:pt>
                <c:pt idx="127">
                  <c:v>3.1300000000000002E-5</c:v>
                </c:pt>
                <c:pt idx="128">
                  <c:v>3.1199999999999999E-5</c:v>
                </c:pt>
                <c:pt idx="129">
                  <c:v>3.1300000000000002E-5</c:v>
                </c:pt>
                <c:pt idx="130">
                  <c:v>3.1199999999999999E-5</c:v>
                </c:pt>
                <c:pt idx="131">
                  <c:v>3.1300000000000002E-5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A-1F42-9601-BF1AC6DB4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696624"/>
        <c:axId val="38048848"/>
      </c:lineChart>
      <c:scatterChart>
        <c:scatterStyle val="smoothMarker"/>
        <c:varyColors val="0"/>
        <c:ser>
          <c:idx val="1"/>
          <c:order val="1"/>
          <c:tx>
            <c:strRef>
              <c:f>probabilities_mean_valued!$E$1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probabilities_mean_valued!$E$2:$E$721</c:f>
              <c:numCache>
                <c:formatCode>0.00E+00</c:formatCode>
                <c:ptCount val="720"/>
                <c:pt idx="0">
                  <c:v>3.1199999999999999E-5</c:v>
                </c:pt>
                <c:pt idx="1">
                  <c:v>3.1300000000000002E-5</c:v>
                </c:pt>
                <c:pt idx="2">
                  <c:v>3.1300000000000002E-5</c:v>
                </c:pt>
                <c:pt idx="3">
                  <c:v>3.1300000000000002E-5</c:v>
                </c:pt>
                <c:pt idx="4">
                  <c:v>3.1300000000000002E-5</c:v>
                </c:pt>
                <c:pt idx="5">
                  <c:v>3.1300000000000002E-5</c:v>
                </c:pt>
                <c:pt idx="6">
                  <c:v>3.1300000000000002E-5</c:v>
                </c:pt>
                <c:pt idx="7">
                  <c:v>3.1199999999999999E-5</c:v>
                </c:pt>
                <c:pt idx="8">
                  <c:v>3.1300000000000002E-5</c:v>
                </c:pt>
                <c:pt idx="9">
                  <c:v>3.1300000000000002E-5</c:v>
                </c:pt>
                <c:pt idx="10">
                  <c:v>3.1300000000000002E-5</c:v>
                </c:pt>
                <c:pt idx="11">
                  <c:v>3.1300000000000002E-5</c:v>
                </c:pt>
                <c:pt idx="12">
                  <c:v>3.1300000000000002E-5</c:v>
                </c:pt>
                <c:pt idx="13">
                  <c:v>3.1300000000000002E-5</c:v>
                </c:pt>
                <c:pt idx="14">
                  <c:v>3.1300000000000002E-5</c:v>
                </c:pt>
                <c:pt idx="15">
                  <c:v>3.1300000000000002E-5</c:v>
                </c:pt>
                <c:pt idx="16">
                  <c:v>3.1300000000000002E-5</c:v>
                </c:pt>
                <c:pt idx="17">
                  <c:v>3.1300000000000002E-5</c:v>
                </c:pt>
                <c:pt idx="18">
                  <c:v>3.1300000000000002E-5</c:v>
                </c:pt>
                <c:pt idx="19">
                  <c:v>3.1300000000000002E-5</c:v>
                </c:pt>
                <c:pt idx="20">
                  <c:v>3.1300000000000002E-5</c:v>
                </c:pt>
                <c:pt idx="21">
                  <c:v>3.1300000000000002E-5</c:v>
                </c:pt>
                <c:pt idx="22">
                  <c:v>3.1300000000000002E-5</c:v>
                </c:pt>
                <c:pt idx="23">
                  <c:v>3.1300000000000002E-5</c:v>
                </c:pt>
                <c:pt idx="24">
                  <c:v>3.1199999999999999E-5</c:v>
                </c:pt>
                <c:pt idx="25">
                  <c:v>3.1300000000000002E-5</c:v>
                </c:pt>
                <c:pt idx="26">
                  <c:v>3.1300000000000002E-5</c:v>
                </c:pt>
                <c:pt idx="27">
                  <c:v>3.1300000000000002E-5</c:v>
                </c:pt>
                <c:pt idx="28">
                  <c:v>3.1199999999999999E-5</c:v>
                </c:pt>
                <c:pt idx="29">
                  <c:v>3.1300000000000002E-5</c:v>
                </c:pt>
                <c:pt idx="30">
                  <c:v>3.1300000000000002E-5</c:v>
                </c:pt>
                <c:pt idx="31">
                  <c:v>3.1300000000000002E-5</c:v>
                </c:pt>
                <c:pt idx="32">
                  <c:v>3.1300000000000002E-5</c:v>
                </c:pt>
                <c:pt idx="33">
                  <c:v>3.1300000000000002E-5</c:v>
                </c:pt>
                <c:pt idx="34">
                  <c:v>3.1300000000000002E-5</c:v>
                </c:pt>
                <c:pt idx="35">
                  <c:v>3.1300000000000002E-5</c:v>
                </c:pt>
                <c:pt idx="36">
                  <c:v>3.1300000000000002E-5</c:v>
                </c:pt>
                <c:pt idx="37">
                  <c:v>3.1199999999999999E-5</c:v>
                </c:pt>
                <c:pt idx="38">
                  <c:v>3.1300000000000002E-5</c:v>
                </c:pt>
                <c:pt idx="39">
                  <c:v>3.1300000000000002E-5</c:v>
                </c:pt>
                <c:pt idx="40">
                  <c:v>3.1300000000000002E-5</c:v>
                </c:pt>
                <c:pt idx="41">
                  <c:v>3.1300000000000002E-5</c:v>
                </c:pt>
                <c:pt idx="42">
                  <c:v>3.1300000000000002E-5</c:v>
                </c:pt>
                <c:pt idx="43">
                  <c:v>3.1300000000000002E-5</c:v>
                </c:pt>
                <c:pt idx="44">
                  <c:v>3.1300000000000002E-5</c:v>
                </c:pt>
                <c:pt idx="45">
                  <c:v>3.1300000000000002E-5</c:v>
                </c:pt>
                <c:pt idx="46">
                  <c:v>3.1300000000000002E-5</c:v>
                </c:pt>
                <c:pt idx="47">
                  <c:v>3.1300000000000002E-5</c:v>
                </c:pt>
                <c:pt idx="48">
                  <c:v>3.1199999999999999E-5</c:v>
                </c:pt>
                <c:pt idx="49">
                  <c:v>3.1300000000000002E-5</c:v>
                </c:pt>
                <c:pt idx="50">
                  <c:v>3.1199999999999999E-5</c:v>
                </c:pt>
                <c:pt idx="51">
                  <c:v>3.1300000000000002E-5</c:v>
                </c:pt>
                <c:pt idx="52">
                  <c:v>3.1300000000000002E-5</c:v>
                </c:pt>
                <c:pt idx="53">
                  <c:v>3.1300000000000002E-5</c:v>
                </c:pt>
                <c:pt idx="54">
                  <c:v>3.1300000000000002E-5</c:v>
                </c:pt>
                <c:pt idx="55">
                  <c:v>3.1300000000000002E-5</c:v>
                </c:pt>
                <c:pt idx="56">
                  <c:v>3.1300000000000002E-5</c:v>
                </c:pt>
                <c:pt idx="57">
                  <c:v>3.1300000000000002E-5</c:v>
                </c:pt>
                <c:pt idx="58">
                  <c:v>3.1300000000000002E-5</c:v>
                </c:pt>
                <c:pt idx="59">
                  <c:v>3.1300000000000002E-5</c:v>
                </c:pt>
                <c:pt idx="60">
                  <c:v>3.1300000000000002E-5</c:v>
                </c:pt>
                <c:pt idx="61">
                  <c:v>3.1199999999999999E-5</c:v>
                </c:pt>
                <c:pt idx="62">
                  <c:v>3.1300000000000002E-5</c:v>
                </c:pt>
                <c:pt idx="63">
                  <c:v>3.1300000000000002E-5</c:v>
                </c:pt>
                <c:pt idx="64">
                  <c:v>3.1300000000000002E-5</c:v>
                </c:pt>
                <c:pt idx="65">
                  <c:v>3.1199999999999999E-5</c:v>
                </c:pt>
                <c:pt idx="66">
                  <c:v>3.1199999999999999E-5</c:v>
                </c:pt>
                <c:pt idx="67">
                  <c:v>3.1199999999999999E-5</c:v>
                </c:pt>
                <c:pt idx="68">
                  <c:v>3.1300000000000002E-5</c:v>
                </c:pt>
                <c:pt idx="69">
                  <c:v>3.1300000000000002E-5</c:v>
                </c:pt>
                <c:pt idx="70">
                  <c:v>3.1300000000000002E-5</c:v>
                </c:pt>
                <c:pt idx="71">
                  <c:v>3.1199999999999999E-5</c:v>
                </c:pt>
                <c:pt idx="72">
                  <c:v>3.1300000000000002E-5</c:v>
                </c:pt>
                <c:pt idx="73">
                  <c:v>3.1300000000000002E-5</c:v>
                </c:pt>
                <c:pt idx="74">
                  <c:v>3.1300000000000002E-5</c:v>
                </c:pt>
                <c:pt idx="75">
                  <c:v>3.1300000000000002E-5</c:v>
                </c:pt>
                <c:pt idx="76">
                  <c:v>3.1199999999999999E-5</c:v>
                </c:pt>
                <c:pt idx="77">
                  <c:v>3.1300000000000002E-5</c:v>
                </c:pt>
                <c:pt idx="78">
                  <c:v>3.1199999999999999E-5</c:v>
                </c:pt>
                <c:pt idx="79">
                  <c:v>3.1300000000000002E-5</c:v>
                </c:pt>
                <c:pt idx="80">
                  <c:v>3.1300000000000002E-5</c:v>
                </c:pt>
                <c:pt idx="81">
                  <c:v>3.1300000000000002E-5</c:v>
                </c:pt>
                <c:pt idx="82">
                  <c:v>3.1300000000000002E-5</c:v>
                </c:pt>
                <c:pt idx="83">
                  <c:v>3.1300000000000002E-5</c:v>
                </c:pt>
                <c:pt idx="84">
                  <c:v>3.1300000000000002E-5</c:v>
                </c:pt>
                <c:pt idx="85">
                  <c:v>3.1300000000000002E-5</c:v>
                </c:pt>
                <c:pt idx="86">
                  <c:v>3.1300000000000002E-5</c:v>
                </c:pt>
                <c:pt idx="87">
                  <c:v>3.1199999999999999E-5</c:v>
                </c:pt>
                <c:pt idx="88">
                  <c:v>3.1199999999999999E-5</c:v>
                </c:pt>
                <c:pt idx="89">
                  <c:v>3.1199999999999999E-5</c:v>
                </c:pt>
                <c:pt idx="90">
                  <c:v>3.1300000000000002E-5</c:v>
                </c:pt>
                <c:pt idx="91">
                  <c:v>3.1300000000000002E-5</c:v>
                </c:pt>
                <c:pt idx="92">
                  <c:v>3.1199999999999999E-5</c:v>
                </c:pt>
                <c:pt idx="93">
                  <c:v>3.1199999999999999E-5</c:v>
                </c:pt>
                <c:pt idx="94">
                  <c:v>3.1300000000000002E-5</c:v>
                </c:pt>
                <c:pt idx="95">
                  <c:v>3.1300000000000002E-5</c:v>
                </c:pt>
                <c:pt idx="96">
                  <c:v>3.1199999999999999E-5</c:v>
                </c:pt>
                <c:pt idx="97">
                  <c:v>3.1300000000000002E-5</c:v>
                </c:pt>
                <c:pt idx="98">
                  <c:v>3.1199999999999999E-5</c:v>
                </c:pt>
                <c:pt idx="99">
                  <c:v>3.1300000000000002E-5</c:v>
                </c:pt>
                <c:pt idx="100">
                  <c:v>3.1199999999999999E-5</c:v>
                </c:pt>
                <c:pt idx="101">
                  <c:v>3.1300000000000002E-5</c:v>
                </c:pt>
                <c:pt idx="102">
                  <c:v>3.1300000000000002E-5</c:v>
                </c:pt>
                <c:pt idx="103">
                  <c:v>3.1199999999999999E-5</c:v>
                </c:pt>
                <c:pt idx="104">
                  <c:v>3.1199999999999999E-5</c:v>
                </c:pt>
                <c:pt idx="105">
                  <c:v>3.1300000000000002E-5</c:v>
                </c:pt>
                <c:pt idx="106">
                  <c:v>3.1300000000000002E-5</c:v>
                </c:pt>
                <c:pt idx="107">
                  <c:v>3.1300000000000002E-5</c:v>
                </c:pt>
                <c:pt idx="108">
                  <c:v>3.1300000000000002E-5</c:v>
                </c:pt>
                <c:pt idx="109">
                  <c:v>3.1300000000000002E-5</c:v>
                </c:pt>
                <c:pt idx="110">
                  <c:v>3.1199999999999999E-5</c:v>
                </c:pt>
                <c:pt idx="111">
                  <c:v>3.1300000000000002E-5</c:v>
                </c:pt>
                <c:pt idx="112">
                  <c:v>3.1300000000000002E-5</c:v>
                </c:pt>
                <c:pt idx="113">
                  <c:v>3.1300000000000002E-5</c:v>
                </c:pt>
                <c:pt idx="114">
                  <c:v>3.1300000000000002E-5</c:v>
                </c:pt>
                <c:pt idx="115">
                  <c:v>3.1300000000000002E-5</c:v>
                </c:pt>
                <c:pt idx="116">
                  <c:v>3.1300000000000002E-5</c:v>
                </c:pt>
                <c:pt idx="117">
                  <c:v>3.1199999999999999E-5</c:v>
                </c:pt>
                <c:pt idx="118">
                  <c:v>3.1199999999999999E-5</c:v>
                </c:pt>
                <c:pt idx="119">
                  <c:v>3.1300000000000002E-5</c:v>
                </c:pt>
                <c:pt idx="120">
                  <c:v>3.1300000000000002E-5</c:v>
                </c:pt>
                <c:pt idx="121">
                  <c:v>3.1300000000000002E-5</c:v>
                </c:pt>
                <c:pt idx="122">
                  <c:v>3.1300000000000002E-5</c:v>
                </c:pt>
                <c:pt idx="123">
                  <c:v>3.1300000000000002E-5</c:v>
                </c:pt>
                <c:pt idx="124">
                  <c:v>3.1300000000000002E-5</c:v>
                </c:pt>
                <c:pt idx="125">
                  <c:v>3.1300000000000002E-5</c:v>
                </c:pt>
                <c:pt idx="126">
                  <c:v>3.1300000000000002E-5</c:v>
                </c:pt>
                <c:pt idx="127">
                  <c:v>3.1300000000000002E-5</c:v>
                </c:pt>
                <c:pt idx="128">
                  <c:v>3.1300000000000002E-5</c:v>
                </c:pt>
                <c:pt idx="129">
                  <c:v>3.1300000000000002E-5</c:v>
                </c:pt>
                <c:pt idx="130">
                  <c:v>3.1300000000000002E-5</c:v>
                </c:pt>
                <c:pt idx="131">
                  <c:v>3.1199999999999999E-5</c:v>
                </c:pt>
                <c:pt idx="132">
                  <c:v>3.1300000000000002E-5</c:v>
                </c:pt>
                <c:pt idx="133">
                  <c:v>3.1300000000000002E-5</c:v>
                </c:pt>
                <c:pt idx="134">
                  <c:v>3.1300000000000002E-5</c:v>
                </c:pt>
                <c:pt idx="135">
                  <c:v>3.1300000000000002E-5</c:v>
                </c:pt>
                <c:pt idx="136">
                  <c:v>3.1300000000000002E-5</c:v>
                </c:pt>
                <c:pt idx="137">
                  <c:v>3.1300000000000002E-5</c:v>
                </c:pt>
                <c:pt idx="138">
                  <c:v>3.1300000000000002E-5</c:v>
                </c:pt>
                <c:pt idx="139">
                  <c:v>3.1199999999999999E-5</c:v>
                </c:pt>
                <c:pt idx="140">
                  <c:v>3.1300000000000002E-5</c:v>
                </c:pt>
                <c:pt idx="141">
                  <c:v>3.1300000000000002E-5</c:v>
                </c:pt>
                <c:pt idx="142">
                  <c:v>3.1300000000000002E-5</c:v>
                </c:pt>
                <c:pt idx="143">
                  <c:v>3.1300000000000002E-5</c:v>
                </c:pt>
                <c:pt idx="144">
                  <c:v>3.1300000000000002E-5</c:v>
                </c:pt>
                <c:pt idx="145">
                  <c:v>3.1300000000000002E-5</c:v>
                </c:pt>
                <c:pt idx="146">
                  <c:v>3.1300000000000002E-5</c:v>
                </c:pt>
                <c:pt idx="147">
                  <c:v>3.1199999999999999E-5</c:v>
                </c:pt>
                <c:pt idx="148">
                  <c:v>3.1300000000000002E-5</c:v>
                </c:pt>
                <c:pt idx="149">
                  <c:v>3.1199999999999999E-5</c:v>
                </c:pt>
                <c:pt idx="150">
                  <c:v>3.1300000000000002E-5</c:v>
                </c:pt>
                <c:pt idx="151">
                  <c:v>3.1300000000000002E-5</c:v>
                </c:pt>
                <c:pt idx="152">
                  <c:v>3.1199999999999999E-5</c:v>
                </c:pt>
                <c:pt idx="153">
                  <c:v>3.1300000000000002E-5</c:v>
                </c:pt>
                <c:pt idx="154">
                  <c:v>3.1300000000000002E-5</c:v>
                </c:pt>
                <c:pt idx="155">
                  <c:v>3.1300000000000002E-5</c:v>
                </c:pt>
                <c:pt idx="156">
                  <c:v>3.1300000000000002E-5</c:v>
                </c:pt>
                <c:pt idx="157">
                  <c:v>3.1300000000000002E-5</c:v>
                </c:pt>
                <c:pt idx="158">
                  <c:v>3.1300000000000002E-5</c:v>
                </c:pt>
                <c:pt idx="159">
                  <c:v>3.1300000000000002E-5</c:v>
                </c:pt>
                <c:pt idx="160">
                  <c:v>3.1300000000000002E-5</c:v>
                </c:pt>
                <c:pt idx="161">
                  <c:v>3.1300000000000002E-5</c:v>
                </c:pt>
                <c:pt idx="162">
                  <c:v>3.1199999999999999E-5</c:v>
                </c:pt>
                <c:pt idx="163">
                  <c:v>3.1300000000000002E-5</c:v>
                </c:pt>
                <c:pt idx="164">
                  <c:v>3.1300000000000002E-5</c:v>
                </c:pt>
                <c:pt idx="165">
                  <c:v>3.1300000000000002E-5</c:v>
                </c:pt>
                <c:pt idx="166">
                  <c:v>3.1300000000000002E-5</c:v>
                </c:pt>
                <c:pt idx="167">
                  <c:v>3.1300000000000002E-5</c:v>
                </c:pt>
                <c:pt idx="168">
                  <c:v>3.1300000000000002E-5</c:v>
                </c:pt>
                <c:pt idx="169">
                  <c:v>3.1300000000000002E-5</c:v>
                </c:pt>
                <c:pt idx="170">
                  <c:v>3.1300000000000002E-5</c:v>
                </c:pt>
                <c:pt idx="171">
                  <c:v>3.1300000000000002E-5</c:v>
                </c:pt>
                <c:pt idx="172">
                  <c:v>3.1300000000000002E-5</c:v>
                </c:pt>
                <c:pt idx="173">
                  <c:v>3.1300000000000002E-5</c:v>
                </c:pt>
                <c:pt idx="174">
                  <c:v>3.1300000000000002E-5</c:v>
                </c:pt>
                <c:pt idx="175">
                  <c:v>3.1300000000000002E-5</c:v>
                </c:pt>
                <c:pt idx="176">
                  <c:v>3.1300000000000002E-5</c:v>
                </c:pt>
                <c:pt idx="177">
                  <c:v>3.1300000000000002E-5</c:v>
                </c:pt>
                <c:pt idx="178">
                  <c:v>3.1300000000000002E-5</c:v>
                </c:pt>
                <c:pt idx="179">
                  <c:v>3.1300000000000002E-5</c:v>
                </c:pt>
                <c:pt idx="180">
                  <c:v>3.1300000000000002E-5</c:v>
                </c:pt>
                <c:pt idx="181">
                  <c:v>3.1199999999999999E-5</c:v>
                </c:pt>
                <c:pt idx="182">
                  <c:v>3.1199999999999999E-5</c:v>
                </c:pt>
                <c:pt idx="183">
                  <c:v>3.1199999999999999E-5</c:v>
                </c:pt>
                <c:pt idx="184">
                  <c:v>3.1199999999999999E-5</c:v>
                </c:pt>
                <c:pt idx="185">
                  <c:v>3.1300000000000002E-5</c:v>
                </c:pt>
                <c:pt idx="186">
                  <c:v>3.1300000000000002E-5</c:v>
                </c:pt>
                <c:pt idx="187">
                  <c:v>3.1199999999999999E-5</c:v>
                </c:pt>
                <c:pt idx="188">
                  <c:v>3.1300000000000002E-5</c:v>
                </c:pt>
                <c:pt idx="189">
                  <c:v>3.1300000000000002E-5</c:v>
                </c:pt>
                <c:pt idx="190">
                  <c:v>3.1300000000000002E-5</c:v>
                </c:pt>
                <c:pt idx="191">
                  <c:v>3.1300000000000002E-5</c:v>
                </c:pt>
                <c:pt idx="192">
                  <c:v>3.1300000000000002E-5</c:v>
                </c:pt>
                <c:pt idx="193">
                  <c:v>3.1300000000000002E-5</c:v>
                </c:pt>
                <c:pt idx="194">
                  <c:v>3.1199999999999999E-5</c:v>
                </c:pt>
                <c:pt idx="195">
                  <c:v>3.1300000000000002E-5</c:v>
                </c:pt>
                <c:pt idx="196">
                  <c:v>3.1300000000000002E-5</c:v>
                </c:pt>
                <c:pt idx="197">
                  <c:v>3.1199999999999999E-5</c:v>
                </c:pt>
                <c:pt idx="198">
                  <c:v>3.1300000000000002E-5</c:v>
                </c:pt>
                <c:pt idx="199">
                  <c:v>3.1199999999999999E-5</c:v>
                </c:pt>
                <c:pt idx="200">
                  <c:v>3.1300000000000002E-5</c:v>
                </c:pt>
                <c:pt idx="201">
                  <c:v>3.1300000000000002E-5</c:v>
                </c:pt>
                <c:pt idx="202">
                  <c:v>3.1199999999999999E-5</c:v>
                </c:pt>
                <c:pt idx="203">
                  <c:v>3.1300000000000002E-5</c:v>
                </c:pt>
                <c:pt idx="204">
                  <c:v>3.1300000000000002E-5</c:v>
                </c:pt>
                <c:pt idx="205">
                  <c:v>3.1300000000000002E-5</c:v>
                </c:pt>
                <c:pt idx="206">
                  <c:v>3.1300000000000002E-5</c:v>
                </c:pt>
                <c:pt idx="207">
                  <c:v>3.1300000000000002E-5</c:v>
                </c:pt>
                <c:pt idx="208">
                  <c:v>3.1199999999999999E-5</c:v>
                </c:pt>
                <c:pt idx="209">
                  <c:v>3.1199999999999999E-5</c:v>
                </c:pt>
                <c:pt idx="210">
                  <c:v>3.1300000000000002E-5</c:v>
                </c:pt>
                <c:pt idx="211">
                  <c:v>3.1300000000000002E-5</c:v>
                </c:pt>
                <c:pt idx="212">
                  <c:v>3.1300000000000002E-5</c:v>
                </c:pt>
                <c:pt idx="213">
                  <c:v>3.1300000000000002E-5</c:v>
                </c:pt>
                <c:pt idx="214">
                  <c:v>3.1199999999999999E-5</c:v>
                </c:pt>
                <c:pt idx="215">
                  <c:v>3.1300000000000002E-5</c:v>
                </c:pt>
                <c:pt idx="216">
                  <c:v>3.1300000000000002E-5</c:v>
                </c:pt>
                <c:pt idx="217">
                  <c:v>3.1300000000000002E-5</c:v>
                </c:pt>
                <c:pt idx="218">
                  <c:v>3.1300000000000002E-5</c:v>
                </c:pt>
                <c:pt idx="219">
                  <c:v>3.1300000000000002E-5</c:v>
                </c:pt>
                <c:pt idx="220">
                  <c:v>3.1300000000000002E-5</c:v>
                </c:pt>
                <c:pt idx="221">
                  <c:v>3.1300000000000002E-5</c:v>
                </c:pt>
                <c:pt idx="222">
                  <c:v>3.1300000000000002E-5</c:v>
                </c:pt>
                <c:pt idx="223">
                  <c:v>3.1300000000000002E-5</c:v>
                </c:pt>
                <c:pt idx="224">
                  <c:v>3.1199999999999999E-5</c:v>
                </c:pt>
                <c:pt idx="225">
                  <c:v>3.1300000000000002E-5</c:v>
                </c:pt>
                <c:pt idx="226">
                  <c:v>3.1199999999999999E-5</c:v>
                </c:pt>
                <c:pt idx="227">
                  <c:v>3.1199999999999999E-5</c:v>
                </c:pt>
                <c:pt idx="228">
                  <c:v>3.1300000000000002E-5</c:v>
                </c:pt>
                <c:pt idx="229">
                  <c:v>3.1300000000000002E-5</c:v>
                </c:pt>
                <c:pt idx="230">
                  <c:v>3.1199999999999999E-5</c:v>
                </c:pt>
                <c:pt idx="231">
                  <c:v>3.1300000000000002E-5</c:v>
                </c:pt>
                <c:pt idx="232">
                  <c:v>3.1300000000000002E-5</c:v>
                </c:pt>
                <c:pt idx="233">
                  <c:v>3.1199999999999999E-5</c:v>
                </c:pt>
                <c:pt idx="234">
                  <c:v>3.1300000000000002E-5</c:v>
                </c:pt>
                <c:pt idx="235">
                  <c:v>3.1300000000000002E-5</c:v>
                </c:pt>
                <c:pt idx="236">
                  <c:v>3.1199999999999999E-5</c:v>
                </c:pt>
                <c:pt idx="237">
                  <c:v>3.1300000000000002E-5</c:v>
                </c:pt>
                <c:pt idx="238">
                  <c:v>3.1300000000000002E-5</c:v>
                </c:pt>
                <c:pt idx="239">
                  <c:v>3.1300000000000002E-5</c:v>
                </c:pt>
                <c:pt idx="240">
                  <c:v>3.1300000000000002E-5</c:v>
                </c:pt>
                <c:pt idx="241">
                  <c:v>3.1300000000000002E-5</c:v>
                </c:pt>
                <c:pt idx="242">
                  <c:v>3.1300000000000002E-5</c:v>
                </c:pt>
                <c:pt idx="243">
                  <c:v>3.1300000000000002E-5</c:v>
                </c:pt>
                <c:pt idx="244">
                  <c:v>3.1300000000000002E-5</c:v>
                </c:pt>
                <c:pt idx="245">
                  <c:v>3.1300000000000002E-5</c:v>
                </c:pt>
                <c:pt idx="246">
                  <c:v>3.1300000000000002E-5</c:v>
                </c:pt>
                <c:pt idx="247">
                  <c:v>3.1300000000000002E-5</c:v>
                </c:pt>
                <c:pt idx="248">
                  <c:v>3.1300000000000002E-5</c:v>
                </c:pt>
                <c:pt idx="249">
                  <c:v>3.1300000000000002E-5</c:v>
                </c:pt>
                <c:pt idx="250">
                  <c:v>3.1199999999999999E-5</c:v>
                </c:pt>
                <c:pt idx="251">
                  <c:v>3.1300000000000002E-5</c:v>
                </c:pt>
                <c:pt idx="252">
                  <c:v>3.1300000000000002E-5</c:v>
                </c:pt>
                <c:pt idx="253">
                  <c:v>3.1300000000000002E-5</c:v>
                </c:pt>
                <c:pt idx="254">
                  <c:v>3.1300000000000002E-5</c:v>
                </c:pt>
                <c:pt idx="255">
                  <c:v>3.1300000000000002E-5</c:v>
                </c:pt>
                <c:pt idx="256">
                  <c:v>3.1300000000000002E-5</c:v>
                </c:pt>
                <c:pt idx="257">
                  <c:v>3.1300000000000002E-5</c:v>
                </c:pt>
                <c:pt idx="258">
                  <c:v>3.1300000000000002E-5</c:v>
                </c:pt>
                <c:pt idx="259">
                  <c:v>3.1300000000000002E-5</c:v>
                </c:pt>
                <c:pt idx="260">
                  <c:v>3.1300000000000002E-5</c:v>
                </c:pt>
                <c:pt idx="261">
                  <c:v>3.1300000000000002E-5</c:v>
                </c:pt>
                <c:pt idx="262">
                  <c:v>3.1300000000000002E-5</c:v>
                </c:pt>
                <c:pt idx="263">
                  <c:v>3.1300000000000002E-5</c:v>
                </c:pt>
                <c:pt idx="264">
                  <c:v>3.1300000000000002E-5</c:v>
                </c:pt>
                <c:pt idx="265">
                  <c:v>3.1300000000000002E-5</c:v>
                </c:pt>
                <c:pt idx="266">
                  <c:v>3.1300000000000002E-5</c:v>
                </c:pt>
                <c:pt idx="267">
                  <c:v>3.1300000000000002E-5</c:v>
                </c:pt>
                <c:pt idx="268">
                  <c:v>3.1199999999999999E-5</c:v>
                </c:pt>
                <c:pt idx="269">
                  <c:v>3.1300000000000002E-5</c:v>
                </c:pt>
                <c:pt idx="270">
                  <c:v>3.1300000000000002E-5</c:v>
                </c:pt>
                <c:pt idx="271">
                  <c:v>3.1300000000000002E-5</c:v>
                </c:pt>
                <c:pt idx="272">
                  <c:v>3.1300000000000002E-5</c:v>
                </c:pt>
                <c:pt idx="273">
                  <c:v>3.1199999999999999E-5</c:v>
                </c:pt>
                <c:pt idx="274">
                  <c:v>3.1300000000000002E-5</c:v>
                </c:pt>
                <c:pt idx="275">
                  <c:v>3.1300000000000002E-5</c:v>
                </c:pt>
                <c:pt idx="276">
                  <c:v>3.1300000000000002E-5</c:v>
                </c:pt>
                <c:pt idx="277">
                  <c:v>3.1300000000000002E-5</c:v>
                </c:pt>
                <c:pt idx="278">
                  <c:v>3.1199999999999999E-5</c:v>
                </c:pt>
                <c:pt idx="279">
                  <c:v>3.1300000000000002E-5</c:v>
                </c:pt>
                <c:pt idx="280">
                  <c:v>3.1300000000000002E-5</c:v>
                </c:pt>
                <c:pt idx="281">
                  <c:v>3.1199999999999999E-5</c:v>
                </c:pt>
                <c:pt idx="282">
                  <c:v>3.1300000000000002E-5</c:v>
                </c:pt>
                <c:pt idx="283">
                  <c:v>3.1300000000000002E-5</c:v>
                </c:pt>
                <c:pt idx="284">
                  <c:v>3.1300000000000002E-5</c:v>
                </c:pt>
                <c:pt idx="285">
                  <c:v>3.1300000000000002E-5</c:v>
                </c:pt>
                <c:pt idx="286">
                  <c:v>3.1300000000000002E-5</c:v>
                </c:pt>
                <c:pt idx="287">
                  <c:v>3.1300000000000002E-5</c:v>
                </c:pt>
                <c:pt idx="288">
                  <c:v>3.1300000000000002E-5</c:v>
                </c:pt>
                <c:pt idx="289">
                  <c:v>3.1300000000000002E-5</c:v>
                </c:pt>
                <c:pt idx="290">
                  <c:v>3.1300000000000002E-5</c:v>
                </c:pt>
                <c:pt idx="291">
                  <c:v>3.1300000000000002E-5</c:v>
                </c:pt>
                <c:pt idx="292">
                  <c:v>3.1300000000000002E-5</c:v>
                </c:pt>
                <c:pt idx="293">
                  <c:v>3.1300000000000002E-5</c:v>
                </c:pt>
                <c:pt idx="294">
                  <c:v>3.1300000000000002E-5</c:v>
                </c:pt>
                <c:pt idx="295">
                  <c:v>3.1300000000000002E-5</c:v>
                </c:pt>
                <c:pt idx="296">
                  <c:v>3.1300000000000002E-5</c:v>
                </c:pt>
                <c:pt idx="297">
                  <c:v>3.1199999999999999E-5</c:v>
                </c:pt>
                <c:pt idx="298">
                  <c:v>3.1300000000000002E-5</c:v>
                </c:pt>
                <c:pt idx="299">
                  <c:v>3.1300000000000002E-5</c:v>
                </c:pt>
                <c:pt idx="300">
                  <c:v>3.1300000000000002E-5</c:v>
                </c:pt>
                <c:pt idx="301">
                  <c:v>3.1199999999999999E-5</c:v>
                </c:pt>
                <c:pt idx="302">
                  <c:v>3.1199999999999999E-5</c:v>
                </c:pt>
                <c:pt idx="303">
                  <c:v>3.1199999999999999E-5</c:v>
                </c:pt>
                <c:pt idx="304">
                  <c:v>3.1300000000000002E-5</c:v>
                </c:pt>
                <c:pt idx="305">
                  <c:v>3.1300000000000002E-5</c:v>
                </c:pt>
                <c:pt idx="306">
                  <c:v>3.1300000000000002E-5</c:v>
                </c:pt>
                <c:pt idx="307">
                  <c:v>3.1300000000000002E-5</c:v>
                </c:pt>
                <c:pt idx="308">
                  <c:v>3.1300000000000002E-5</c:v>
                </c:pt>
                <c:pt idx="309">
                  <c:v>3.1300000000000002E-5</c:v>
                </c:pt>
                <c:pt idx="310">
                  <c:v>3.1300000000000002E-5</c:v>
                </c:pt>
                <c:pt idx="311">
                  <c:v>3.1300000000000002E-5</c:v>
                </c:pt>
                <c:pt idx="312">
                  <c:v>3.1300000000000002E-5</c:v>
                </c:pt>
                <c:pt idx="313">
                  <c:v>3.1300000000000002E-5</c:v>
                </c:pt>
                <c:pt idx="314">
                  <c:v>3.1300000000000002E-5</c:v>
                </c:pt>
                <c:pt idx="315">
                  <c:v>3.1300000000000002E-5</c:v>
                </c:pt>
                <c:pt idx="316">
                  <c:v>3.1300000000000002E-5</c:v>
                </c:pt>
                <c:pt idx="317">
                  <c:v>3.1300000000000002E-5</c:v>
                </c:pt>
                <c:pt idx="318">
                  <c:v>3.1300000000000002E-5</c:v>
                </c:pt>
                <c:pt idx="319">
                  <c:v>3.1300000000000002E-5</c:v>
                </c:pt>
                <c:pt idx="320">
                  <c:v>3.1300000000000002E-5</c:v>
                </c:pt>
                <c:pt idx="321">
                  <c:v>3.1300000000000002E-5</c:v>
                </c:pt>
                <c:pt idx="322">
                  <c:v>3.1300000000000002E-5</c:v>
                </c:pt>
                <c:pt idx="323">
                  <c:v>3.1199999999999999E-5</c:v>
                </c:pt>
                <c:pt idx="324">
                  <c:v>3.1300000000000002E-5</c:v>
                </c:pt>
                <c:pt idx="325">
                  <c:v>3.1300000000000002E-5</c:v>
                </c:pt>
                <c:pt idx="326">
                  <c:v>3.1199999999999999E-5</c:v>
                </c:pt>
                <c:pt idx="327">
                  <c:v>3.1300000000000002E-5</c:v>
                </c:pt>
                <c:pt idx="328">
                  <c:v>3.1300000000000002E-5</c:v>
                </c:pt>
                <c:pt idx="329">
                  <c:v>3.1300000000000002E-5</c:v>
                </c:pt>
                <c:pt idx="330">
                  <c:v>3.1199999999999999E-5</c:v>
                </c:pt>
                <c:pt idx="331">
                  <c:v>3.1199999999999999E-5</c:v>
                </c:pt>
                <c:pt idx="332">
                  <c:v>3.1300000000000002E-5</c:v>
                </c:pt>
                <c:pt idx="333">
                  <c:v>3.1300000000000002E-5</c:v>
                </c:pt>
                <c:pt idx="334">
                  <c:v>3.1300000000000002E-5</c:v>
                </c:pt>
                <c:pt idx="335">
                  <c:v>3.1300000000000002E-5</c:v>
                </c:pt>
                <c:pt idx="336">
                  <c:v>3.1300000000000002E-5</c:v>
                </c:pt>
                <c:pt idx="337">
                  <c:v>3.1300000000000002E-5</c:v>
                </c:pt>
                <c:pt idx="338">
                  <c:v>3.1300000000000002E-5</c:v>
                </c:pt>
                <c:pt idx="339">
                  <c:v>3.1300000000000002E-5</c:v>
                </c:pt>
                <c:pt idx="340">
                  <c:v>3.1300000000000002E-5</c:v>
                </c:pt>
                <c:pt idx="341">
                  <c:v>3.1300000000000002E-5</c:v>
                </c:pt>
                <c:pt idx="342">
                  <c:v>3.1300000000000002E-5</c:v>
                </c:pt>
                <c:pt idx="343">
                  <c:v>3.1300000000000002E-5</c:v>
                </c:pt>
                <c:pt idx="344">
                  <c:v>3.1199999999999999E-5</c:v>
                </c:pt>
                <c:pt idx="345">
                  <c:v>3.1300000000000002E-5</c:v>
                </c:pt>
                <c:pt idx="346">
                  <c:v>3.1300000000000002E-5</c:v>
                </c:pt>
                <c:pt idx="347">
                  <c:v>3.1300000000000002E-5</c:v>
                </c:pt>
                <c:pt idx="348">
                  <c:v>3.1300000000000002E-5</c:v>
                </c:pt>
                <c:pt idx="349">
                  <c:v>3.1300000000000002E-5</c:v>
                </c:pt>
                <c:pt idx="350">
                  <c:v>3.1300000000000002E-5</c:v>
                </c:pt>
                <c:pt idx="351">
                  <c:v>3.1300000000000002E-5</c:v>
                </c:pt>
                <c:pt idx="352">
                  <c:v>3.1300000000000002E-5</c:v>
                </c:pt>
                <c:pt idx="353">
                  <c:v>3.1300000000000002E-5</c:v>
                </c:pt>
                <c:pt idx="354">
                  <c:v>3.1199999999999999E-5</c:v>
                </c:pt>
                <c:pt idx="355">
                  <c:v>3.1300000000000002E-5</c:v>
                </c:pt>
                <c:pt idx="356">
                  <c:v>3.1199999999999999E-5</c:v>
                </c:pt>
                <c:pt idx="357">
                  <c:v>3.1300000000000002E-5</c:v>
                </c:pt>
                <c:pt idx="358">
                  <c:v>3.1199999999999999E-5</c:v>
                </c:pt>
                <c:pt idx="359">
                  <c:v>3.1300000000000002E-5</c:v>
                </c:pt>
                <c:pt idx="360">
                  <c:v>3.1300000000000002E-5</c:v>
                </c:pt>
                <c:pt idx="361">
                  <c:v>3.1300000000000002E-5</c:v>
                </c:pt>
                <c:pt idx="362">
                  <c:v>3.1199999999999999E-5</c:v>
                </c:pt>
                <c:pt idx="363">
                  <c:v>3.1300000000000002E-5</c:v>
                </c:pt>
                <c:pt idx="364">
                  <c:v>3.1300000000000002E-5</c:v>
                </c:pt>
                <c:pt idx="365">
                  <c:v>3.1300000000000002E-5</c:v>
                </c:pt>
                <c:pt idx="366">
                  <c:v>3.1300000000000002E-5</c:v>
                </c:pt>
                <c:pt idx="367">
                  <c:v>3.1300000000000002E-5</c:v>
                </c:pt>
                <c:pt idx="368">
                  <c:v>3.1300000000000002E-5</c:v>
                </c:pt>
                <c:pt idx="369">
                  <c:v>3.1300000000000002E-5</c:v>
                </c:pt>
                <c:pt idx="370">
                  <c:v>3.1199999999999999E-5</c:v>
                </c:pt>
                <c:pt idx="371">
                  <c:v>3.1300000000000002E-5</c:v>
                </c:pt>
                <c:pt idx="372">
                  <c:v>3.1199999999999999E-5</c:v>
                </c:pt>
                <c:pt idx="373">
                  <c:v>3.1199999999999999E-5</c:v>
                </c:pt>
                <c:pt idx="374">
                  <c:v>3.1300000000000002E-5</c:v>
                </c:pt>
                <c:pt idx="375">
                  <c:v>3.1199999999999999E-5</c:v>
                </c:pt>
                <c:pt idx="376">
                  <c:v>3.1300000000000002E-5</c:v>
                </c:pt>
                <c:pt idx="377">
                  <c:v>3.1300000000000002E-5</c:v>
                </c:pt>
                <c:pt idx="378">
                  <c:v>3.1199999999999999E-5</c:v>
                </c:pt>
                <c:pt idx="379">
                  <c:v>3.1199999999999999E-5</c:v>
                </c:pt>
                <c:pt idx="380">
                  <c:v>3.1300000000000002E-5</c:v>
                </c:pt>
                <c:pt idx="381">
                  <c:v>3.1199999999999999E-5</c:v>
                </c:pt>
                <c:pt idx="382">
                  <c:v>3.1300000000000002E-5</c:v>
                </c:pt>
                <c:pt idx="383">
                  <c:v>3.1300000000000002E-5</c:v>
                </c:pt>
                <c:pt idx="384">
                  <c:v>3.1300000000000002E-5</c:v>
                </c:pt>
                <c:pt idx="385">
                  <c:v>3.1300000000000002E-5</c:v>
                </c:pt>
                <c:pt idx="386">
                  <c:v>3.1300000000000002E-5</c:v>
                </c:pt>
                <c:pt idx="387">
                  <c:v>3.1199999999999999E-5</c:v>
                </c:pt>
                <c:pt idx="388">
                  <c:v>3.1300000000000002E-5</c:v>
                </c:pt>
                <c:pt idx="389">
                  <c:v>3.1300000000000002E-5</c:v>
                </c:pt>
                <c:pt idx="390">
                  <c:v>3.1300000000000002E-5</c:v>
                </c:pt>
                <c:pt idx="391">
                  <c:v>3.1300000000000002E-5</c:v>
                </c:pt>
                <c:pt idx="392">
                  <c:v>3.1300000000000002E-5</c:v>
                </c:pt>
                <c:pt idx="393">
                  <c:v>3.1300000000000002E-5</c:v>
                </c:pt>
                <c:pt idx="394">
                  <c:v>3.1300000000000002E-5</c:v>
                </c:pt>
                <c:pt idx="395">
                  <c:v>3.1300000000000002E-5</c:v>
                </c:pt>
                <c:pt idx="396">
                  <c:v>3.1300000000000002E-5</c:v>
                </c:pt>
                <c:pt idx="397">
                  <c:v>3.1300000000000002E-5</c:v>
                </c:pt>
                <c:pt idx="398">
                  <c:v>3.1300000000000002E-5</c:v>
                </c:pt>
                <c:pt idx="399">
                  <c:v>3.1300000000000002E-5</c:v>
                </c:pt>
                <c:pt idx="400">
                  <c:v>3.1300000000000002E-5</c:v>
                </c:pt>
                <c:pt idx="401">
                  <c:v>3.1199999999999999E-5</c:v>
                </c:pt>
                <c:pt idx="402">
                  <c:v>3.1300000000000002E-5</c:v>
                </c:pt>
                <c:pt idx="403">
                  <c:v>3.1300000000000002E-5</c:v>
                </c:pt>
                <c:pt idx="404">
                  <c:v>3.1300000000000002E-5</c:v>
                </c:pt>
                <c:pt idx="405">
                  <c:v>3.1300000000000002E-5</c:v>
                </c:pt>
                <c:pt idx="406">
                  <c:v>3.1199999999999999E-5</c:v>
                </c:pt>
                <c:pt idx="407">
                  <c:v>3.1300000000000002E-5</c:v>
                </c:pt>
                <c:pt idx="408">
                  <c:v>3.1300000000000002E-5</c:v>
                </c:pt>
                <c:pt idx="409">
                  <c:v>3.1300000000000002E-5</c:v>
                </c:pt>
                <c:pt idx="410">
                  <c:v>3.1300000000000002E-5</c:v>
                </c:pt>
                <c:pt idx="411">
                  <c:v>3.1300000000000002E-5</c:v>
                </c:pt>
                <c:pt idx="412">
                  <c:v>3.1300000000000002E-5</c:v>
                </c:pt>
                <c:pt idx="413">
                  <c:v>3.1300000000000002E-5</c:v>
                </c:pt>
                <c:pt idx="414">
                  <c:v>3.1300000000000002E-5</c:v>
                </c:pt>
                <c:pt idx="415">
                  <c:v>3.1300000000000002E-5</c:v>
                </c:pt>
                <c:pt idx="416">
                  <c:v>3.1300000000000002E-5</c:v>
                </c:pt>
                <c:pt idx="417">
                  <c:v>3.1300000000000002E-5</c:v>
                </c:pt>
                <c:pt idx="418">
                  <c:v>3.1199999999999999E-5</c:v>
                </c:pt>
                <c:pt idx="419">
                  <c:v>3.1300000000000002E-5</c:v>
                </c:pt>
                <c:pt idx="420">
                  <c:v>3.1300000000000002E-5</c:v>
                </c:pt>
                <c:pt idx="421">
                  <c:v>3.1300000000000002E-5</c:v>
                </c:pt>
                <c:pt idx="422">
                  <c:v>3.1300000000000002E-5</c:v>
                </c:pt>
                <c:pt idx="423">
                  <c:v>3.1300000000000002E-5</c:v>
                </c:pt>
                <c:pt idx="424">
                  <c:v>3.1199999999999999E-5</c:v>
                </c:pt>
                <c:pt idx="425">
                  <c:v>3.1199999999999999E-5</c:v>
                </c:pt>
                <c:pt idx="426">
                  <c:v>3.1300000000000002E-5</c:v>
                </c:pt>
                <c:pt idx="427">
                  <c:v>3.1300000000000002E-5</c:v>
                </c:pt>
                <c:pt idx="428">
                  <c:v>3.1300000000000002E-5</c:v>
                </c:pt>
                <c:pt idx="429">
                  <c:v>3.1300000000000002E-5</c:v>
                </c:pt>
                <c:pt idx="430">
                  <c:v>3.1199999999999999E-5</c:v>
                </c:pt>
                <c:pt idx="431">
                  <c:v>3.1300000000000002E-5</c:v>
                </c:pt>
                <c:pt idx="432">
                  <c:v>3.1300000000000002E-5</c:v>
                </c:pt>
                <c:pt idx="433">
                  <c:v>3.1300000000000002E-5</c:v>
                </c:pt>
                <c:pt idx="434">
                  <c:v>3.1300000000000002E-5</c:v>
                </c:pt>
                <c:pt idx="435">
                  <c:v>3.1300000000000002E-5</c:v>
                </c:pt>
                <c:pt idx="436">
                  <c:v>3.1300000000000002E-5</c:v>
                </c:pt>
                <c:pt idx="437">
                  <c:v>3.1300000000000002E-5</c:v>
                </c:pt>
                <c:pt idx="438">
                  <c:v>3.1300000000000002E-5</c:v>
                </c:pt>
                <c:pt idx="439">
                  <c:v>3.1300000000000002E-5</c:v>
                </c:pt>
                <c:pt idx="440">
                  <c:v>3.1300000000000002E-5</c:v>
                </c:pt>
                <c:pt idx="441">
                  <c:v>3.1300000000000002E-5</c:v>
                </c:pt>
                <c:pt idx="442">
                  <c:v>3.1300000000000002E-5</c:v>
                </c:pt>
                <c:pt idx="443">
                  <c:v>3.1300000000000002E-5</c:v>
                </c:pt>
                <c:pt idx="444">
                  <c:v>3.1300000000000002E-5</c:v>
                </c:pt>
                <c:pt idx="445">
                  <c:v>3.1199999999999999E-5</c:v>
                </c:pt>
                <c:pt idx="446">
                  <c:v>3.1199999999999999E-5</c:v>
                </c:pt>
                <c:pt idx="447">
                  <c:v>3.1199999999999999E-5</c:v>
                </c:pt>
                <c:pt idx="448">
                  <c:v>3.1300000000000002E-5</c:v>
                </c:pt>
                <c:pt idx="449">
                  <c:v>3.1300000000000002E-5</c:v>
                </c:pt>
                <c:pt idx="450">
                  <c:v>3.1300000000000002E-5</c:v>
                </c:pt>
                <c:pt idx="451">
                  <c:v>3.1300000000000002E-5</c:v>
                </c:pt>
                <c:pt idx="452">
                  <c:v>3.1199999999999999E-5</c:v>
                </c:pt>
                <c:pt idx="453">
                  <c:v>3.1300000000000002E-5</c:v>
                </c:pt>
                <c:pt idx="454">
                  <c:v>3.1300000000000002E-5</c:v>
                </c:pt>
                <c:pt idx="455">
                  <c:v>3.1199999999999999E-5</c:v>
                </c:pt>
                <c:pt idx="456">
                  <c:v>3.1199999999999999E-5</c:v>
                </c:pt>
                <c:pt idx="457">
                  <c:v>3.1300000000000002E-5</c:v>
                </c:pt>
                <c:pt idx="458">
                  <c:v>3.1199999999999999E-5</c:v>
                </c:pt>
                <c:pt idx="459">
                  <c:v>3.1300000000000002E-5</c:v>
                </c:pt>
                <c:pt idx="460">
                  <c:v>3.1300000000000002E-5</c:v>
                </c:pt>
                <c:pt idx="461">
                  <c:v>3.1300000000000002E-5</c:v>
                </c:pt>
                <c:pt idx="462">
                  <c:v>3.1199999999999999E-5</c:v>
                </c:pt>
                <c:pt idx="463">
                  <c:v>3.1199999999999999E-5</c:v>
                </c:pt>
                <c:pt idx="464">
                  <c:v>3.1300000000000002E-5</c:v>
                </c:pt>
                <c:pt idx="465">
                  <c:v>3.1300000000000002E-5</c:v>
                </c:pt>
                <c:pt idx="466">
                  <c:v>3.1300000000000002E-5</c:v>
                </c:pt>
                <c:pt idx="467">
                  <c:v>3.1300000000000002E-5</c:v>
                </c:pt>
                <c:pt idx="468">
                  <c:v>3.1300000000000002E-5</c:v>
                </c:pt>
                <c:pt idx="469">
                  <c:v>3.1300000000000002E-5</c:v>
                </c:pt>
                <c:pt idx="470">
                  <c:v>3.1199999999999999E-5</c:v>
                </c:pt>
                <c:pt idx="471">
                  <c:v>3.1300000000000002E-5</c:v>
                </c:pt>
                <c:pt idx="472">
                  <c:v>3.1300000000000002E-5</c:v>
                </c:pt>
                <c:pt idx="473">
                  <c:v>3.1300000000000002E-5</c:v>
                </c:pt>
                <c:pt idx="474">
                  <c:v>3.1300000000000002E-5</c:v>
                </c:pt>
                <c:pt idx="475">
                  <c:v>3.1300000000000002E-5</c:v>
                </c:pt>
                <c:pt idx="476">
                  <c:v>3.1300000000000002E-5</c:v>
                </c:pt>
                <c:pt idx="477">
                  <c:v>3.1300000000000002E-5</c:v>
                </c:pt>
                <c:pt idx="478">
                  <c:v>3.1300000000000002E-5</c:v>
                </c:pt>
                <c:pt idx="479">
                  <c:v>3.1300000000000002E-5</c:v>
                </c:pt>
                <c:pt idx="480">
                  <c:v>3.1199999999999999E-5</c:v>
                </c:pt>
                <c:pt idx="481">
                  <c:v>3.1300000000000002E-5</c:v>
                </c:pt>
                <c:pt idx="482">
                  <c:v>3.1199999999999999E-5</c:v>
                </c:pt>
                <c:pt idx="483">
                  <c:v>3.1199999999999999E-5</c:v>
                </c:pt>
                <c:pt idx="484">
                  <c:v>3.1300000000000002E-5</c:v>
                </c:pt>
                <c:pt idx="485">
                  <c:v>3.1300000000000002E-5</c:v>
                </c:pt>
                <c:pt idx="486">
                  <c:v>3.1300000000000002E-5</c:v>
                </c:pt>
                <c:pt idx="487">
                  <c:v>3.1300000000000002E-5</c:v>
                </c:pt>
                <c:pt idx="488">
                  <c:v>3.1300000000000002E-5</c:v>
                </c:pt>
                <c:pt idx="489">
                  <c:v>3.1199999999999999E-5</c:v>
                </c:pt>
                <c:pt idx="490">
                  <c:v>3.1300000000000002E-5</c:v>
                </c:pt>
                <c:pt idx="491">
                  <c:v>3.1300000000000002E-5</c:v>
                </c:pt>
                <c:pt idx="492">
                  <c:v>3.1300000000000002E-5</c:v>
                </c:pt>
                <c:pt idx="493">
                  <c:v>3.1300000000000002E-5</c:v>
                </c:pt>
                <c:pt idx="494">
                  <c:v>3.1300000000000002E-5</c:v>
                </c:pt>
                <c:pt idx="495">
                  <c:v>3.1300000000000002E-5</c:v>
                </c:pt>
                <c:pt idx="496">
                  <c:v>3.1300000000000002E-5</c:v>
                </c:pt>
                <c:pt idx="497">
                  <c:v>3.1300000000000002E-5</c:v>
                </c:pt>
                <c:pt idx="498">
                  <c:v>3.1300000000000002E-5</c:v>
                </c:pt>
                <c:pt idx="499">
                  <c:v>3.1300000000000002E-5</c:v>
                </c:pt>
                <c:pt idx="500">
                  <c:v>3.1300000000000002E-5</c:v>
                </c:pt>
                <c:pt idx="501">
                  <c:v>3.1300000000000002E-5</c:v>
                </c:pt>
                <c:pt idx="502">
                  <c:v>3.1199999999999999E-5</c:v>
                </c:pt>
                <c:pt idx="503">
                  <c:v>3.1300000000000002E-5</c:v>
                </c:pt>
                <c:pt idx="504">
                  <c:v>3.1300000000000002E-5</c:v>
                </c:pt>
                <c:pt idx="505">
                  <c:v>3.1300000000000002E-5</c:v>
                </c:pt>
                <c:pt idx="506">
                  <c:v>3.1199999999999999E-5</c:v>
                </c:pt>
                <c:pt idx="507">
                  <c:v>3.1199999999999999E-5</c:v>
                </c:pt>
                <c:pt idx="508">
                  <c:v>3.1300000000000002E-5</c:v>
                </c:pt>
                <c:pt idx="509">
                  <c:v>3.1300000000000002E-5</c:v>
                </c:pt>
                <c:pt idx="510">
                  <c:v>3.1300000000000002E-5</c:v>
                </c:pt>
                <c:pt idx="511">
                  <c:v>3.1300000000000002E-5</c:v>
                </c:pt>
                <c:pt idx="512">
                  <c:v>3.1300000000000002E-5</c:v>
                </c:pt>
                <c:pt idx="513">
                  <c:v>3.1300000000000002E-5</c:v>
                </c:pt>
                <c:pt idx="514">
                  <c:v>3.1300000000000002E-5</c:v>
                </c:pt>
                <c:pt idx="515">
                  <c:v>3.1199999999999999E-5</c:v>
                </c:pt>
                <c:pt idx="516">
                  <c:v>3.1199999999999999E-5</c:v>
                </c:pt>
                <c:pt idx="517">
                  <c:v>3.1199999999999999E-5</c:v>
                </c:pt>
                <c:pt idx="518">
                  <c:v>3.1300000000000002E-5</c:v>
                </c:pt>
                <c:pt idx="519">
                  <c:v>3.1300000000000002E-5</c:v>
                </c:pt>
                <c:pt idx="520">
                  <c:v>3.1300000000000002E-5</c:v>
                </c:pt>
                <c:pt idx="521">
                  <c:v>3.1199999999999999E-5</c:v>
                </c:pt>
                <c:pt idx="522">
                  <c:v>3.1199999999999999E-5</c:v>
                </c:pt>
                <c:pt idx="523">
                  <c:v>3.1300000000000002E-5</c:v>
                </c:pt>
                <c:pt idx="524">
                  <c:v>3.1300000000000002E-5</c:v>
                </c:pt>
                <c:pt idx="525">
                  <c:v>3.1300000000000002E-5</c:v>
                </c:pt>
                <c:pt idx="526">
                  <c:v>3.1300000000000002E-5</c:v>
                </c:pt>
                <c:pt idx="527">
                  <c:v>3.1300000000000002E-5</c:v>
                </c:pt>
                <c:pt idx="528">
                  <c:v>3.1300000000000002E-5</c:v>
                </c:pt>
                <c:pt idx="529">
                  <c:v>3.1300000000000002E-5</c:v>
                </c:pt>
                <c:pt idx="530">
                  <c:v>3.1300000000000002E-5</c:v>
                </c:pt>
                <c:pt idx="531">
                  <c:v>3.1300000000000002E-5</c:v>
                </c:pt>
                <c:pt idx="532">
                  <c:v>3.1300000000000002E-5</c:v>
                </c:pt>
                <c:pt idx="533">
                  <c:v>3.1300000000000002E-5</c:v>
                </c:pt>
                <c:pt idx="534">
                  <c:v>3.1199999999999999E-5</c:v>
                </c:pt>
                <c:pt idx="535">
                  <c:v>3.1300000000000002E-5</c:v>
                </c:pt>
                <c:pt idx="536">
                  <c:v>3.1300000000000002E-5</c:v>
                </c:pt>
                <c:pt idx="537">
                  <c:v>3.1300000000000002E-5</c:v>
                </c:pt>
                <c:pt idx="538">
                  <c:v>3.1300000000000002E-5</c:v>
                </c:pt>
                <c:pt idx="539">
                  <c:v>3.1300000000000002E-5</c:v>
                </c:pt>
                <c:pt idx="540">
                  <c:v>3.1199999999999999E-5</c:v>
                </c:pt>
                <c:pt idx="541">
                  <c:v>3.1300000000000002E-5</c:v>
                </c:pt>
                <c:pt idx="542">
                  <c:v>3.1199999999999999E-5</c:v>
                </c:pt>
                <c:pt idx="543">
                  <c:v>3.1300000000000002E-5</c:v>
                </c:pt>
                <c:pt idx="544">
                  <c:v>3.1300000000000002E-5</c:v>
                </c:pt>
                <c:pt idx="545">
                  <c:v>3.1300000000000002E-5</c:v>
                </c:pt>
                <c:pt idx="546">
                  <c:v>3.1300000000000002E-5</c:v>
                </c:pt>
                <c:pt idx="547">
                  <c:v>3.1300000000000002E-5</c:v>
                </c:pt>
                <c:pt idx="548">
                  <c:v>3.1300000000000002E-5</c:v>
                </c:pt>
                <c:pt idx="549">
                  <c:v>3.1300000000000002E-5</c:v>
                </c:pt>
                <c:pt idx="550">
                  <c:v>3.1300000000000002E-5</c:v>
                </c:pt>
                <c:pt idx="551">
                  <c:v>3.1300000000000002E-5</c:v>
                </c:pt>
                <c:pt idx="552">
                  <c:v>3.1199999999999999E-5</c:v>
                </c:pt>
                <c:pt idx="553">
                  <c:v>3.1300000000000002E-5</c:v>
                </c:pt>
                <c:pt idx="554">
                  <c:v>3.1199999999999999E-5</c:v>
                </c:pt>
                <c:pt idx="555">
                  <c:v>3.1300000000000002E-5</c:v>
                </c:pt>
                <c:pt idx="556">
                  <c:v>3.1300000000000002E-5</c:v>
                </c:pt>
                <c:pt idx="557">
                  <c:v>3.1300000000000002E-5</c:v>
                </c:pt>
                <c:pt idx="558">
                  <c:v>3.1300000000000002E-5</c:v>
                </c:pt>
                <c:pt idx="559">
                  <c:v>3.1300000000000002E-5</c:v>
                </c:pt>
                <c:pt idx="560">
                  <c:v>3.1300000000000002E-5</c:v>
                </c:pt>
                <c:pt idx="561">
                  <c:v>3.1300000000000002E-5</c:v>
                </c:pt>
                <c:pt idx="562">
                  <c:v>3.1300000000000002E-5</c:v>
                </c:pt>
                <c:pt idx="563">
                  <c:v>3.1300000000000002E-5</c:v>
                </c:pt>
                <c:pt idx="564">
                  <c:v>3.1300000000000002E-5</c:v>
                </c:pt>
                <c:pt idx="565">
                  <c:v>3.1300000000000002E-5</c:v>
                </c:pt>
                <c:pt idx="566">
                  <c:v>3.1300000000000002E-5</c:v>
                </c:pt>
                <c:pt idx="567">
                  <c:v>3.1199999999999999E-5</c:v>
                </c:pt>
                <c:pt idx="568">
                  <c:v>3.1300000000000002E-5</c:v>
                </c:pt>
                <c:pt idx="569">
                  <c:v>3.1300000000000002E-5</c:v>
                </c:pt>
                <c:pt idx="570">
                  <c:v>3.1300000000000002E-5</c:v>
                </c:pt>
                <c:pt idx="571">
                  <c:v>3.1300000000000002E-5</c:v>
                </c:pt>
                <c:pt idx="572">
                  <c:v>3.1300000000000002E-5</c:v>
                </c:pt>
                <c:pt idx="573">
                  <c:v>3.1300000000000002E-5</c:v>
                </c:pt>
                <c:pt idx="574">
                  <c:v>3.1199999999999999E-5</c:v>
                </c:pt>
                <c:pt idx="575">
                  <c:v>3.1300000000000002E-5</c:v>
                </c:pt>
                <c:pt idx="576">
                  <c:v>3.1199999999999999E-5</c:v>
                </c:pt>
                <c:pt idx="577">
                  <c:v>3.1199999999999999E-5</c:v>
                </c:pt>
                <c:pt idx="578">
                  <c:v>3.1199999999999999E-5</c:v>
                </c:pt>
                <c:pt idx="579">
                  <c:v>3.1300000000000002E-5</c:v>
                </c:pt>
                <c:pt idx="580">
                  <c:v>3.1300000000000002E-5</c:v>
                </c:pt>
                <c:pt idx="581">
                  <c:v>3.1199999999999999E-5</c:v>
                </c:pt>
                <c:pt idx="582">
                  <c:v>3.1199999999999999E-5</c:v>
                </c:pt>
                <c:pt idx="583">
                  <c:v>3.1300000000000002E-5</c:v>
                </c:pt>
                <c:pt idx="584">
                  <c:v>3.1199999999999999E-5</c:v>
                </c:pt>
                <c:pt idx="585">
                  <c:v>3.1300000000000002E-5</c:v>
                </c:pt>
                <c:pt idx="586">
                  <c:v>3.1300000000000002E-5</c:v>
                </c:pt>
                <c:pt idx="587">
                  <c:v>3.1300000000000002E-5</c:v>
                </c:pt>
                <c:pt idx="588">
                  <c:v>3.1300000000000002E-5</c:v>
                </c:pt>
                <c:pt idx="589">
                  <c:v>3.1300000000000002E-5</c:v>
                </c:pt>
                <c:pt idx="590">
                  <c:v>3.1199999999999999E-5</c:v>
                </c:pt>
                <c:pt idx="591">
                  <c:v>3.1300000000000002E-5</c:v>
                </c:pt>
                <c:pt idx="592">
                  <c:v>3.1199999999999999E-5</c:v>
                </c:pt>
                <c:pt idx="593">
                  <c:v>3.1300000000000002E-5</c:v>
                </c:pt>
                <c:pt idx="594">
                  <c:v>3.1199999999999999E-5</c:v>
                </c:pt>
                <c:pt idx="595">
                  <c:v>3.1300000000000002E-5</c:v>
                </c:pt>
                <c:pt idx="596">
                  <c:v>3.1300000000000002E-5</c:v>
                </c:pt>
                <c:pt idx="597">
                  <c:v>3.1199999999999999E-5</c:v>
                </c:pt>
                <c:pt idx="598">
                  <c:v>3.1300000000000002E-5</c:v>
                </c:pt>
                <c:pt idx="599">
                  <c:v>3.1199999999999999E-5</c:v>
                </c:pt>
                <c:pt idx="600">
                  <c:v>3.1300000000000002E-5</c:v>
                </c:pt>
                <c:pt idx="601">
                  <c:v>3.1300000000000002E-5</c:v>
                </c:pt>
                <c:pt idx="602">
                  <c:v>3.1300000000000002E-5</c:v>
                </c:pt>
                <c:pt idx="603">
                  <c:v>3.1300000000000002E-5</c:v>
                </c:pt>
                <c:pt idx="604">
                  <c:v>3.1300000000000002E-5</c:v>
                </c:pt>
                <c:pt idx="605">
                  <c:v>3.1300000000000002E-5</c:v>
                </c:pt>
                <c:pt idx="606">
                  <c:v>3.1300000000000002E-5</c:v>
                </c:pt>
                <c:pt idx="607">
                  <c:v>3.1300000000000002E-5</c:v>
                </c:pt>
                <c:pt idx="608">
                  <c:v>3.1300000000000002E-5</c:v>
                </c:pt>
                <c:pt idx="609">
                  <c:v>3.1300000000000002E-5</c:v>
                </c:pt>
                <c:pt idx="610">
                  <c:v>3.1300000000000002E-5</c:v>
                </c:pt>
                <c:pt idx="611">
                  <c:v>3.1300000000000002E-5</c:v>
                </c:pt>
                <c:pt idx="612">
                  <c:v>3.1300000000000002E-5</c:v>
                </c:pt>
                <c:pt idx="613">
                  <c:v>3.1300000000000002E-5</c:v>
                </c:pt>
                <c:pt idx="614">
                  <c:v>3.1300000000000002E-5</c:v>
                </c:pt>
                <c:pt idx="615">
                  <c:v>3.1300000000000002E-5</c:v>
                </c:pt>
                <c:pt idx="616">
                  <c:v>3.1300000000000002E-5</c:v>
                </c:pt>
                <c:pt idx="617">
                  <c:v>3.1300000000000002E-5</c:v>
                </c:pt>
                <c:pt idx="618">
                  <c:v>3.1300000000000002E-5</c:v>
                </c:pt>
                <c:pt idx="619">
                  <c:v>3.1300000000000002E-5</c:v>
                </c:pt>
                <c:pt idx="620">
                  <c:v>3.1300000000000002E-5</c:v>
                </c:pt>
                <c:pt idx="621">
                  <c:v>3.1300000000000002E-5</c:v>
                </c:pt>
                <c:pt idx="622">
                  <c:v>3.1300000000000002E-5</c:v>
                </c:pt>
                <c:pt idx="623">
                  <c:v>3.1300000000000002E-5</c:v>
                </c:pt>
                <c:pt idx="624">
                  <c:v>3.1199999999999999E-5</c:v>
                </c:pt>
                <c:pt idx="625">
                  <c:v>3.1300000000000002E-5</c:v>
                </c:pt>
                <c:pt idx="626">
                  <c:v>3.1300000000000002E-5</c:v>
                </c:pt>
                <c:pt idx="627">
                  <c:v>3.1199999999999999E-5</c:v>
                </c:pt>
                <c:pt idx="628">
                  <c:v>3.1300000000000002E-5</c:v>
                </c:pt>
                <c:pt idx="629">
                  <c:v>3.1199999999999999E-5</c:v>
                </c:pt>
                <c:pt idx="630">
                  <c:v>3.1300000000000002E-5</c:v>
                </c:pt>
                <c:pt idx="631">
                  <c:v>3.1300000000000002E-5</c:v>
                </c:pt>
                <c:pt idx="632">
                  <c:v>3.1300000000000002E-5</c:v>
                </c:pt>
                <c:pt idx="633">
                  <c:v>3.1300000000000002E-5</c:v>
                </c:pt>
                <c:pt idx="634">
                  <c:v>3.1199999999999999E-5</c:v>
                </c:pt>
                <c:pt idx="635">
                  <c:v>3.1300000000000002E-5</c:v>
                </c:pt>
                <c:pt idx="636">
                  <c:v>3.1300000000000002E-5</c:v>
                </c:pt>
                <c:pt idx="637">
                  <c:v>3.1300000000000002E-5</c:v>
                </c:pt>
                <c:pt idx="638">
                  <c:v>3.1300000000000002E-5</c:v>
                </c:pt>
                <c:pt idx="639">
                  <c:v>3.1300000000000002E-5</c:v>
                </c:pt>
                <c:pt idx="640">
                  <c:v>3.1300000000000002E-5</c:v>
                </c:pt>
                <c:pt idx="641">
                  <c:v>3.1300000000000002E-5</c:v>
                </c:pt>
                <c:pt idx="642">
                  <c:v>3.1300000000000002E-5</c:v>
                </c:pt>
                <c:pt idx="643">
                  <c:v>3.1300000000000002E-5</c:v>
                </c:pt>
                <c:pt idx="644">
                  <c:v>3.1300000000000002E-5</c:v>
                </c:pt>
                <c:pt idx="645">
                  <c:v>3.1300000000000002E-5</c:v>
                </c:pt>
                <c:pt idx="646">
                  <c:v>3.1300000000000002E-5</c:v>
                </c:pt>
                <c:pt idx="647">
                  <c:v>3.1199999999999999E-5</c:v>
                </c:pt>
                <c:pt idx="648">
                  <c:v>3.1300000000000002E-5</c:v>
                </c:pt>
                <c:pt idx="649">
                  <c:v>3.1300000000000002E-5</c:v>
                </c:pt>
                <c:pt idx="650">
                  <c:v>3.1300000000000002E-5</c:v>
                </c:pt>
                <c:pt idx="651">
                  <c:v>3.1300000000000002E-5</c:v>
                </c:pt>
                <c:pt idx="652">
                  <c:v>3.1300000000000002E-5</c:v>
                </c:pt>
                <c:pt idx="653">
                  <c:v>3.1300000000000002E-5</c:v>
                </c:pt>
                <c:pt idx="654">
                  <c:v>3.1199999999999999E-5</c:v>
                </c:pt>
                <c:pt idx="655">
                  <c:v>3.1199999999999999E-5</c:v>
                </c:pt>
                <c:pt idx="656">
                  <c:v>3.1300000000000002E-5</c:v>
                </c:pt>
                <c:pt idx="657">
                  <c:v>3.1300000000000002E-5</c:v>
                </c:pt>
                <c:pt idx="658">
                  <c:v>3.1300000000000002E-5</c:v>
                </c:pt>
                <c:pt idx="659">
                  <c:v>3.1300000000000002E-5</c:v>
                </c:pt>
                <c:pt idx="660">
                  <c:v>3.1300000000000002E-5</c:v>
                </c:pt>
                <c:pt idx="661">
                  <c:v>3.1300000000000002E-5</c:v>
                </c:pt>
                <c:pt idx="662">
                  <c:v>3.1199999999999999E-5</c:v>
                </c:pt>
                <c:pt idx="663">
                  <c:v>3.1300000000000002E-5</c:v>
                </c:pt>
                <c:pt idx="664">
                  <c:v>3.1199999999999999E-5</c:v>
                </c:pt>
                <c:pt idx="665">
                  <c:v>3.1300000000000002E-5</c:v>
                </c:pt>
                <c:pt idx="666">
                  <c:v>3.1300000000000002E-5</c:v>
                </c:pt>
                <c:pt idx="667">
                  <c:v>3.1300000000000002E-5</c:v>
                </c:pt>
                <c:pt idx="668">
                  <c:v>3.1300000000000002E-5</c:v>
                </c:pt>
                <c:pt idx="669">
                  <c:v>3.1199999999999999E-5</c:v>
                </c:pt>
                <c:pt idx="670">
                  <c:v>3.1300000000000002E-5</c:v>
                </c:pt>
                <c:pt idx="671">
                  <c:v>3.1300000000000002E-5</c:v>
                </c:pt>
                <c:pt idx="672">
                  <c:v>3.1300000000000002E-5</c:v>
                </c:pt>
                <c:pt idx="673">
                  <c:v>3.1300000000000002E-5</c:v>
                </c:pt>
                <c:pt idx="674">
                  <c:v>3.1300000000000002E-5</c:v>
                </c:pt>
                <c:pt idx="675">
                  <c:v>3.1300000000000002E-5</c:v>
                </c:pt>
                <c:pt idx="676">
                  <c:v>3.1199999999999999E-5</c:v>
                </c:pt>
                <c:pt idx="677">
                  <c:v>3.1300000000000002E-5</c:v>
                </c:pt>
                <c:pt idx="678">
                  <c:v>3.1300000000000002E-5</c:v>
                </c:pt>
                <c:pt idx="679">
                  <c:v>3.1300000000000002E-5</c:v>
                </c:pt>
                <c:pt idx="680">
                  <c:v>3.1300000000000002E-5</c:v>
                </c:pt>
                <c:pt idx="681">
                  <c:v>3.1300000000000002E-5</c:v>
                </c:pt>
                <c:pt idx="682">
                  <c:v>3.1300000000000002E-5</c:v>
                </c:pt>
                <c:pt idx="683">
                  <c:v>3.1300000000000002E-5</c:v>
                </c:pt>
                <c:pt idx="684">
                  <c:v>3.1300000000000002E-5</c:v>
                </c:pt>
                <c:pt idx="685">
                  <c:v>3.1199999999999999E-5</c:v>
                </c:pt>
                <c:pt idx="686">
                  <c:v>3.1199999999999999E-5</c:v>
                </c:pt>
                <c:pt idx="687">
                  <c:v>3.1300000000000002E-5</c:v>
                </c:pt>
                <c:pt idx="688">
                  <c:v>3.1300000000000002E-5</c:v>
                </c:pt>
                <c:pt idx="689">
                  <c:v>3.1300000000000002E-5</c:v>
                </c:pt>
                <c:pt idx="690">
                  <c:v>3.1300000000000002E-5</c:v>
                </c:pt>
                <c:pt idx="691">
                  <c:v>3.1300000000000002E-5</c:v>
                </c:pt>
                <c:pt idx="692">
                  <c:v>3.1300000000000002E-5</c:v>
                </c:pt>
                <c:pt idx="693">
                  <c:v>3.1300000000000002E-5</c:v>
                </c:pt>
                <c:pt idx="694">
                  <c:v>3.1300000000000002E-5</c:v>
                </c:pt>
                <c:pt idx="695">
                  <c:v>3.1300000000000002E-5</c:v>
                </c:pt>
                <c:pt idx="696">
                  <c:v>3.1300000000000002E-5</c:v>
                </c:pt>
                <c:pt idx="697">
                  <c:v>3.1300000000000002E-5</c:v>
                </c:pt>
                <c:pt idx="698">
                  <c:v>3.1300000000000002E-5</c:v>
                </c:pt>
                <c:pt idx="699">
                  <c:v>3.1199999999999999E-5</c:v>
                </c:pt>
                <c:pt idx="700">
                  <c:v>3.1300000000000002E-5</c:v>
                </c:pt>
                <c:pt idx="701">
                  <c:v>3.1300000000000002E-5</c:v>
                </c:pt>
                <c:pt idx="702">
                  <c:v>3.1300000000000002E-5</c:v>
                </c:pt>
                <c:pt idx="703">
                  <c:v>3.1199999999999999E-5</c:v>
                </c:pt>
                <c:pt idx="704">
                  <c:v>3.1300000000000002E-5</c:v>
                </c:pt>
                <c:pt idx="705">
                  <c:v>3.1300000000000002E-5</c:v>
                </c:pt>
                <c:pt idx="706">
                  <c:v>3.1300000000000002E-5</c:v>
                </c:pt>
                <c:pt idx="707">
                  <c:v>3.1300000000000002E-5</c:v>
                </c:pt>
                <c:pt idx="708">
                  <c:v>3.1300000000000002E-5</c:v>
                </c:pt>
                <c:pt idx="709">
                  <c:v>3.1300000000000002E-5</c:v>
                </c:pt>
                <c:pt idx="710">
                  <c:v>3.1300000000000002E-5</c:v>
                </c:pt>
                <c:pt idx="711">
                  <c:v>3.1300000000000002E-5</c:v>
                </c:pt>
                <c:pt idx="712">
                  <c:v>3.1300000000000002E-5</c:v>
                </c:pt>
                <c:pt idx="713">
                  <c:v>3.1300000000000002E-5</c:v>
                </c:pt>
                <c:pt idx="714">
                  <c:v>3.1300000000000002E-5</c:v>
                </c:pt>
                <c:pt idx="715">
                  <c:v>3.1300000000000002E-5</c:v>
                </c:pt>
                <c:pt idx="716">
                  <c:v>3.1300000000000002E-5</c:v>
                </c:pt>
                <c:pt idx="717">
                  <c:v>3.1300000000000002E-5</c:v>
                </c:pt>
                <c:pt idx="718">
                  <c:v>3.1300000000000002E-5</c:v>
                </c:pt>
                <c:pt idx="719">
                  <c:v>3.1300000000000002E-5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BA-1F42-9601-BF1AC6DB4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696624"/>
        <c:axId val="38048848"/>
      </c:scatterChart>
      <c:catAx>
        <c:axId val="152269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048848"/>
        <c:crosses val="autoZero"/>
        <c:auto val="1"/>
        <c:lblAlgn val="ctr"/>
        <c:lblOffset val="100"/>
        <c:noMultiLvlLbl val="0"/>
      </c:catAx>
      <c:valAx>
        <c:axId val="380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269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probabilities_mean_valued!$J$29:$J$32</c:f>
              <c:numCache>
                <c:formatCode>General</c:formatCode>
                <c:ptCount val="4"/>
                <c:pt idx="0">
                  <c:v>3.1199999999999999E-5</c:v>
                </c:pt>
                <c:pt idx="1">
                  <c:v>3.1300000000000002E-5</c:v>
                </c:pt>
                <c:pt idx="2">
                  <c:v>3.1199999999999999E-5</c:v>
                </c:pt>
                <c:pt idx="3">
                  <c:v>3.1300000000000002E-5</c:v>
                </c:pt>
              </c:numCache>
            </c:numRef>
          </c:cat>
          <c:val>
            <c:numRef>
              <c:f>probabilities_mean_valued!$K$29:$K$30</c:f>
              <c:numCache>
                <c:formatCode>General</c:formatCode>
                <c:ptCount val="2"/>
                <c:pt idx="0">
                  <c:v>1233152.4647035545</c:v>
                </c:pt>
                <c:pt idx="1">
                  <c:v>8997517.7997348495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D-D64D-99B4-00F60C9F5BB7}"/>
            </c:ext>
          </c:extLst>
        </c:ser>
        <c:ser>
          <c:idx val="1"/>
          <c:order val="1"/>
          <c:tx>
            <c:v>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probabilities_mean_valued!$J$29:$J$32</c:f>
              <c:numCache>
                <c:formatCode>General</c:formatCode>
                <c:ptCount val="4"/>
                <c:pt idx="0">
                  <c:v>3.1199999999999999E-5</c:v>
                </c:pt>
                <c:pt idx="1">
                  <c:v>3.1300000000000002E-5</c:v>
                </c:pt>
                <c:pt idx="2">
                  <c:v>3.1199999999999999E-5</c:v>
                </c:pt>
                <c:pt idx="3">
                  <c:v>3.1300000000000002E-5</c:v>
                </c:pt>
              </c:numCache>
            </c:numRef>
          </c:cat>
          <c:val>
            <c:numRef>
              <c:f>probabilities_mean_valued!$K$31:$K$32</c:f>
              <c:numCache>
                <c:formatCode>General</c:formatCode>
                <c:ptCount val="2"/>
                <c:pt idx="0">
                  <c:v>3298444.2372310613</c:v>
                </c:pt>
                <c:pt idx="1">
                  <c:v>6396404.5954600377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D-D64D-99B4-00F60C9F5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255456"/>
        <c:axId val="237310960"/>
      </c:lineChart>
      <c:catAx>
        <c:axId val="192425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310960"/>
        <c:crosses val="autoZero"/>
        <c:auto val="1"/>
        <c:lblAlgn val="ctr"/>
        <c:lblOffset val="100"/>
        <c:noMultiLvlLbl val="0"/>
      </c:catAx>
      <c:valAx>
        <c:axId val="2373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425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probabilities_variance_value!$H$1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probabilities_variance_value!$G$2:$G$721</c:f>
              <c:numCache>
                <c:formatCode>0.00E+00</c:formatCode>
                <c:ptCount val="720"/>
                <c:pt idx="0">
                  <c:v>2.8E-5</c:v>
                </c:pt>
                <c:pt idx="1">
                  <c:v>2.8399999999999999E-5</c:v>
                </c:pt>
                <c:pt idx="2">
                  <c:v>2.0599999999999999E-5</c:v>
                </c:pt>
                <c:pt idx="3">
                  <c:v>1.8199999999999999E-5</c:v>
                </c:pt>
                <c:pt idx="4">
                  <c:v>3.1199999999999999E-5</c:v>
                </c:pt>
                <c:pt idx="5">
                  <c:v>2.6800000000000001E-5</c:v>
                </c:pt>
                <c:pt idx="6">
                  <c:v>2.3800000000000001E-6</c:v>
                </c:pt>
                <c:pt idx="7">
                  <c:v>1.7E-6</c:v>
                </c:pt>
                <c:pt idx="8">
                  <c:v>8.9700000000000005E-6</c:v>
                </c:pt>
                <c:pt idx="9">
                  <c:v>1.7099999999999999E-5</c:v>
                </c:pt>
                <c:pt idx="10">
                  <c:v>6.3999999999999997E-6</c:v>
                </c:pt>
                <c:pt idx="11">
                  <c:v>2.44E-5</c:v>
                </c:pt>
                <c:pt idx="12">
                  <c:v>2.4600000000000002E-5</c:v>
                </c:pt>
                <c:pt idx="13">
                  <c:v>2.2500000000000001E-5</c:v>
                </c:pt>
                <c:pt idx="14">
                  <c:v>2.9E-5</c:v>
                </c:pt>
                <c:pt idx="15">
                  <c:v>1.33E-5</c:v>
                </c:pt>
                <c:pt idx="16">
                  <c:v>2.83E-5</c:v>
                </c:pt>
                <c:pt idx="17">
                  <c:v>2.5000000000000001E-5</c:v>
                </c:pt>
                <c:pt idx="18">
                  <c:v>1.77E-5</c:v>
                </c:pt>
                <c:pt idx="19">
                  <c:v>2.87E-5</c:v>
                </c:pt>
                <c:pt idx="20">
                  <c:v>3.1099999999999997E-5</c:v>
                </c:pt>
                <c:pt idx="21">
                  <c:v>3.0300000000000001E-5</c:v>
                </c:pt>
                <c:pt idx="22">
                  <c:v>2.9300000000000001E-5</c:v>
                </c:pt>
                <c:pt idx="23">
                  <c:v>1.8700000000000001E-5</c:v>
                </c:pt>
                <c:pt idx="24">
                  <c:v>3.0499999999999999E-5</c:v>
                </c:pt>
                <c:pt idx="25">
                  <c:v>1.0000000000000001E-5</c:v>
                </c:pt>
                <c:pt idx="26">
                  <c:v>1.1199999999999999E-5</c:v>
                </c:pt>
                <c:pt idx="27">
                  <c:v>1.9000000000000001E-5</c:v>
                </c:pt>
                <c:pt idx="28">
                  <c:v>3.01E-5</c:v>
                </c:pt>
                <c:pt idx="29">
                  <c:v>2.9600000000000001E-5</c:v>
                </c:pt>
                <c:pt idx="30">
                  <c:v>2.87E-5</c:v>
                </c:pt>
                <c:pt idx="31">
                  <c:v>2.0100000000000001E-5</c:v>
                </c:pt>
                <c:pt idx="32">
                  <c:v>2.7500000000000001E-5</c:v>
                </c:pt>
                <c:pt idx="33">
                  <c:v>2.87E-5</c:v>
                </c:pt>
                <c:pt idx="34">
                  <c:v>2.8E-5</c:v>
                </c:pt>
                <c:pt idx="35">
                  <c:v>2.26E-5</c:v>
                </c:pt>
                <c:pt idx="36">
                  <c:v>1.45E-5</c:v>
                </c:pt>
                <c:pt idx="37">
                  <c:v>2.76E-5</c:v>
                </c:pt>
                <c:pt idx="38">
                  <c:v>3.0800000000000003E-5</c:v>
                </c:pt>
                <c:pt idx="39">
                  <c:v>2.8799999999999999E-5</c:v>
                </c:pt>
                <c:pt idx="40">
                  <c:v>2.7699999999999999E-5</c:v>
                </c:pt>
                <c:pt idx="41">
                  <c:v>3.0899999999999999E-5</c:v>
                </c:pt>
                <c:pt idx="42">
                  <c:v>9.7799999999999995E-6</c:v>
                </c:pt>
                <c:pt idx="43">
                  <c:v>1.3499999999999999E-5</c:v>
                </c:pt>
                <c:pt idx="44">
                  <c:v>1.5800000000000001E-5</c:v>
                </c:pt>
                <c:pt idx="45">
                  <c:v>2.76E-5</c:v>
                </c:pt>
                <c:pt idx="46">
                  <c:v>2.0999999999999999E-5</c:v>
                </c:pt>
                <c:pt idx="47">
                  <c:v>3.1000000000000001E-5</c:v>
                </c:pt>
                <c:pt idx="48">
                  <c:v>2.6999999999999999E-5</c:v>
                </c:pt>
                <c:pt idx="49">
                  <c:v>1.5800000000000001E-5</c:v>
                </c:pt>
                <c:pt idx="50">
                  <c:v>3.1099999999999997E-5</c:v>
                </c:pt>
                <c:pt idx="51">
                  <c:v>7.96E-6</c:v>
                </c:pt>
                <c:pt idx="52">
                  <c:v>3.0499999999999999E-5</c:v>
                </c:pt>
                <c:pt idx="53">
                  <c:v>2.9300000000000001E-5</c:v>
                </c:pt>
                <c:pt idx="54">
                  <c:v>1.7900000000000001E-5</c:v>
                </c:pt>
                <c:pt idx="55">
                  <c:v>2.1399999999999998E-5</c:v>
                </c:pt>
                <c:pt idx="56">
                  <c:v>3.01E-5</c:v>
                </c:pt>
                <c:pt idx="57">
                  <c:v>2.9799999999999999E-5</c:v>
                </c:pt>
                <c:pt idx="58">
                  <c:v>2.6999999999999999E-5</c:v>
                </c:pt>
                <c:pt idx="59">
                  <c:v>6.8900000000000001E-6</c:v>
                </c:pt>
                <c:pt idx="60">
                  <c:v>2.76E-5</c:v>
                </c:pt>
                <c:pt idx="61">
                  <c:v>7.0500000000000003E-6</c:v>
                </c:pt>
                <c:pt idx="62">
                  <c:v>3.1000000000000001E-5</c:v>
                </c:pt>
                <c:pt idx="63">
                  <c:v>3.0199999999999999E-5</c:v>
                </c:pt>
                <c:pt idx="64">
                  <c:v>3.6500000000000002E-6</c:v>
                </c:pt>
                <c:pt idx="65">
                  <c:v>2.6299999999999999E-5</c:v>
                </c:pt>
                <c:pt idx="66">
                  <c:v>3.0899999999999999E-5</c:v>
                </c:pt>
                <c:pt idx="67">
                  <c:v>2.8200000000000001E-5</c:v>
                </c:pt>
                <c:pt idx="68">
                  <c:v>5.0699999999999997E-6</c:v>
                </c:pt>
                <c:pt idx="69">
                  <c:v>2.1800000000000001E-5</c:v>
                </c:pt>
                <c:pt idx="70">
                  <c:v>2.16E-5</c:v>
                </c:pt>
                <c:pt idx="71">
                  <c:v>2.69E-5</c:v>
                </c:pt>
                <c:pt idx="72">
                  <c:v>2.6100000000000001E-5</c:v>
                </c:pt>
                <c:pt idx="73">
                  <c:v>2.0800000000000001E-5</c:v>
                </c:pt>
                <c:pt idx="74">
                  <c:v>1.7799999999999999E-5</c:v>
                </c:pt>
                <c:pt idx="75">
                  <c:v>1.8499999999999999E-5</c:v>
                </c:pt>
                <c:pt idx="76">
                  <c:v>2.23E-5</c:v>
                </c:pt>
                <c:pt idx="77">
                  <c:v>3.0800000000000003E-5</c:v>
                </c:pt>
                <c:pt idx="78">
                  <c:v>3.0899999999999999E-5</c:v>
                </c:pt>
                <c:pt idx="79">
                  <c:v>2.5700000000000001E-5</c:v>
                </c:pt>
                <c:pt idx="80">
                  <c:v>2.8399999999999999E-5</c:v>
                </c:pt>
                <c:pt idx="81">
                  <c:v>2.4600000000000002E-5</c:v>
                </c:pt>
                <c:pt idx="82">
                  <c:v>3.04E-5</c:v>
                </c:pt>
                <c:pt idx="83">
                  <c:v>6.7900000000000002E-6</c:v>
                </c:pt>
                <c:pt idx="84">
                  <c:v>3.0199999999999999E-5</c:v>
                </c:pt>
                <c:pt idx="85">
                  <c:v>2.9899999999999998E-5</c:v>
                </c:pt>
                <c:pt idx="86">
                  <c:v>3.0800000000000003E-5</c:v>
                </c:pt>
                <c:pt idx="87">
                  <c:v>2.65E-5</c:v>
                </c:pt>
                <c:pt idx="88">
                  <c:v>6.81E-6</c:v>
                </c:pt>
                <c:pt idx="89">
                  <c:v>2.9099999999999999E-5</c:v>
                </c:pt>
                <c:pt idx="90">
                  <c:v>2.83E-5</c:v>
                </c:pt>
                <c:pt idx="91">
                  <c:v>2.9099999999999999E-5</c:v>
                </c:pt>
                <c:pt idx="92">
                  <c:v>2.6999999999999999E-5</c:v>
                </c:pt>
                <c:pt idx="93">
                  <c:v>2.9899999999999998E-5</c:v>
                </c:pt>
                <c:pt idx="94">
                  <c:v>2.58E-5</c:v>
                </c:pt>
                <c:pt idx="95">
                  <c:v>2.8600000000000001E-5</c:v>
                </c:pt>
                <c:pt idx="96">
                  <c:v>2.8200000000000001E-5</c:v>
                </c:pt>
                <c:pt idx="97">
                  <c:v>2.9799999999999999E-5</c:v>
                </c:pt>
                <c:pt idx="98">
                  <c:v>1.3499999999999999E-5</c:v>
                </c:pt>
                <c:pt idx="99">
                  <c:v>2.94E-5</c:v>
                </c:pt>
                <c:pt idx="100">
                  <c:v>2.1399999999999998E-5</c:v>
                </c:pt>
                <c:pt idx="101">
                  <c:v>3.1099999999999997E-5</c:v>
                </c:pt>
                <c:pt idx="102">
                  <c:v>2.7699999999999999E-5</c:v>
                </c:pt>
                <c:pt idx="103">
                  <c:v>1.63E-5</c:v>
                </c:pt>
                <c:pt idx="104">
                  <c:v>2.8E-5</c:v>
                </c:pt>
                <c:pt idx="105">
                  <c:v>2.39E-6</c:v>
                </c:pt>
                <c:pt idx="106">
                  <c:v>2.87E-5</c:v>
                </c:pt>
                <c:pt idx="107">
                  <c:v>2.65E-5</c:v>
                </c:pt>
                <c:pt idx="108">
                  <c:v>3.1099999999999997E-5</c:v>
                </c:pt>
                <c:pt idx="109">
                  <c:v>1.66E-5</c:v>
                </c:pt>
                <c:pt idx="110">
                  <c:v>3.1000000000000001E-5</c:v>
                </c:pt>
                <c:pt idx="111">
                  <c:v>2.1999999999999999E-5</c:v>
                </c:pt>
                <c:pt idx="112">
                  <c:v>3.1199999999999999E-5</c:v>
                </c:pt>
                <c:pt idx="113">
                  <c:v>2.4000000000000001E-5</c:v>
                </c:pt>
                <c:pt idx="114">
                  <c:v>7.5199999999999996E-7</c:v>
                </c:pt>
                <c:pt idx="115">
                  <c:v>3.1000000000000001E-5</c:v>
                </c:pt>
                <c:pt idx="116">
                  <c:v>3.1199999999999999E-5</c:v>
                </c:pt>
                <c:pt idx="117">
                  <c:v>2.7699999999999999E-5</c:v>
                </c:pt>
                <c:pt idx="118">
                  <c:v>1.1199999999999999E-5</c:v>
                </c:pt>
                <c:pt idx="119">
                  <c:v>3.0599999999999998E-5</c:v>
                </c:pt>
                <c:pt idx="120">
                  <c:v>2.8600000000000001E-5</c:v>
                </c:pt>
                <c:pt idx="121">
                  <c:v>2.8799999999999999E-5</c:v>
                </c:pt>
                <c:pt idx="122">
                  <c:v>2.4199999999999999E-5</c:v>
                </c:pt>
                <c:pt idx="123">
                  <c:v>1.0699999999999999E-5</c:v>
                </c:pt>
                <c:pt idx="124">
                  <c:v>3.1199999999999999E-5</c:v>
                </c:pt>
                <c:pt idx="125">
                  <c:v>1.1399999999999999E-5</c:v>
                </c:pt>
                <c:pt idx="126">
                  <c:v>2.8200000000000001E-5</c:v>
                </c:pt>
                <c:pt idx="127">
                  <c:v>2.5599999999999999E-5</c:v>
                </c:pt>
                <c:pt idx="128">
                  <c:v>1.98E-5</c:v>
                </c:pt>
                <c:pt idx="129">
                  <c:v>3.1099999999999997E-5</c:v>
                </c:pt>
                <c:pt idx="130">
                  <c:v>1.1199999999999999E-5</c:v>
                </c:pt>
                <c:pt idx="131">
                  <c:v>3.0899999999999999E-5</c:v>
                </c:pt>
                <c:pt idx="132">
                  <c:v>3.1199999999999999E-5</c:v>
                </c:pt>
                <c:pt idx="133">
                  <c:v>1.0699999999999999E-5</c:v>
                </c:pt>
                <c:pt idx="134">
                  <c:v>2.94E-5</c:v>
                </c:pt>
                <c:pt idx="135">
                  <c:v>3.0700000000000001E-5</c:v>
                </c:pt>
                <c:pt idx="136">
                  <c:v>1.6099999999999998E-5</c:v>
                </c:pt>
                <c:pt idx="137">
                  <c:v>1.8E-5</c:v>
                </c:pt>
                <c:pt idx="138">
                  <c:v>3.0499999999999999E-5</c:v>
                </c:pt>
                <c:pt idx="139">
                  <c:v>2.9300000000000001E-5</c:v>
                </c:pt>
                <c:pt idx="140">
                  <c:v>2.5899999999999999E-5</c:v>
                </c:pt>
                <c:pt idx="141">
                  <c:v>2.7800000000000001E-5</c:v>
                </c:pt>
                <c:pt idx="142">
                  <c:v>2.0800000000000001E-5</c:v>
                </c:pt>
                <c:pt idx="143">
                  <c:v>9.4800000000000007E-6</c:v>
                </c:pt>
                <c:pt idx="144">
                  <c:v>2.09E-5</c:v>
                </c:pt>
                <c:pt idx="145">
                  <c:v>2.4899999999999999E-5</c:v>
                </c:pt>
                <c:pt idx="146">
                  <c:v>2.6999999999999999E-5</c:v>
                </c:pt>
                <c:pt idx="147">
                  <c:v>2.76E-5</c:v>
                </c:pt>
                <c:pt idx="148">
                  <c:v>2.9200000000000002E-5</c:v>
                </c:pt>
                <c:pt idx="149">
                  <c:v>3.0499999999999999E-5</c:v>
                </c:pt>
                <c:pt idx="150">
                  <c:v>2.5999999999999998E-5</c:v>
                </c:pt>
                <c:pt idx="151">
                  <c:v>2.5700000000000001E-5</c:v>
                </c:pt>
                <c:pt idx="152">
                  <c:v>3.01E-5</c:v>
                </c:pt>
                <c:pt idx="153">
                  <c:v>2.7500000000000001E-5</c:v>
                </c:pt>
                <c:pt idx="154">
                  <c:v>2.5199999999999999E-5</c:v>
                </c:pt>
                <c:pt idx="155">
                  <c:v>2.72E-5</c:v>
                </c:pt>
                <c:pt idx="156">
                  <c:v>3.1099999999999997E-5</c:v>
                </c:pt>
                <c:pt idx="157">
                  <c:v>1.8899999999999999E-5</c:v>
                </c:pt>
                <c:pt idx="158">
                  <c:v>3.1099999999999997E-5</c:v>
                </c:pt>
                <c:pt idx="159">
                  <c:v>3.0499999999999999E-5</c:v>
                </c:pt>
                <c:pt idx="160">
                  <c:v>2.9600000000000001E-5</c:v>
                </c:pt>
                <c:pt idx="161">
                  <c:v>3.1199999999999999E-5</c:v>
                </c:pt>
                <c:pt idx="162">
                  <c:v>2.8600000000000001E-5</c:v>
                </c:pt>
                <c:pt idx="163">
                  <c:v>2.8E-5</c:v>
                </c:pt>
                <c:pt idx="164">
                  <c:v>2.4899999999999999E-5</c:v>
                </c:pt>
                <c:pt idx="165">
                  <c:v>2.4199999999999999E-5</c:v>
                </c:pt>
                <c:pt idx="166">
                  <c:v>1.9199999999999999E-5</c:v>
                </c:pt>
                <c:pt idx="167">
                  <c:v>3.0499999999999999E-5</c:v>
                </c:pt>
                <c:pt idx="168">
                  <c:v>7.52E-6</c:v>
                </c:pt>
                <c:pt idx="169">
                  <c:v>1.5500000000000001E-5</c:v>
                </c:pt>
                <c:pt idx="170">
                  <c:v>3.0000000000000001E-5</c:v>
                </c:pt>
                <c:pt idx="171">
                  <c:v>3.0899999999999999E-5</c:v>
                </c:pt>
                <c:pt idx="172">
                  <c:v>2.7500000000000001E-5</c:v>
                </c:pt>
                <c:pt idx="173">
                  <c:v>2.7399999999999999E-5</c:v>
                </c:pt>
                <c:pt idx="174">
                  <c:v>2.55E-5</c:v>
                </c:pt>
                <c:pt idx="175">
                  <c:v>1.1199999999999999E-5</c:v>
                </c:pt>
                <c:pt idx="176">
                  <c:v>2.62E-5</c:v>
                </c:pt>
                <c:pt idx="177">
                  <c:v>1.6200000000000001E-5</c:v>
                </c:pt>
                <c:pt idx="178">
                  <c:v>2.8E-5</c:v>
                </c:pt>
                <c:pt idx="179">
                  <c:v>3.0300000000000001E-5</c:v>
                </c:pt>
                <c:pt idx="180">
                  <c:v>5.5999999999999997E-6</c:v>
                </c:pt>
                <c:pt idx="181">
                  <c:v>2.2500000000000001E-5</c:v>
                </c:pt>
                <c:pt idx="182">
                  <c:v>3.1199999999999999E-5</c:v>
                </c:pt>
                <c:pt idx="183">
                  <c:v>2.9899999999999998E-5</c:v>
                </c:pt>
                <c:pt idx="184">
                  <c:v>2.3499999999999999E-5</c:v>
                </c:pt>
                <c:pt idx="185">
                  <c:v>1.5299999999999999E-5</c:v>
                </c:pt>
                <c:pt idx="186">
                  <c:v>2.6800000000000001E-5</c:v>
                </c:pt>
                <c:pt idx="187">
                  <c:v>2.0999999999999999E-5</c:v>
                </c:pt>
                <c:pt idx="188">
                  <c:v>2.7500000000000001E-5</c:v>
                </c:pt>
                <c:pt idx="189">
                  <c:v>2.2200000000000001E-5</c:v>
                </c:pt>
                <c:pt idx="190">
                  <c:v>2.2099999999999998E-5</c:v>
                </c:pt>
                <c:pt idx="191">
                  <c:v>2.9099999999999999E-5</c:v>
                </c:pt>
                <c:pt idx="192">
                  <c:v>2.3799999999999999E-5</c:v>
                </c:pt>
                <c:pt idx="193">
                  <c:v>4.6399999999999996E-6</c:v>
                </c:pt>
                <c:pt idx="194">
                  <c:v>2.9200000000000002E-5</c:v>
                </c:pt>
                <c:pt idx="195">
                  <c:v>1.2999999999999999E-5</c:v>
                </c:pt>
                <c:pt idx="196">
                  <c:v>3.0199999999999999E-5</c:v>
                </c:pt>
                <c:pt idx="197">
                  <c:v>1.84E-5</c:v>
                </c:pt>
                <c:pt idx="198">
                  <c:v>1.5600000000000001E-6</c:v>
                </c:pt>
                <c:pt idx="199">
                  <c:v>2.5700000000000001E-5</c:v>
                </c:pt>
                <c:pt idx="200">
                  <c:v>9.1800000000000002E-6</c:v>
                </c:pt>
                <c:pt idx="201">
                  <c:v>1.9899999999999999E-5</c:v>
                </c:pt>
                <c:pt idx="202">
                  <c:v>2.76E-5</c:v>
                </c:pt>
                <c:pt idx="203">
                  <c:v>1.34E-5</c:v>
                </c:pt>
                <c:pt idx="204">
                  <c:v>2.9799999999999999E-5</c:v>
                </c:pt>
                <c:pt idx="205">
                  <c:v>3.04E-5</c:v>
                </c:pt>
                <c:pt idx="206">
                  <c:v>3.1199999999999999E-5</c:v>
                </c:pt>
                <c:pt idx="207">
                  <c:v>2.9300000000000001E-5</c:v>
                </c:pt>
                <c:pt idx="208">
                  <c:v>3.1099999999999997E-5</c:v>
                </c:pt>
                <c:pt idx="209">
                  <c:v>1.6900000000000001E-5</c:v>
                </c:pt>
                <c:pt idx="210">
                  <c:v>2.51E-5</c:v>
                </c:pt>
                <c:pt idx="211">
                  <c:v>2.5899999999999999E-5</c:v>
                </c:pt>
                <c:pt idx="212">
                  <c:v>3.0599999999999998E-5</c:v>
                </c:pt>
                <c:pt idx="213">
                  <c:v>3.1000000000000001E-5</c:v>
                </c:pt>
                <c:pt idx="214">
                  <c:v>3.1000000000000001E-5</c:v>
                </c:pt>
                <c:pt idx="215">
                  <c:v>2.1399999999999998E-5</c:v>
                </c:pt>
                <c:pt idx="216">
                  <c:v>2.6699999999999998E-5</c:v>
                </c:pt>
                <c:pt idx="217">
                  <c:v>3.1099999999999997E-5</c:v>
                </c:pt>
                <c:pt idx="218">
                  <c:v>2.5000000000000001E-5</c:v>
                </c:pt>
                <c:pt idx="219">
                  <c:v>3.01E-5</c:v>
                </c:pt>
                <c:pt idx="220">
                  <c:v>1.01E-5</c:v>
                </c:pt>
                <c:pt idx="221">
                  <c:v>2.3099999999999999E-5</c:v>
                </c:pt>
                <c:pt idx="222">
                  <c:v>3.0199999999999999E-5</c:v>
                </c:pt>
                <c:pt idx="223">
                  <c:v>3.0700000000000001E-5</c:v>
                </c:pt>
                <c:pt idx="224">
                  <c:v>2.87E-5</c:v>
                </c:pt>
                <c:pt idx="225">
                  <c:v>3.1099999999999997E-5</c:v>
                </c:pt>
                <c:pt idx="226">
                  <c:v>1.0499999999999999E-5</c:v>
                </c:pt>
                <c:pt idx="227">
                  <c:v>2.2500000000000001E-5</c:v>
                </c:pt>
                <c:pt idx="228">
                  <c:v>3.01E-5</c:v>
                </c:pt>
                <c:pt idx="229">
                  <c:v>1.9599999999999999E-5</c:v>
                </c:pt>
                <c:pt idx="230">
                  <c:v>3.04E-5</c:v>
                </c:pt>
                <c:pt idx="231">
                  <c:v>1.9700000000000001E-5</c:v>
                </c:pt>
                <c:pt idx="232">
                  <c:v>2.8900000000000001E-5</c:v>
                </c:pt>
                <c:pt idx="233">
                  <c:v>1.6200000000000001E-5</c:v>
                </c:pt>
                <c:pt idx="234">
                  <c:v>2.4300000000000001E-5</c:v>
                </c:pt>
                <c:pt idx="235">
                  <c:v>3.1099999999999997E-5</c:v>
                </c:pt>
                <c:pt idx="236">
                  <c:v>3.0700000000000001E-5</c:v>
                </c:pt>
                <c:pt idx="237">
                  <c:v>1.6799999999999998E-5</c:v>
                </c:pt>
                <c:pt idx="238">
                  <c:v>2.8099999999999999E-5</c:v>
                </c:pt>
                <c:pt idx="239">
                  <c:v>2.73E-5</c:v>
                </c:pt>
                <c:pt idx="240">
                  <c:v>2.4499999999999999E-5</c:v>
                </c:pt>
                <c:pt idx="241">
                  <c:v>3.1099999999999997E-5</c:v>
                </c:pt>
                <c:pt idx="242">
                  <c:v>2.6599999999999999E-5</c:v>
                </c:pt>
                <c:pt idx="243">
                  <c:v>1.2099999999999999E-5</c:v>
                </c:pt>
                <c:pt idx="244">
                  <c:v>2.44E-5</c:v>
                </c:pt>
                <c:pt idx="245">
                  <c:v>2.87E-5</c:v>
                </c:pt>
                <c:pt idx="246">
                  <c:v>2.8799999999999999E-5</c:v>
                </c:pt>
                <c:pt idx="247">
                  <c:v>2.51E-5</c:v>
                </c:pt>
                <c:pt idx="248">
                  <c:v>3.0599999999999999E-6</c:v>
                </c:pt>
                <c:pt idx="249">
                  <c:v>3.0499999999999999E-5</c:v>
                </c:pt>
                <c:pt idx="250">
                  <c:v>3.1199999999999999E-5</c:v>
                </c:pt>
                <c:pt idx="251">
                  <c:v>5.04E-6</c:v>
                </c:pt>
                <c:pt idx="252">
                  <c:v>2.44E-5</c:v>
                </c:pt>
                <c:pt idx="253">
                  <c:v>2.51E-5</c:v>
                </c:pt>
                <c:pt idx="254">
                  <c:v>2.3799999999999999E-5</c:v>
                </c:pt>
                <c:pt idx="255">
                  <c:v>3.1000000000000001E-5</c:v>
                </c:pt>
                <c:pt idx="256">
                  <c:v>2.6599999999999999E-5</c:v>
                </c:pt>
                <c:pt idx="257">
                  <c:v>2.4700000000000001E-5</c:v>
                </c:pt>
                <c:pt idx="258">
                  <c:v>2.9799999999999999E-5</c:v>
                </c:pt>
                <c:pt idx="259">
                  <c:v>1.7799999999999999E-5</c:v>
                </c:pt>
                <c:pt idx="260">
                  <c:v>2.73E-5</c:v>
                </c:pt>
                <c:pt idx="261">
                  <c:v>3.0899999999999999E-5</c:v>
                </c:pt>
                <c:pt idx="262">
                  <c:v>3.1199999999999999E-5</c:v>
                </c:pt>
                <c:pt idx="263">
                  <c:v>3.1000000000000001E-5</c:v>
                </c:pt>
                <c:pt idx="264">
                  <c:v>3.0700000000000001E-5</c:v>
                </c:pt>
                <c:pt idx="265">
                  <c:v>2.69E-5</c:v>
                </c:pt>
                <c:pt idx="266">
                  <c:v>2.9200000000000002E-5</c:v>
                </c:pt>
                <c:pt idx="267">
                  <c:v>3.0000000000000001E-5</c:v>
                </c:pt>
                <c:pt idx="268">
                  <c:v>2.4899999999999999E-5</c:v>
                </c:pt>
                <c:pt idx="269">
                  <c:v>1.0900000000000001E-5</c:v>
                </c:pt>
                <c:pt idx="270">
                  <c:v>1.6099999999999998E-5</c:v>
                </c:pt>
                <c:pt idx="271">
                  <c:v>2.44E-5</c:v>
                </c:pt>
                <c:pt idx="272">
                  <c:v>3.0199999999999999E-5</c:v>
                </c:pt>
                <c:pt idx="273">
                  <c:v>2.3300000000000001E-5</c:v>
                </c:pt>
                <c:pt idx="274">
                  <c:v>2.2900000000000001E-5</c:v>
                </c:pt>
                <c:pt idx="275">
                  <c:v>2.0000000000000002E-5</c:v>
                </c:pt>
                <c:pt idx="276">
                  <c:v>2.9799999999999999E-5</c:v>
                </c:pt>
                <c:pt idx="277">
                  <c:v>1.01E-5</c:v>
                </c:pt>
                <c:pt idx="278">
                  <c:v>2.8500000000000002E-5</c:v>
                </c:pt>
                <c:pt idx="279">
                  <c:v>1.38E-5</c:v>
                </c:pt>
                <c:pt idx="280">
                  <c:v>2.9200000000000002E-5</c:v>
                </c:pt>
                <c:pt idx="281">
                  <c:v>1.3499999999999999E-5</c:v>
                </c:pt>
                <c:pt idx="282">
                  <c:v>2.5000000000000001E-5</c:v>
                </c:pt>
                <c:pt idx="283">
                  <c:v>1.8700000000000001E-5</c:v>
                </c:pt>
                <c:pt idx="284">
                  <c:v>2.0800000000000001E-5</c:v>
                </c:pt>
                <c:pt idx="285">
                  <c:v>1.8899999999999999E-5</c:v>
                </c:pt>
                <c:pt idx="286">
                  <c:v>3.1199999999999999E-5</c:v>
                </c:pt>
                <c:pt idx="287">
                  <c:v>3.1099999999999997E-5</c:v>
                </c:pt>
                <c:pt idx="288">
                  <c:v>1.7499999999999998E-5</c:v>
                </c:pt>
                <c:pt idx="289">
                  <c:v>4.0600000000000001E-7</c:v>
                </c:pt>
                <c:pt idx="290">
                  <c:v>2.9799999999999999E-5</c:v>
                </c:pt>
                <c:pt idx="291">
                  <c:v>2.4700000000000001E-5</c:v>
                </c:pt>
                <c:pt idx="292">
                  <c:v>2.5299999999999998E-5</c:v>
                </c:pt>
                <c:pt idx="293">
                  <c:v>3.0899999999999999E-5</c:v>
                </c:pt>
                <c:pt idx="294">
                  <c:v>2.7900000000000001E-5</c:v>
                </c:pt>
                <c:pt idx="295">
                  <c:v>2.5899999999999999E-5</c:v>
                </c:pt>
                <c:pt idx="296">
                  <c:v>3.1199999999999999E-5</c:v>
                </c:pt>
                <c:pt idx="297">
                  <c:v>3.1000000000000001E-5</c:v>
                </c:pt>
                <c:pt idx="298">
                  <c:v>2.3E-5</c:v>
                </c:pt>
                <c:pt idx="299">
                  <c:v>3.0899999999999999E-5</c:v>
                </c:pt>
                <c:pt idx="300">
                  <c:v>2.7100000000000001E-5</c:v>
                </c:pt>
                <c:pt idx="301">
                  <c:v>2.34E-5</c:v>
                </c:pt>
                <c:pt idx="302">
                  <c:v>4.4499999999999997E-6</c:v>
                </c:pt>
                <c:pt idx="303">
                  <c:v>2.4000000000000001E-5</c:v>
                </c:pt>
                <c:pt idx="304">
                  <c:v>2.4499999999999999E-5</c:v>
                </c:pt>
                <c:pt idx="305">
                  <c:v>3.0300000000000001E-5</c:v>
                </c:pt>
                <c:pt idx="306">
                  <c:v>2.72E-5</c:v>
                </c:pt>
                <c:pt idx="307">
                  <c:v>2.4899999999999999E-5</c:v>
                </c:pt>
                <c:pt idx="308">
                  <c:v>2.8500000000000002E-5</c:v>
                </c:pt>
                <c:pt idx="309">
                  <c:v>2.7699999999999999E-5</c:v>
                </c:pt>
                <c:pt idx="310">
                  <c:v>8.8100000000000004E-6</c:v>
                </c:pt>
                <c:pt idx="311">
                  <c:v>2.1999999999999999E-5</c:v>
                </c:pt>
                <c:pt idx="312">
                  <c:v>2.9600000000000001E-5</c:v>
                </c:pt>
                <c:pt idx="313">
                  <c:v>2.8500000000000002E-5</c:v>
                </c:pt>
                <c:pt idx="314">
                  <c:v>1.45E-5</c:v>
                </c:pt>
                <c:pt idx="315">
                  <c:v>3.0700000000000001E-5</c:v>
                </c:pt>
                <c:pt idx="316">
                  <c:v>2.3900000000000002E-5</c:v>
                </c:pt>
                <c:pt idx="317">
                  <c:v>1.5400000000000002E-5</c:v>
                </c:pt>
                <c:pt idx="318">
                  <c:v>2.37E-5</c:v>
                </c:pt>
                <c:pt idx="319">
                  <c:v>2.3600000000000001E-5</c:v>
                </c:pt>
                <c:pt idx="320">
                  <c:v>2.2900000000000001E-5</c:v>
                </c:pt>
                <c:pt idx="321">
                  <c:v>2.69E-5</c:v>
                </c:pt>
                <c:pt idx="322">
                  <c:v>3.0899999999999999E-5</c:v>
                </c:pt>
                <c:pt idx="323">
                  <c:v>3.0499999999999999E-5</c:v>
                </c:pt>
                <c:pt idx="324">
                  <c:v>2.5199999999999999E-5</c:v>
                </c:pt>
                <c:pt idx="325">
                  <c:v>2.5199999999999999E-5</c:v>
                </c:pt>
                <c:pt idx="326">
                  <c:v>3.1099999999999997E-5</c:v>
                </c:pt>
                <c:pt idx="327">
                  <c:v>1.45E-5</c:v>
                </c:pt>
                <c:pt idx="328">
                  <c:v>1.6500000000000001E-5</c:v>
                </c:pt>
                <c:pt idx="329">
                  <c:v>1.5099999999999999E-5</c:v>
                </c:pt>
                <c:pt idx="330">
                  <c:v>3.1099999999999997E-5</c:v>
                </c:pt>
                <c:pt idx="331">
                  <c:v>1.6399999999999999E-5</c:v>
                </c:pt>
                <c:pt idx="332">
                  <c:v>2.7699999999999999E-5</c:v>
                </c:pt>
                <c:pt idx="333">
                  <c:v>3.1099999999999997E-5</c:v>
                </c:pt>
                <c:pt idx="334">
                  <c:v>1.0200000000000001E-5</c:v>
                </c:pt>
                <c:pt idx="335">
                  <c:v>3.1199999999999999E-5</c:v>
                </c:pt>
                <c:pt idx="336">
                  <c:v>2.26E-5</c:v>
                </c:pt>
                <c:pt idx="337">
                  <c:v>3.0300000000000001E-5</c:v>
                </c:pt>
                <c:pt idx="338">
                  <c:v>2.48E-5</c:v>
                </c:pt>
                <c:pt idx="339">
                  <c:v>2.2900000000000001E-5</c:v>
                </c:pt>
                <c:pt idx="340">
                  <c:v>2.0699999999999998E-5</c:v>
                </c:pt>
                <c:pt idx="341">
                  <c:v>2.9200000000000002E-5</c:v>
                </c:pt>
                <c:pt idx="342">
                  <c:v>2.48E-5</c:v>
                </c:pt>
                <c:pt idx="343">
                  <c:v>1.49E-5</c:v>
                </c:pt>
                <c:pt idx="344">
                  <c:v>2.4600000000000002E-5</c:v>
                </c:pt>
                <c:pt idx="345">
                  <c:v>2.3099999999999999E-5</c:v>
                </c:pt>
                <c:pt idx="346">
                  <c:v>2.0699999999999998E-5</c:v>
                </c:pt>
                <c:pt idx="347">
                  <c:v>1.2099999999999999E-5</c:v>
                </c:pt>
                <c:pt idx="348">
                  <c:v>3.1199999999999999E-5</c:v>
                </c:pt>
                <c:pt idx="349">
                  <c:v>1.43E-5</c:v>
                </c:pt>
                <c:pt idx="350">
                  <c:v>2.5000000000000001E-5</c:v>
                </c:pt>
                <c:pt idx="351">
                  <c:v>2.4300000000000001E-5</c:v>
                </c:pt>
                <c:pt idx="352">
                  <c:v>3.0700000000000001E-5</c:v>
                </c:pt>
                <c:pt idx="353">
                  <c:v>9.9799999999999993E-6</c:v>
                </c:pt>
                <c:pt idx="354">
                  <c:v>2.3499999999999999E-5</c:v>
                </c:pt>
                <c:pt idx="355">
                  <c:v>2.94E-5</c:v>
                </c:pt>
                <c:pt idx="356">
                  <c:v>8.2700000000000004E-6</c:v>
                </c:pt>
                <c:pt idx="357">
                  <c:v>3.0899999999999999E-5</c:v>
                </c:pt>
                <c:pt idx="358">
                  <c:v>2.9E-5</c:v>
                </c:pt>
                <c:pt idx="359">
                  <c:v>3.1000000000000001E-5</c:v>
                </c:pt>
                <c:pt idx="360">
                  <c:v>1.4800000000000001E-5</c:v>
                </c:pt>
                <c:pt idx="361">
                  <c:v>2.0699999999999998E-5</c:v>
                </c:pt>
                <c:pt idx="362">
                  <c:v>2.69E-5</c:v>
                </c:pt>
                <c:pt idx="363">
                  <c:v>1.43E-5</c:v>
                </c:pt>
                <c:pt idx="364">
                  <c:v>2.9300000000000001E-5</c:v>
                </c:pt>
                <c:pt idx="365">
                  <c:v>2.2799999999999999E-5</c:v>
                </c:pt>
                <c:pt idx="366">
                  <c:v>2.94E-5</c:v>
                </c:pt>
                <c:pt idx="367">
                  <c:v>2.8500000000000002E-5</c:v>
                </c:pt>
                <c:pt idx="368">
                  <c:v>2.9E-5</c:v>
                </c:pt>
                <c:pt idx="369">
                  <c:v>3.0199999999999999E-5</c:v>
                </c:pt>
                <c:pt idx="370">
                  <c:v>3.1199999999999999E-5</c:v>
                </c:pt>
                <c:pt idx="371">
                  <c:v>1.98E-5</c:v>
                </c:pt>
                <c:pt idx="372">
                  <c:v>8.5900000000000008E-6</c:v>
                </c:pt>
                <c:pt idx="373">
                  <c:v>2.1100000000000001E-5</c:v>
                </c:pt>
                <c:pt idx="374">
                  <c:v>3.0300000000000001E-5</c:v>
                </c:pt>
                <c:pt idx="375">
                  <c:v>3.0800000000000003E-5</c:v>
                </c:pt>
                <c:pt idx="376">
                  <c:v>3.1199999999999999E-5</c:v>
                </c:pt>
                <c:pt idx="377">
                  <c:v>2.0400000000000001E-5</c:v>
                </c:pt>
                <c:pt idx="378">
                  <c:v>1.73E-5</c:v>
                </c:pt>
                <c:pt idx="379">
                  <c:v>2.0100000000000001E-5</c:v>
                </c:pt>
                <c:pt idx="380">
                  <c:v>2.5199999999999999E-5</c:v>
                </c:pt>
                <c:pt idx="381">
                  <c:v>1.3699999999999999E-5</c:v>
                </c:pt>
                <c:pt idx="382">
                  <c:v>2.3200000000000001E-5</c:v>
                </c:pt>
                <c:pt idx="383">
                  <c:v>2.5199999999999999E-5</c:v>
                </c:pt>
                <c:pt idx="384">
                  <c:v>1.06E-5</c:v>
                </c:pt>
                <c:pt idx="385">
                  <c:v>2.97E-5</c:v>
                </c:pt>
                <c:pt idx="386">
                  <c:v>1.39E-6</c:v>
                </c:pt>
                <c:pt idx="387">
                  <c:v>3.0899999999999999E-5</c:v>
                </c:pt>
                <c:pt idx="388">
                  <c:v>1.49E-7</c:v>
                </c:pt>
                <c:pt idx="389">
                  <c:v>2.2200000000000001E-5</c:v>
                </c:pt>
                <c:pt idx="390">
                  <c:v>2.23E-5</c:v>
                </c:pt>
                <c:pt idx="391">
                  <c:v>2.41E-5</c:v>
                </c:pt>
                <c:pt idx="392">
                  <c:v>6.64E-6</c:v>
                </c:pt>
                <c:pt idx="393">
                  <c:v>2.48E-5</c:v>
                </c:pt>
                <c:pt idx="394">
                  <c:v>1.24E-5</c:v>
                </c:pt>
                <c:pt idx="395">
                  <c:v>1.7099999999999999E-5</c:v>
                </c:pt>
                <c:pt idx="396">
                  <c:v>6.0000000000000002E-6</c:v>
                </c:pt>
                <c:pt idx="397">
                  <c:v>2.2799999999999999E-5</c:v>
                </c:pt>
                <c:pt idx="398">
                  <c:v>2.6599999999999999E-5</c:v>
                </c:pt>
                <c:pt idx="399">
                  <c:v>3.1199999999999999E-5</c:v>
                </c:pt>
                <c:pt idx="400">
                  <c:v>3.1199999999999999E-5</c:v>
                </c:pt>
                <c:pt idx="401">
                  <c:v>3.1099999999999997E-5</c:v>
                </c:pt>
                <c:pt idx="402">
                  <c:v>1.11E-5</c:v>
                </c:pt>
                <c:pt idx="403">
                  <c:v>4.6999999999999999E-6</c:v>
                </c:pt>
                <c:pt idx="404">
                  <c:v>2.9E-5</c:v>
                </c:pt>
                <c:pt idx="405">
                  <c:v>2.8E-5</c:v>
                </c:pt>
                <c:pt idx="406">
                  <c:v>2.4899999999999999E-5</c:v>
                </c:pt>
                <c:pt idx="407">
                  <c:v>2.7800000000000001E-5</c:v>
                </c:pt>
                <c:pt idx="408">
                  <c:v>3.0199999999999999E-5</c:v>
                </c:pt>
                <c:pt idx="409">
                  <c:v>2.3099999999999999E-5</c:v>
                </c:pt>
                <c:pt idx="410">
                  <c:v>2.7399999999999999E-5</c:v>
                </c:pt>
                <c:pt idx="411">
                  <c:v>2.6800000000000001E-5</c:v>
                </c:pt>
                <c:pt idx="412">
                  <c:v>2.0699999999999998E-5</c:v>
                </c:pt>
                <c:pt idx="413">
                  <c:v>5.9399999999999999E-6</c:v>
                </c:pt>
                <c:pt idx="414">
                  <c:v>2.8500000000000002E-5</c:v>
                </c:pt>
                <c:pt idx="415">
                  <c:v>3.1000000000000001E-5</c:v>
                </c:pt>
                <c:pt idx="416">
                  <c:v>1.1399999999999999E-5</c:v>
                </c:pt>
                <c:pt idx="417">
                  <c:v>2.0100000000000001E-5</c:v>
                </c:pt>
                <c:pt idx="418">
                  <c:v>2.5899999999999999E-5</c:v>
                </c:pt>
                <c:pt idx="419">
                  <c:v>2.6299999999999999E-5</c:v>
                </c:pt>
                <c:pt idx="420">
                  <c:v>2.8900000000000001E-5</c:v>
                </c:pt>
                <c:pt idx="421">
                  <c:v>2.09E-5</c:v>
                </c:pt>
                <c:pt idx="422">
                  <c:v>3.01E-5</c:v>
                </c:pt>
                <c:pt idx="423">
                  <c:v>2.9900000000000002E-6</c:v>
                </c:pt>
                <c:pt idx="424">
                  <c:v>3.0599999999999998E-5</c:v>
                </c:pt>
                <c:pt idx="425">
                  <c:v>2.9799999999999999E-5</c:v>
                </c:pt>
                <c:pt idx="426">
                  <c:v>2.51E-5</c:v>
                </c:pt>
                <c:pt idx="427">
                  <c:v>3.1000000000000001E-5</c:v>
                </c:pt>
                <c:pt idx="428">
                  <c:v>1.0200000000000001E-5</c:v>
                </c:pt>
                <c:pt idx="429">
                  <c:v>1.98E-5</c:v>
                </c:pt>
                <c:pt idx="430">
                  <c:v>1.47E-5</c:v>
                </c:pt>
                <c:pt idx="431">
                  <c:v>4.7999999999999998E-6</c:v>
                </c:pt>
                <c:pt idx="432">
                  <c:v>2.5199999999999999E-5</c:v>
                </c:pt>
                <c:pt idx="433">
                  <c:v>1.59E-5</c:v>
                </c:pt>
                <c:pt idx="434">
                  <c:v>2.7699999999999999E-5</c:v>
                </c:pt>
                <c:pt idx="435">
                  <c:v>2.9600000000000001E-5</c:v>
                </c:pt>
                <c:pt idx="436">
                  <c:v>3.0800000000000003E-5</c:v>
                </c:pt>
                <c:pt idx="437">
                  <c:v>1.7099999999999999E-5</c:v>
                </c:pt>
                <c:pt idx="438">
                  <c:v>2.7500000000000001E-5</c:v>
                </c:pt>
                <c:pt idx="439">
                  <c:v>4.3200000000000001E-6</c:v>
                </c:pt>
                <c:pt idx="440">
                  <c:v>3.0300000000000001E-5</c:v>
                </c:pt>
                <c:pt idx="441">
                  <c:v>6.19E-6</c:v>
                </c:pt>
                <c:pt idx="442">
                  <c:v>2.8900000000000001E-5</c:v>
                </c:pt>
                <c:pt idx="443">
                  <c:v>1.3200000000000001E-5</c:v>
                </c:pt>
                <c:pt idx="444">
                  <c:v>3.1000000000000001E-5</c:v>
                </c:pt>
                <c:pt idx="445">
                  <c:v>2.87E-5</c:v>
                </c:pt>
                <c:pt idx="446">
                  <c:v>2.9899999999999998E-5</c:v>
                </c:pt>
                <c:pt idx="447">
                  <c:v>2.4499999999999999E-5</c:v>
                </c:pt>
                <c:pt idx="448">
                  <c:v>2.73E-5</c:v>
                </c:pt>
                <c:pt idx="449">
                  <c:v>2.5400000000000001E-5</c:v>
                </c:pt>
                <c:pt idx="450">
                  <c:v>2.5599999999999999E-5</c:v>
                </c:pt>
                <c:pt idx="451">
                  <c:v>2.3300000000000001E-5</c:v>
                </c:pt>
                <c:pt idx="452">
                  <c:v>3.1099999999999997E-5</c:v>
                </c:pt>
                <c:pt idx="453">
                  <c:v>2.8799999999999999E-5</c:v>
                </c:pt>
                <c:pt idx="454">
                  <c:v>2.3799999999999999E-5</c:v>
                </c:pt>
                <c:pt idx="455">
                  <c:v>2.23E-5</c:v>
                </c:pt>
                <c:pt idx="456">
                  <c:v>2.9300000000000001E-5</c:v>
                </c:pt>
                <c:pt idx="457">
                  <c:v>2.97E-5</c:v>
                </c:pt>
                <c:pt idx="458">
                  <c:v>2.87E-5</c:v>
                </c:pt>
                <c:pt idx="459">
                  <c:v>2.4600000000000002E-5</c:v>
                </c:pt>
                <c:pt idx="460">
                  <c:v>5.2800000000000003E-6</c:v>
                </c:pt>
                <c:pt idx="461">
                  <c:v>3.1099999999999997E-5</c:v>
                </c:pt>
                <c:pt idx="462">
                  <c:v>3.0800000000000003E-5</c:v>
                </c:pt>
                <c:pt idx="463">
                  <c:v>1.56E-5</c:v>
                </c:pt>
                <c:pt idx="464">
                  <c:v>3.1099999999999997E-5</c:v>
                </c:pt>
                <c:pt idx="465">
                  <c:v>2.7100000000000001E-5</c:v>
                </c:pt>
                <c:pt idx="466">
                  <c:v>2.16E-5</c:v>
                </c:pt>
                <c:pt idx="467">
                  <c:v>2.7100000000000001E-5</c:v>
                </c:pt>
                <c:pt idx="468">
                  <c:v>1.9199999999999999E-5</c:v>
                </c:pt>
                <c:pt idx="469">
                  <c:v>2.3799999999999999E-5</c:v>
                </c:pt>
                <c:pt idx="470">
                  <c:v>4.42E-6</c:v>
                </c:pt>
                <c:pt idx="471">
                  <c:v>3.89E-7</c:v>
                </c:pt>
                <c:pt idx="472">
                  <c:v>3.04E-5</c:v>
                </c:pt>
                <c:pt idx="473">
                  <c:v>8.2300000000000008E-6</c:v>
                </c:pt>
                <c:pt idx="474">
                  <c:v>2.6800000000000002E-6</c:v>
                </c:pt>
                <c:pt idx="475">
                  <c:v>4.87E-6</c:v>
                </c:pt>
                <c:pt idx="476">
                  <c:v>5.48E-6</c:v>
                </c:pt>
                <c:pt idx="477">
                  <c:v>8.4399999999999999E-7</c:v>
                </c:pt>
                <c:pt idx="478">
                  <c:v>2.4600000000000002E-5</c:v>
                </c:pt>
                <c:pt idx="479">
                  <c:v>8.6000000000000007E-6</c:v>
                </c:pt>
                <c:pt idx="480">
                  <c:v>2.51E-5</c:v>
                </c:pt>
                <c:pt idx="481">
                  <c:v>1.31E-5</c:v>
                </c:pt>
                <c:pt idx="482">
                  <c:v>2.44E-5</c:v>
                </c:pt>
                <c:pt idx="483">
                  <c:v>2.9E-5</c:v>
                </c:pt>
                <c:pt idx="484">
                  <c:v>8.9800000000000002E-7</c:v>
                </c:pt>
                <c:pt idx="485">
                  <c:v>3.1199999999999999E-5</c:v>
                </c:pt>
                <c:pt idx="486">
                  <c:v>2.2200000000000001E-5</c:v>
                </c:pt>
                <c:pt idx="487">
                  <c:v>2.12E-5</c:v>
                </c:pt>
                <c:pt idx="488">
                  <c:v>1.59E-6</c:v>
                </c:pt>
                <c:pt idx="489">
                  <c:v>2.9099999999999999E-5</c:v>
                </c:pt>
                <c:pt idx="490">
                  <c:v>1.3200000000000001E-5</c:v>
                </c:pt>
                <c:pt idx="491">
                  <c:v>1.22E-5</c:v>
                </c:pt>
                <c:pt idx="492">
                  <c:v>1.7E-5</c:v>
                </c:pt>
                <c:pt idx="493">
                  <c:v>1.5800000000000001E-5</c:v>
                </c:pt>
                <c:pt idx="494">
                  <c:v>3.1099999999999997E-5</c:v>
                </c:pt>
                <c:pt idx="495">
                  <c:v>3.2799999999999999E-6</c:v>
                </c:pt>
                <c:pt idx="496">
                  <c:v>1.7200000000000001E-5</c:v>
                </c:pt>
                <c:pt idx="497">
                  <c:v>1.2099999999999999E-5</c:v>
                </c:pt>
                <c:pt idx="498">
                  <c:v>2.76E-5</c:v>
                </c:pt>
                <c:pt idx="499">
                  <c:v>2.83E-5</c:v>
                </c:pt>
                <c:pt idx="500">
                  <c:v>2.4600000000000002E-5</c:v>
                </c:pt>
                <c:pt idx="501">
                  <c:v>3.0800000000000003E-5</c:v>
                </c:pt>
                <c:pt idx="502">
                  <c:v>3.0000000000000001E-5</c:v>
                </c:pt>
                <c:pt idx="503">
                  <c:v>2.5599999999999999E-5</c:v>
                </c:pt>
                <c:pt idx="504">
                  <c:v>2.73E-5</c:v>
                </c:pt>
                <c:pt idx="505">
                  <c:v>2.4600000000000002E-5</c:v>
                </c:pt>
                <c:pt idx="506">
                  <c:v>1.44E-6</c:v>
                </c:pt>
                <c:pt idx="507">
                  <c:v>4.46E-7</c:v>
                </c:pt>
                <c:pt idx="508">
                  <c:v>7.7300000000000005E-6</c:v>
                </c:pt>
                <c:pt idx="509">
                  <c:v>7.6000000000000001E-6</c:v>
                </c:pt>
                <c:pt idx="510">
                  <c:v>2.1299999999999999E-5</c:v>
                </c:pt>
                <c:pt idx="511">
                  <c:v>2.9200000000000002E-5</c:v>
                </c:pt>
                <c:pt idx="512">
                  <c:v>2.41E-5</c:v>
                </c:pt>
                <c:pt idx="513">
                  <c:v>2.51E-5</c:v>
                </c:pt>
                <c:pt idx="514">
                  <c:v>1.6900000000000001E-5</c:v>
                </c:pt>
                <c:pt idx="515">
                  <c:v>3.1099999999999997E-5</c:v>
                </c:pt>
                <c:pt idx="516">
                  <c:v>3.8099999999999999E-6</c:v>
                </c:pt>
                <c:pt idx="517">
                  <c:v>2.23E-5</c:v>
                </c:pt>
                <c:pt idx="518">
                  <c:v>1.06E-5</c:v>
                </c:pt>
                <c:pt idx="519">
                  <c:v>3.1099999999999997E-5</c:v>
                </c:pt>
                <c:pt idx="520">
                  <c:v>2.09E-5</c:v>
                </c:pt>
                <c:pt idx="521">
                  <c:v>1.36E-5</c:v>
                </c:pt>
                <c:pt idx="522">
                  <c:v>2.9099999999999999E-5</c:v>
                </c:pt>
                <c:pt idx="523">
                  <c:v>4.87E-6</c:v>
                </c:pt>
                <c:pt idx="524">
                  <c:v>1.86E-6</c:v>
                </c:pt>
                <c:pt idx="525">
                  <c:v>3.01E-5</c:v>
                </c:pt>
                <c:pt idx="526">
                  <c:v>1.5999999999999999E-5</c:v>
                </c:pt>
                <c:pt idx="527">
                  <c:v>1.6799999999999998E-5</c:v>
                </c:pt>
                <c:pt idx="528">
                  <c:v>2.94E-5</c:v>
                </c:pt>
                <c:pt idx="529">
                  <c:v>5.0499999999999999E-6</c:v>
                </c:pt>
                <c:pt idx="530">
                  <c:v>2.1699999999999999E-5</c:v>
                </c:pt>
                <c:pt idx="531">
                  <c:v>1.5E-5</c:v>
                </c:pt>
                <c:pt idx="532">
                  <c:v>1.24E-5</c:v>
                </c:pt>
                <c:pt idx="533">
                  <c:v>3.1700000000000001E-6</c:v>
                </c:pt>
                <c:pt idx="534">
                  <c:v>7.2900000000000003E-7</c:v>
                </c:pt>
                <c:pt idx="535">
                  <c:v>2.5100000000000001E-6</c:v>
                </c:pt>
                <c:pt idx="536">
                  <c:v>3.0800000000000003E-5</c:v>
                </c:pt>
                <c:pt idx="537">
                  <c:v>8.9400000000000008E-6</c:v>
                </c:pt>
                <c:pt idx="538">
                  <c:v>2.5199999999999999E-5</c:v>
                </c:pt>
                <c:pt idx="539">
                  <c:v>3.0700000000000001E-5</c:v>
                </c:pt>
                <c:pt idx="540">
                  <c:v>1.63E-5</c:v>
                </c:pt>
                <c:pt idx="541">
                  <c:v>1.0200000000000001E-5</c:v>
                </c:pt>
                <c:pt idx="542">
                  <c:v>1.3900000000000001E-5</c:v>
                </c:pt>
                <c:pt idx="543">
                  <c:v>9.0000000000000002E-6</c:v>
                </c:pt>
                <c:pt idx="544">
                  <c:v>3.1199999999999999E-5</c:v>
                </c:pt>
                <c:pt idx="545">
                  <c:v>1.0499999999999999E-5</c:v>
                </c:pt>
                <c:pt idx="546">
                  <c:v>2.6800000000000001E-5</c:v>
                </c:pt>
                <c:pt idx="547">
                  <c:v>3.1099999999999997E-5</c:v>
                </c:pt>
                <c:pt idx="548">
                  <c:v>1.56E-5</c:v>
                </c:pt>
                <c:pt idx="549">
                  <c:v>2.2399999999999999E-5</c:v>
                </c:pt>
                <c:pt idx="550">
                  <c:v>1.26E-5</c:v>
                </c:pt>
                <c:pt idx="551">
                  <c:v>1.0699999999999999E-5</c:v>
                </c:pt>
                <c:pt idx="552">
                  <c:v>3.6200000000000001E-6</c:v>
                </c:pt>
                <c:pt idx="553">
                  <c:v>1.5500000000000001E-5</c:v>
                </c:pt>
                <c:pt idx="554">
                  <c:v>1.6500000000000001E-6</c:v>
                </c:pt>
                <c:pt idx="555">
                  <c:v>3.1199999999999999E-5</c:v>
                </c:pt>
                <c:pt idx="556">
                  <c:v>9.7200000000000001E-6</c:v>
                </c:pt>
                <c:pt idx="557">
                  <c:v>2.8500000000000002E-5</c:v>
                </c:pt>
                <c:pt idx="558">
                  <c:v>2.1800000000000001E-5</c:v>
                </c:pt>
                <c:pt idx="559">
                  <c:v>2.0000000000000002E-5</c:v>
                </c:pt>
                <c:pt idx="560">
                  <c:v>3.1199999999999999E-5</c:v>
                </c:pt>
                <c:pt idx="561">
                  <c:v>5.2399999999999998E-6</c:v>
                </c:pt>
                <c:pt idx="562">
                  <c:v>1.7900000000000001E-5</c:v>
                </c:pt>
                <c:pt idx="563">
                  <c:v>3.0199999999999999E-5</c:v>
                </c:pt>
                <c:pt idx="564">
                  <c:v>8.3000000000000002E-6</c:v>
                </c:pt>
                <c:pt idx="565">
                  <c:v>1.3200000000000001E-5</c:v>
                </c:pt>
                <c:pt idx="566">
                  <c:v>3.1199999999999999E-5</c:v>
                </c:pt>
                <c:pt idx="567">
                  <c:v>3.0000000000000001E-5</c:v>
                </c:pt>
                <c:pt idx="568">
                  <c:v>1.2999999999999999E-5</c:v>
                </c:pt>
                <c:pt idx="569">
                  <c:v>2.8099999999999999E-5</c:v>
                </c:pt>
                <c:pt idx="570">
                  <c:v>6.3899999999999998E-6</c:v>
                </c:pt>
                <c:pt idx="571">
                  <c:v>3.6399999999999999E-6</c:v>
                </c:pt>
                <c:pt idx="572">
                  <c:v>3.1099999999999997E-5</c:v>
                </c:pt>
                <c:pt idx="573">
                  <c:v>1.34E-5</c:v>
                </c:pt>
                <c:pt idx="574">
                  <c:v>3.0800000000000003E-5</c:v>
                </c:pt>
                <c:pt idx="575">
                  <c:v>1.6699999999999999E-5</c:v>
                </c:pt>
                <c:pt idx="576">
                  <c:v>1.38E-5</c:v>
                </c:pt>
                <c:pt idx="577">
                  <c:v>1.4100000000000001E-5</c:v>
                </c:pt>
                <c:pt idx="578">
                  <c:v>8.6400000000000003E-6</c:v>
                </c:pt>
                <c:pt idx="579">
                  <c:v>2.23E-5</c:v>
                </c:pt>
                <c:pt idx="580">
                  <c:v>3.0899999999999999E-5</c:v>
                </c:pt>
                <c:pt idx="581">
                  <c:v>3.0599999999999998E-5</c:v>
                </c:pt>
                <c:pt idx="582">
                  <c:v>3.1199999999999999E-5</c:v>
                </c:pt>
                <c:pt idx="583">
                  <c:v>1.0699999999999999E-5</c:v>
                </c:pt>
                <c:pt idx="584">
                  <c:v>9.8600000000000005E-6</c:v>
                </c:pt>
                <c:pt idx="585">
                  <c:v>2.65E-5</c:v>
                </c:pt>
                <c:pt idx="586">
                  <c:v>3.0299999999999998E-6</c:v>
                </c:pt>
                <c:pt idx="587">
                  <c:v>6.46E-6</c:v>
                </c:pt>
                <c:pt idx="588">
                  <c:v>2.7100000000000001E-5</c:v>
                </c:pt>
                <c:pt idx="589">
                  <c:v>1.9400000000000001E-5</c:v>
                </c:pt>
                <c:pt idx="590">
                  <c:v>3.1099999999999997E-5</c:v>
                </c:pt>
                <c:pt idx="591">
                  <c:v>3.1199999999999999E-5</c:v>
                </c:pt>
                <c:pt idx="592">
                  <c:v>1.8700000000000001E-5</c:v>
                </c:pt>
                <c:pt idx="593">
                  <c:v>4.1699999999999999E-6</c:v>
                </c:pt>
                <c:pt idx="594">
                  <c:v>3.0800000000000003E-5</c:v>
                </c:pt>
                <c:pt idx="595">
                  <c:v>2.58E-5</c:v>
                </c:pt>
                <c:pt idx="596">
                  <c:v>9.9499999999999996E-6</c:v>
                </c:pt>
                <c:pt idx="597">
                  <c:v>1.9599999999999999E-5</c:v>
                </c:pt>
                <c:pt idx="598">
                  <c:v>3.0199999999999999E-5</c:v>
                </c:pt>
                <c:pt idx="599">
                  <c:v>3.0899999999999999E-5</c:v>
                </c:pt>
                <c:pt idx="600">
                  <c:v>2.5000000000000001E-5</c:v>
                </c:pt>
                <c:pt idx="601">
                  <c:v>3.1000000000000001E-5</c:v>
                </c:pt>
                <c:pt idx="602">
                  <c:v>3.0599999999999998E-5</c:v>
                </c:pt>
                <c:pt idx="603">
                  <c:v>2.6599999999999999E-5</c:v>
                </c:pt>
                <c:pt idx="604">
                  <c:v>2.9E-5</c:v>
                </c:pt>
                <c:pt idx="605">
                  <c:v>1.2799999999999999E-5</c:v>
                </c:pt>
                <c:pt idx="606">
                  <c:v>2.88E-6</c:v>
                </c:pt>
                <c:pt idx="607">
                  <c:v>2.7300000000000001E-6</c:v>
                </c:pt>
                <c:pt idx="608">
                  <c:v>7.4499999999999998E-6</c:v>
                </c:pt>
                <c:pt idx="609">
                  <c:v>2.5700000000000001E-5</c:v>
                </c:pt>
                <c:pt idx="610">
                  <c:v>1.73E-5</c:v>
                </c:pt>
                <c:pt idx="611">
                  <c:v>3.1199999999999999E-5</c:v>
                </c:pt>
                <c:pt idx="612">
                  <c:v>2.8399999999999999E-5</c:v>
                </c:pt>
                <c:pt idx="613">
                  <c:v>2.1699999999999999E-5</c:v>
                </c:pt>
                <c:pt idx="614">
                  <c:v>3.1199999999999999E-5</c:v>
                </c:pt>
                <c:pt idx="615">
                  <c:v>2.19E-5</c:v>
                </c:pt>
                <c:pt idx="616">
                  <c:v>1.1400000000000001E-6</c:v>
                </c:pt>
                <c:pt idx="617">
                  <c:v>1.47E-5</c:v>
                </c:pt>
                <c:pt idx="618">
                  <c:v>3.1199999999999999E-5</c:v>
                </c:pt>
                <c:pt idx="619">
                  <c:v>2.5199999999999999E-5</c:v>
                </c:pt>
                <c:pt idx="620">
                  <c:v>2.2399999999999999E-5</c:v>
                </c:pt>
                <c:pt idx="621">
                  <c:v>2.2900000000000001E-5</c:v>
                </c:pt>
                <c:pt idx="622">
                  <c:v>2.3600000000000001E-5</c:v>
                </c:pt>
                <c:pt idx="623">
                  <c:v>2.8900000000000001E-5</c:v>
                </c:pt>
                <c:pt idx="624">
                  <c:v>2.2200000000000001E-5</c:v>
                </c:pt>
                <c:pt idx="625">
                  <c:v>2.73E-5</c:v>
                </c:pt>
                <c:pt idx="626">
                  <c:v>1.6200000000000001E-5</c:v>
                </c:pt>
                <c:pt idx="627">
                  <c:v>2.2900000000000001E-5</c:v>
                </c:pt>
                <c:pt idx="628">
                  <c:v>3.0800000000000003E-5</c:v>
                </c:pt>
                <c:pt idx="629">
                  <c:v>2.5599999999999999E-5</c:v>
                </c:pt>
                <c:pt idx="630">
                  <c:v>2.9499999999999999E-5</c:v>
                </c:pt>
                <c:pt idx="631">
                  <c:v>2.62E-5</c:v>
                </c:pt>
                <c:pt idx="632">
                  <c:v>3.5599999999999998E-6</c:v>
                </c:pt>
                <c:pt idx="633">
                  <c:v>7.92E-7</c:v>
                </c:pt>
                <c:pt idx="634">
                  <c:v>1.6700000000000001E-6</c:v>
                </c:pt>
                <c:pt idx="635">
                  <c:v>2.65E-5</c:v>
                </c:pt>
                <c:pt idx="636">
                  <c:v>7.5599999999999996E-6</c:v>
                </c:pt>
                <c:pt idx="637">
                  <c:v>2.1299999999999999E-5</c:v>
                </c:pt>
                <c:pt idx="638">
                  <c:v>2.6299999999999999E-5</c:v>
                </c:pt>
                <c:pt idx="639">
                  <c:v>1.6200000000000001E-5</c:v>
                </c:pt>
                <c:pt idx="640">
                  <c:v>2.0999999999999998E-6</c:v>
                </c:pt>
                <c:pt idx="641">
                  <c:v>3.0599999999999998E-5</c:v>
                </c:pt>
                <c:pt idx="642">
                  <c:v>2.5299999999999998E-5</c:v>
                </c:pt>
                <c:pt idx="643">
                  <c:v>2.44E-5</c:v>
                </c:pt>
                <c:pt idx="644">
                  <c:v>9.9999999999999995E-7</c:v>
                </c:pt>
                <c:pt idx="645">
                  <c:v>5.9200000000000001E-6</c:v>
                </c:pt>
                <c:pt idx="646">
                  <c:v>5.4499999999999997E-7</c:v>
                </c:pt>
                <c:pt idx="647">
                  <c:v>2.8600000000000001E-5</c:v>
                </c:pt>
                <c:pt idx="648">
                  <c:v>2.5400000000000001E-5</c:v>
                </c:pt>
                <c:pt idx="649">
                  <c:v>3.0800000000000003E-5</c:v>
                </c:pt>
                <c:pt idx="650">
                  <c:v>3.0700000000000001E-5</c:v>
                </c:pt>
                <c:pt idx="651">
                  <c:v>3.0800000000000003E-5</c:v>
                </c:pt>
                <c:pt idx="652">
                  <c:v>3.1199999999999999E-5</c:v>
                </c:pt>
                <c:pt idx="653">
                  <c:v>3.0199999999999999E-5</c:v>
                </c:pt>
                <c:pt idx="654">
                  <c:v>1.08E-5</c:v>
                </c:pt>
                <c:pt idx="655">
                  <c:v>2.72E-5</c:v>
                </c:pt>
                <c:pt idx="656">
                  <c:v>2.3999999999999999E-6</c:v>
                </c:pt>
                <c:pt idx="657">
                  <c:v>2.83E-5</c:v>
                </c:pt>
                <c:pt idx="658">
                  <c:v>1.31E-6</c:v>
                </c:pt>
                <c:pt idx="659">
                  <c:v>2.8900000000000001E-5</c:v>
                </c:pt>
                <c:pt idx="660">
                  <c:v>3.0499999999999999E-5</c:v>
                </c:pt>
                <c:pt idx="661">
                  <c:v>7.0999999999999998E-6</c:v>
                </c:pt>
                <c:pt idx="662">
                  <c:v>3.1099999999999997E-5</c:v>
                </c:pt>
                <c:pt idx="663">
                  <c:v>2.4499999999999999E-5</c:v>
                </c:pt>
                <c:pt idx="664">
                  <c:v>6.2600000000000002E-7</c:v>
                </c:pt>
                <c:pt idx="665">
                  <c:v>3.1199999999999999E-5</c:v>
                </c:pt>
                <c:pt idx="666">
                  <c:v>5.7799999999999997E-6</c:v>
                </c:pt>
                <c:pt idx="667">
                  <c:v>2.0800000000000001E-5</c:v>
                </c:pt>
                <c:pt idx="668">
                  <c:v>1.19E-6</c:v>
                </c:pt>
                <c:pt idx="669">
                  <c:v>1.8099999999999999E-5</c:v>
                </c:pt>
                <c:pt idx="670">
                  <c:v>6.0299999999999999E-6</c:v>
                </c:pt>
                <c:pt idx="671">
                  <c:v>2.5400000000000001E-5</c:v>
                </c:pt>
                <c:pt idx="672">
                  <c:v>2.58E-5</c:v>
                </c:pt>
                <c:pt idx="673">
                  <c:v>2.97E-5</c:v>
                </c:pt>
                <c:pt idx="674">
                  <c:v>1.4600000000000001E-5</c:v>
                </c:pt>
                <c:pt idx="675">
                  <c:v>1.08E-5</c:v>
                </c:pt>
                <c:pt idx="676">
                  <c:v>2.5199999999999999E-5</c:v>
                </c:pt>
                <c:pt idx="677">
                  <c:v>1.55E-6</c:v>
                </c:pt>
                <c:pt idx="678">
                  <c:v>2.2900000000000001E-5</c:v>
                </c:pt>
                <c:pt idx="679">
                  <c:v>1.2300000000000001E-6</c:v>
                </c:pt>
                <c:pt idx="680">
                  <c:v>3.04E-5</c:v>
                </c:pt>
                <c:pt idx="681">
                  <c:v>3.0199999999999999E-5</c:v>
                </c:pt>
                <c:pt idx="682">
                  <c:v>1.49E-5</c:v>
                </c:pt>
                <c:pt idx="683">
                  <c:v>2.8399999999999999E-5</c:v>
                </c:pt>
                <c:pt idx="684">
                  <c:v>2.6699999999999998E-5</c:v>
                </c:pt>
                <c:pt idx="685">
                  <c:v>2.3E-5</c:v>
                </c:pt>
                <c:pt idx="686">
                  <c:v>1.9199999999999998E-6</c:v>
                </c:pt>
                <c:pt idx="687">
                  <c:v>3.0499999999999999E-5</c:v>
                </c:pt>
                <c:pt idx="688">
                  <c:v>8.2900000000000002E-6</c:v>
                </c:pt>
                <c:pt idx="689">
                  <c:v>1.17E-5</c:v>
                </c:pt>
                <c:pt idx="690">
                  <c:v>2.8099999999999999E-5</c:v>
                </c:pt>
                <c:pt idx="691">
                  <c:v>2.97E-5</c:v>
                </c:pt>
                <c:pt idx="692">
                  <c:v>3.0599999999999998E-5</c:v>
                </c:pt>
                <c:pt idx="693">
                  <c:v>2.9300000000000001E-5</c:v>
                </c:pt>
                <c:pt idx="694">
                  <c:v>1.06E-6</c:v>
                </c:pt>
                <c:pt idx="695">
                  <c:v>9.5899999999999997E-6</c:v>
                </c:pt>
                <c:pt idx="696">
                  <c:v>3.0700000000000001E-5</c:v>
                </c:pt>
                <c:pt idx="697">
                  <c:v>3.1199999999999999E-5</c:v>
                </c:pt>
                <c:pt idx="698">
                  <c:v>2.0299999999999999E-5</c:v>
                </c:pt>
                <c:pt idx="699">
                  <c:v>2.6100000000000001E-5</c:v>
                </c:pt>
                <c:pt idx="700">
                  <c:v>2.7800000000000001E-5</c:v>
                </c:pt>
                <c:pt idx="701">
                  <c:v>1.6399999999999999E-5</c:v>
                </c:pt>
                <c:pt idx="702">
                  <c:v>7.6299999999999998E-6</c:v>
                </c:pt>
                <c:pt idx="703">
                  <c:v>1.5800000000000001E-5</c:v>
                </c:pt>
                <c:pt idx="704">
                  <c:v>2.2799999999999999E-5</c:v>
                </c:pt>
                <c:pt idx="705">
                  <c:v>2.44E-5</c:v>
                </c:pt>
                <c:pt idx="706">
                  <c:v>3.04E-5</c:v>
                </c:pt>
                <c:pt idx="707">
                  <c:v>3.0899999999999999E-5</c:v>
                </c:pt>
                <c:pt idx="708">
                  <c:v>1.72E-6</c:v>
                </c:pt>
                <c:pt idx="709">
                  <c:v>3.1099999999999997E-5</c:v>
                </c:pt>
                <c:pt idx="710">
                  <c:v>2.0000000000000002E-5</c:v>
                </c:pt>
                <c:pt idx="711">
                  <c:v>2.5899999999999999E-5</c:v>
                </c:pt>
                <c:pt idx="712">
                  <c:v>3.1000000000000001E-5</c:v>
                </c:pt>
                <c:pt idx="713">
                  <c:v>3.1099999999999997E-5</c:v>
                </c:pt>
                <c:pt idx="714">
                  <c:v>1.5999999999999999E-6</c:v>
                </c:pt>
                <c:pt idx="715">
                  <c:v>2.8799999999999999E-5</c:v>
                </c:pt>
                <c:pt idx="716">
                  <c:v>3.1000000000000001E-5</c:v>
                </c:pt>
                <c:pt idx="717">
                  <c:v>4.4900000000000002E-6</c:v>
                </c:pt>
                <c:pt idx="718">
                  <c:v>4.3599999999999998E-6</c:v>
                </c:pt>
                <c:pt idx="719">
                  <c:v>2.2099999999999998E-5</c:v>
                </c:pt>
              </c:numCache>
            </c:numRef>
          </c:xVal>
          <c:yVal>
            <c:numRef>
              <c:f>probabilities_variance_value!$H$2:$H$721</c:f>
              <c:numCache>
                <c:formatCode>0.00E+00</c:formatCode>
                <c:ptCount val="720"/>
                <c:pt idx="0">
                  <c:v>4.8799999999999999E-6</c:v>
                </c:pt>
                <c:pt idx="1">
                  <c:v>3.4800000000000001E-6</c:v>
                </c:pt>
                <c:pt idx="2">
                  <c:v>3.9700000000000001E-6</c:v>
                </c:pt>
                <c:pt idx="3">
                  <c:v>7.2500000000000005E-7</c:v>
                </c:pt>
                <c:pt idx="4">
                  <c:v>1.09E-7</c:v>
                </c:pt>
                <c:pt idx="5">
                  <c:v>1.99E-6</c:v>
                </c:pt>
                <c:pt idx="6">
                  <c:v>1.15E-5</c:v>
                </c:pt>
                <c:pt idx="7">
                  <c:v>1.0499999999999999E-6</c:v>
                </c:pt>
                <c:pt idx="8">
                  <c:v>2.9099999999999999E-5</c:v>
                </c:pt>
                <c:pt idx="9">
                  <c:v>2.4600000000000001E-7</c:v>
                </c:pt>
                <c:pt idx="10">
                  <c:v>3.54E-6</c:v>
                </c:pt>
                <c:pt idx="11">
                  <c:v>5.5099999999999998E-6</c:v>
                </c:pt>
                <c:pt idx="12">
                  <c:v>4.3100000000000002E-6</c:v>
                </c:pt>
                <c:pt idx="13">
                  <c:v>1.77E-6</c:v>
                </c:pt>
                <c:pt idx="14">
                  <c:v>1.1399999999999999E-5</c:v>
                </c:pt>
                <c:pt idx="15">
                  <c:v>1.7099999999999999E-6</c:v>
                </c:pt>
                <c:pt idx="16">
                  <c:v>3.0899999999999999E-5</c:v>
                </c:pt>
                <c:pt idx="17">
                  <c:v>2.43E-6</c:v>
                </c:pt>
                <c:pt idx="18">
                  <c:v>1.1000000000000001E-6</c:v>
                </c:pt>
                <c:pt idx="19">
                  <c:v>2.6600000000000003E-7</c:v>
                </c:pt>
                <c:pt idx="20">
                  <c:v>1.1400000000000001E-6</c:v>
                </c:pt>
                <c:pt idx="21">
                  <c:v>4.0500000000000002E-6</c:v>
                </c:pt>
                <c:pt idx="22">
                  <c:v>3.7900000000000001E-6</c:v>
                </c:pt>
                <c:pt idx="23">
                  <c:v>1.3200000000000001E-5</c:v>
                </c:pt>
                <c:pt idx="24">
                  <c:v>9.2399999999999994E-8</c:v>
                </c:pt>
                <c:pt idx="25">
                  <c:v>4.2500000000000001E-7</c:v>
                </c:pt>
                <c:pt idx="26">
                  <c:v>1.11E-5</c:v>
                </c:pt>
                <c:pt idx="27">
                  <c:v>9.7600000000000006E-7</c:v>
                </c:pt>
                <c:pt idx="28">
                  <c:v>5.2000000000000002E-6</c:v>
                </c:pt>
                <c:pt idx="29">
                  <c:v>3.5099999999999999E-6</c:v>
                </c:pt>
                <c:pt idx="30">
                  <c:v>1.38E-5</c:v>
                </c:pt>
                <c:pt idx="31">
                  <c:v>1.7799999999999999E-6</c:v>
                </c:pt>
                <c:pt idx="32">
                  <c:v>2.3300000000000001E-6</c:v>
                </c:pt>
                <c:pt idx="33">
                  <c:v>2.08E-6</c:v>
                </c:pt>
                <c:pt idx="34">
                  <c:v>1.84E-6</c:v>
                </c:pt>
                <c:pt idx="35">
                  <c:v>1.0499999999999999E-5</c:v>
                </c:pt>
                <c:pt idx="36">
                  <c:v>7.5600000000000005E-7</c:v>
                </c:pt>
                <c:pt idx="37">
                  <c:v>1.5E-6</c:v>
                </c:pt>
                <c:pt idx="38">
                  <c:v>1.3599999999999999E-6</c:v>
                </c:pt>
                <c:pt idx="39">
                  <c:v>1.31E-6</c:v>
                </c:pt>
                <c:pt idx="40">
                  <c:v>5.1599999999999999E-8</c:v>
                </c:pt>
                <c:pt idx="41">
                  <c:v>1.8E-7</c:v>
                </c:pt>
                <c:pt idx="42">
                  <c:v>2.4700000000000001E-6</c:v>
                </c:pt>
                <c:pt idx="43">
                  <c:v>2.3200000000000001E-5</c:v>
                </c:pt>
                <c:pt idx="44">
                  <c:v>2.26E-6</c:v>
                </c:pt>
                <c:pt idx="45">
                  <c:v>2.2800000000000002E-6</c:v>
                </c:pt>
                <c:pt idx="46">
                  <c:v>1.38E-5</c:v>
                </c:pt>
                <c:pt idx="47">
                  <c:v>3.3299999999999999E-6</c:v>
                </c:pt>
                <c:pt idx="48">
                  <c:v>7.5600000000000005E-7</c:v>
                </c:pt>
                <c:pt idx="49">
                  <c:v>3.1199999999999999E-5</c:v>
                </c:pt>
                <c:pt idx="50">
                  <c:v>2.3499999999999999E-6</c:v>
                </c:pt>
                <c:pt idx="51">
                  <c:v>1.39E-6</c:v>
                </c:pt>
                <c:pt idx="52">
                  <c:v>2.4700000000000001E-6</c:v>
                </c:pt>
                <c:pt idx="53">
                  <c:v>1.11E-5</c:v>
                </c:pt>
                <c:pt idx="54">
                  <c:v>1.5099999999999999E-6</c:v>
                </c:pt>
                <c:pt idx="55">
                  <c:v>4.2699999999999998E-6</c:v>
                </c:pt>
                <c:pt idx="56">
                  <c:v>5.9699999999999996E-6</c:v>
                </c:pt>
                <c:pt idx="57">
                  <c:v>2.0699999999999998E-5</c:v>
                </c:pt>
                <c:pt idx="58">
                  <c:v>7.8099999999999998E-6</c:v>
                </c:pt>
                <c:pt idx="59">
                  <c:v>3.34E-7</c:v>
                </c:pt>
                <c:pt idx="60">
                  <c:v>2.65E-6</c:v>
                </c:pt>
                <c:pt idx="61">
                  <c:v>1.75E-6</c:v>
                </c:pt>
                <c:pt idx="62">
                  <c:v>6.13E-8</c:v>
                </c:pt>
                <c:pt idx="63">
                  <c:v>1.1799999999999999E-6</c:v>
                </c:pt>
                <c:pt idx="64">
                  <c:v>3.0300000000000001E-5</c:v>
                </c:pt>
                <c:pt idx="65">
                  <c:v>5.0300000000000001E-6</c:v>
                </c:pt>
                <c:pt idx="66">
                  <c:v>2.4600000000000001E-7</c:v>
                </c:pt>
                <c:pt idx="67">
                  <c:v>4.8799999999999999E-6</c:v>
                </c:pt>
                <c:pt idx="68">
                  <c:v>7.9000000000000006E-8</c:v>
                </c:pt>
                <c:pt idx="69">
                  <c:v>5.7000000000000005E-7</c:v>
                </c:pt>
                <c:pt idx="70">
                  <c:v>2.8500000000000002E-5</c:v>
                </c:pt>
                <c:pt idx="71">
                  <c:v>3.3100000000000001E-6</c:v>
                </c:pt>
                <c:pt idx="72">
                  <c:v>1.2999999999999999E-5</c:v>
                </c:pt>
                <c:pt idx="73">
                  <c:v>2.2299999999999998E-6</c:v>
                </c:pt>
                <c:pt idx="74">
                  <c:v>2.0600000000000002E-6</c:v>
                </c:pt>
                <c:pt idx="75">
                  <c:v>3.3000000000000002E-6</c:v>
                </c:pt>
                <c:pt idx="76">
                  <c:v>2.67E-7</c:v>
                </c:pt>
                <c:pt idx="77">
                  <c:v>8.1100000000000005E-7</c:v>
                </c:pt>
                <c:pt idx="78">
                  <c:v>4.78E-6</c:v>
                </c:pt>
                <c:pt idx="79">
                  <c:v>2.6199999999999999E-6</c:v>
                </c:pt>
                <c:pt idx="80">
                  <c:v>1.4100000000000001E-6</c:v>
                </c:pt>
                <c:pt idx="81">
                  <c:v>3.7100000000000001E-6</c:v>
                </c:pt>
                <c:pt idx="82">
                  <c:v>1.11E-5</c:v>
                </c:pt>
                <c:pt idx="83">
                  <c:v>2.7E-6</c:v>
                </c:pt>
                <c:pt idx="84">
                  <c:v>2.44E-5</c:v>
                </c:pt>
                <c:pt idx="85">
                  <c:v>1.5600000000000001E-6</c:v>
                </c:pt>
                <c:pt idx="86">
                  <c:v>2.6599999999999999E-5</c:v>
                </c:pt>
                <c:pt idx="87">
                  <c:v>1.5999999999999999E-6</c:v>
                </c:pt>
                <c:pt idx="88">
                  <c:v>3.8200000000000001E-7</c:v>
                </c:pt>
                <c:pt idx="89">
                  <c:v>4.6800000000000001E-6</c:v>
                </c:pt>
                <c:pt idx="90">
                  <c:v>1.17E-7</c:v>
                </c:pt>
                <c:pt idx="91">
                  <c:v>1.2100000000000001E-6</c:v>
                </c:pt>
                <c:pt idx="92">
                  <c:v>1.0100000000000001E-6</c:v>
                </c:pt>
                <c:pt idx="93">
                  <c:v>2.9299999999999999E-7</c:v>
                </c:pt>
                <c:pt idx="94">
                  <c:v>5.4799999999999998E-7</c:v>
                </c:pt>
                <c:pt idx="95">
                  <c:v>2.0499999999999999E-6</c:v>
                </c:pt>
                <c:pt idx="96">
                  <c:v>2.3300000000000001E-6</c:v>
                </c:pt>
                <c:pt idx="97">
                  <c:v>3.7299999999999999E-6</c:v>
                </c:pt>
                <c:pt idx="98">
                  <c:v>8.1799999999999996E-6</c:v>
                </c:pt>
                <c:pt idx="99">
                  <c:v>1.9399999999999999E-7</c:v>
                </c:pt>
                <c:pt idx="100">
                  <c:v>1.3E-6</c:v>
                </c:pt>
                <c:pt idx="101">
                  <c:v>5.0000000000000004E-6</c:v>
                </c:pt>
                <c:pt idx="102">
                  <c:v>1.4E-5</c:v>
                </c:pt>
                <c:pt idx="103">
                  <c:v>4.3000000000000001E-7</c:v>
                </c:pt>
                <c:pt idx="104">
                  <c:v>2.17E-6</c:v>
                </c:pt>
                <c:pt idx="105">
                  <c:v>1.9199999999999998E-6</c:v>
                </c:pt>
                <c:pt idx="106">
                  <c:v>1.59E-6</c:v>
                </c:pt>
                <c:pt idx="107">
                  <c:v>3.49E-6</c:v>
                </c:pt>
                <c:pt idx="108">
                  <c:v>4.2100000000000003E-6</c:v>
                </c:pt>
                <c:pt idx="109">
                  <c:v>7.9400000000000004E-7</c:v>
                </c:pt>
                <c:pt idx="110">
                  <c:v>1.0699999999999999E-6</c:v>
                </c:pt>
                <c:pt idx="111">
                  <c:v>6.9199999999999998E-6</c:v>
                </c:pt>
                <c:pt idx="112">
                  <c:v>4.8600000000000001E-6</c:v>
                </c:pt>
                <c:pt idx="113">
                  <c:v>6.7800000000000003E-6</c:v>
                </c:pt>
                <c:pt idx="114">
                  <c:v>4.1199999999999998E-7</c:v>
                </c:pt>
                <c:pt idx="115">
                  <c:v>1.06E-6</c:v>
                </c:pt>
                <c:pt idx="116">
                  <c:v>4.1400000000000002E-6</c:v>
                </c:pt>
                <c:pt idx="117">
                  <c:v>2.5100000000000001E-6</c:v>
                </c:pt>
                <c:pt idx="118">
                  <c:v>4.5800000000000002E-6</c:v>
                </c:pt>
                <c:pt idx="119">
                  <c:v>5.5999999999999997E-6</c:v>
                </c:pt>
                <c:pt idx="120">
                  <c:v>1.0699999999999999E-6</c:v>
                </c:pt>
                <c:pt idx="121">
                  <c:v>9.9800000000000002E-7</c:v>
                </c:pt>
                <c:pt idx="122">
                  <c:v>5.2900000000000002E-6</c:v>
                </c:pt>
                <c:pt idx="123">
                  <c:v>1.61E-6</c:v>
                </c:pt>
                <c:pt idx="124">
                  <c:v>1.6199999999999999E-6</c:v>
                </c:pt>
                <c:pt idx="125">
                  <c:v>2.9899999999999998E-5</c:v>
                </c:pt>
                <c:pt idx="126">
                  <c:v>4.5400000000000002E-7</c:v>
                </c:pt>
                <c:pt idx="127">
                  <c:v>6.3199999999999996E-6</c:v>
                </c:pt>
                <c:pt idx="128">
                  <c:v>4.3699999999999997E-6</c:v>
                </c:pt>
                <c:pt idx="129">
                  <c:v>2.7700000000000001E-7</c:v>
                </c:pt>
                <c:pt idx="130">
                  <c:v>9.3500000000000005E-7</c:v>
                </c:pt>
                <c:pt idx="131">
                  <c:v>3.9600000000000002E-6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52-DD48-B4DD-928FB97A2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102096"/>
        <c:axId val="31231072"/>
      </c:scatterChart>
      <c:valAx>
        <c:axId val="152310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231072"/>
        <c:crosses val="autoZero"/>
        <c:crossBetween val="midCat"/>
      </c:valAx>
      <c:valAx>
        <c:axId val="312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310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probabilities_variance_value!$M$61:$M$99</c:f>
              <c:numCache>
                <c:formatCode>General</c:formatCode>
                <c:ptCount val="39"/>
                <c:pt idx="0">
                  <c:v>1.49E-7</c:v>
                </c:pt>
                <c:pt idx="1">
                  <c:v>1.7832631578947368E-6</c:v>
                </c:pt>
                <c:pt idx="2">
                  <c:v>3.4175263157894734E-6</c:v>
                </c:pt>
                <c:pt idx="3">
                  <c:v>5.0517894736842102E-6</c:v>
                </c:pt>
                <c:pt idx="4">
                  <c:v>6.6860526315789471E-6</c:v>
                </c:pt>
                <c:pt idx="5">
                  <c:v>8.3203157894736839E-6</c:v>
                </c:pt>
                <c:pt idx="6">
                  <c:v>9.9545789473684207E-6</c:v>
                </c:pt>
                <c:pt idx="7">
                  <c:v>1.1588842105263158E-5</c:v>
                </c:pt>
                <c:pt idx="8">
                  <c:v>1.3223105263157894E-5</c:v>
                </c:pt>
                <c:pt idx="9">
                  <c:v>1.4857368421052631E-5</c:v>
                </c:pt>
                <c:pt idx="10">
                  <c:v>1.6491631578947366E-5</c:v>
                </c:pt>
                <c:pt idx="11">
                  <c:v>1.8125894736842105E-5</c:v>
                </c:pt>
                <c:pt idx="12">
                  <c:v>1.9760157894736843E-5</c:v>
                </c:pt>
                <c:pt idx="13">
                  <c:v>2.1394421052631582E-5</c:v>
                </c:pt>
                <c:pt idx="14">
                  <c:v>2.302868421052632E-5</c:v>
                </c:pt>
                <c:pt idx="15">
                  <c:v>2.4662947368421059E-5</c:v>
                </c:pt>
                <c:pt idx="16">
                  <c:v>2.6297210526315797E-5</c:v>
                </c:pt>
                <c:pt idx="17">
                  <c:v>2.7931473684210536E-5</c:v>
                </c:pt>
                <c:pt idx="18">
                  <c:v>2.9565736842105274E-5</c:v>
                </c:pt>
                <c:pt idx="19">
                  <c:v>3.1200000000000013E-5</c:v>
                </c:pt>
                <c:pt idx="20">
                  <c:v>5.1599999999999999E-8</c:v>
                </c:pt>
                <c:pt idx="21">
                  <c:v>1.6909894736842106E-6</c:v>
                </c:pt>
                <c:pt idx="22">
                  <c:v>3.3303789473684211E-6</c:v>
                </c:pt>
                <c:pt idx="23">
                  <c:v>4.9697684210526312E-6</c:v>
                </c:pt>
                <c:pt idx="24">
                  <c:v>6.6091578947368417E-6</c:v>
                </c:pt>
                <c:pt idx="25">
                  <c:v>8.2485473684210522E-6</c:v>
                </c:pt>
                <c:pt idx="26">
                  <c:v>9.8879368421052627E-6</c:v>
                </c:pt>
                <c:pt idx="27">
                  <c:v>1.1527326315789473E-5</c:v>
                </c:pt>
                <c:pt idx="28">
                  <c:v>1.3166715789473684E-5</c:v>
                </c:pt>
                <c:pt idx="29">
                  <c:v>1.4806105263157894E-5</c:v>
                </c:pt>
                <c:pt idx="30">
                  <c:v>1.6445494736842106E-5</c:v>
                </c:pt>
                <c:pt idx="31">
                  <c:v>1.8084884210526315E-5</c:v>
                </c:pt>
                <c:pt idx="32">
                  <c:v>1.9724273684210524E-5</c:v>
                </c:pt>
                <c:pt idx="33">
                  <c:v>2.1363663157894733E-5</c:v>
                </c:pt>
                <c:pt idx="34">
                  <c:v>2.3003052631578942E-5</c:v>
                </c:pt>
                <c:pt idx="35">
                  <c:v>2.4642442105263151E-5</c:v>
                </c:pt>
                <c:pt idx="36">
                  <c:v>2.6281831578947359E-5</c:v>
                </c:pt>
                <c:pt idx="37">
                  <c:v>2.7921221052631568E-5</c:v>
                </c:pt>
                <c:pt idx="38">
                  <c:v>2.9560610526315777E-5</c:v>
                </c:pt>
              </c:numCache>
            </c:numRef>
          </c:cat>
          <c:val>
            <c:numRef>
              <c:f>probabilities_variance_value!$N$61:$N$80</c:f>
              <c:numCache>
                <c:formatCode>General</c:formatCode>
                <c:ptCount val="20"/>
                <c:pt idx="0">
                  <c:v>2553.7094277321767</c:v>
                </c:pt>
                <c:pt idx="1">
                  <c:v>3849.1230459414055</c:v>
                </c:pt>
                <c:pt idx="2">
                  <c:v>5618.9168594009143</c:v>
                </c:pt>
                <c:pt idx="3">
                  <c:v>7944.0855873307901</c:v>
                </c:pt>
                <c:pt idx="4">
                  <c:v>10877.666002354126</c:v>
                </c:pt>
                <c:pt idx="5">
                  <c:v>14425.405224935947</c:v>
                </c:pt>
                <c:pt idx="6">
                  <c:v>18527.670592864441</c:v>
                </c:pt>
                <c:pt idx="7">
                  <c:v>23046.984856862717</c:v>
                </c:pt>
                <c:pt idx="8">
                  <c:v>27765.654104643054</c:v>
                </c:pt>
                <c:pt idx="9">
                  <c:v>32396.806242908024</c:v>
                </c:pt>
                <c:pt idx="10">
                  <c:v>36609.768678637847</c:v>
                </c:pt>
                <c:pt idx="11">
                  <c:v>40067.502055988145</c:v>
                </c:pt>
                <c:pt idx="12">
                  <c:v>42470.565904313182</c:v>
                </c:pt>
                <c:pt idx="13">
                  <c:v>43599.782687019746</c:v>
                </c:pt>
                <c:pt idx="14">
                  <c:v>43349.201117086639</c:v>
                </c:pt>
                <c:pt idx="15">
                  <c:v>41742.491628648109</c:v>
                </c:pt>
                <c:pt idx="16">
                  <c:v>38929.258896745334</c:v>
                </c:pt>
                <c:pt idx="17">
                  <c:v>35162.067249461135</c:v>
                </c:pt>
                <c:pt idx="18">
                  <c:v>30759.067220826404</c:v>
                </c:pt>
                <c:pt idx="19">
                  <c:v>26059.88044901425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F-C74E-A287-168228987503}"/>
            </c:ext>
          </c:extLst>
        </c:ser>
        <c:ser>
          <c:idx val="1"/>
          <c:order val="1"/>
          <c:tx>
            <c:v>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probabilities_variance_value!$M$61:$M$99</c:f>
              <c:numCache>
                <c:formatCode>General</c:formatCode>
                <c:ptCount val="39"/>
                <c:pt idx="0">
                  <c:v>1.49E-7</c:v>
                </c:pt>
                <c:pt idx="1">
                  <c:v>1.7832631578947368E-6</c:v>
                </c:pt>
                <c:pt idx="2">
                  <c:v>3.4175263157894734E-6</c:v>
                </c:pt>
                <c:pt idx="3">
                  <c:v>5.0517894736842102E-6</c:v>
                </c:pt>
                <c:pt idx="4">
                  <c:v>6.6860526315789471E-6</c:v>
                </c:pt>
                <c:pt idx="5">
                  <c:v>8.3203157894736839E-6</c:v>
                </c:pt>
                <c:pt idx="6">
                  <c:v>9.9545789473684207E-6</c:v>
                </c:pt>
                <c:pt idx="7">
                  <c:v>1.1588842105263158E-5</c:v>
                </c:pt>
                <c:pt idx="8">
                  <c:v>1.3223105263157894E-5</c:v>
                </c:pt>
                <c:pt idx="9">
                  <c:v>1.4857368421052631E-5</c:v>
                </c:pt>
                <c:pt idx="10">
                  <c:v>1.6491631578947366E-5</c:v>
                </c:pt>
                <c:pt idx="11">
                  <c:v>1.8125894736842105E-5</c:v>
                </c:pt>
                <c:pt idx="12">
                  <c:v>1.9760157894736843E-5</c:v>
                </c:pt>
                <c:pt idx="13">
                  <c:v>2.1394421052631582E-5</c:v>
                </c:pt>
                <c:pt idx="14">
                  <c:v>2.302868421052632E-5</c:v>
                </c:pt>
                <c:pt idx="15">
                  <c:v>2.4662947368421059E-5</c:v>
                </c:pt>
                <c:pt idx="16">
                  <c:v>2.6297210526315797E-5</c:v>
                </c:pt>
                <c:pt idx="17">
                  <c:v>2.7931473684210536E-5</c:v>
                </c:pt>
                <c:pt idx="18">
                  <c:v>2.9565736842105274E-5</c:v>
                </c:pt>
                <c:pt idx="19">
                  <c:v>3.1200000000000013E-5</c:v>
                </c:pt>
                <c:pt idx="20">
                  <c:v>5.1599999999999999E-8</c:v>
                </c:pt>
                <c:pt idx="21">
                  <c:v>1.6909894736842106E-6</c:v>
                </c:pt>
                <c:pt idx="22">
                  <c:v>3.3303789473684211E-6</c:v>
                </c:pt>
                <c:pt idx="23">
                  <c:v>4.9697684210526312E-6</c:v>
                </c:pt>
                <c:pt idx="24">
                  <c:v>6.6091578947368417E-6</c:v>
                </c:pt>
                <c:pt idx="25">
                  <c:v>8.2485473684210522E-6</c:v>
                </c:pt>
                <c:pt idx="26">
                  <c:v>9.8879368421052627E-6</c:v>
                </c:pt>
                <c:pt idx="27">
                  <c:v>1.1527326315789473E-5</c:v>
                </c:pt>
                <c:pt idx="28">
                  <c:v>1.3166715789473684E-5</c:v>
                </c:pt>
                <c:pt idx="29">
                  <c:v>1.4806105263157894E-5</c:v>
                </c:pt>
                <c:pt idx="30">
                  <c:v>1.6445494736842106E-5</c:v>
                </c:pt>
                <c:pt idx="31">
                  <c:v>1.8084884210526315E-5</c:v>
                </c:pt>
                <c:pt idx="32">
                  <c:v>1.9724273684210524E-5</c:v>
                </c:pt>
                <c:pt idx="33">
                  <c:v>2.1363663157894733E-5</c:v>
                </c:pt>
                <c:pt idx="34">
                  <c:v>2.3003052631578942E-5</c:v>
                </c:pt>
                <c:pt idx="35">
                  <c:v>2.4642442105263151E-5</c:v>
                </c:pt>
                <c:pt idx="36">
                  <c:v>2.6281831578947359E-5</c:v>
                </c:pt>
                <c:pt idx="37">
                  <c:v>2.7921221052631568E-5</c:v>
                </c:pt>
                <c:pt idx="38">
                  <c:v>2.9560610526315777E-5</c:v>
                </c:pt>
              </c:numCache>
            </c:numRef>
          </c:cat>
          <c:val>
            <c:numRef>
              <c:f>probabilities_variance_value!$N$81:$N$100</c:f>
              <c:numCache>
                <c:formatCode>General</c:formatCode>
                <c:ptCount val="20"/>
                <c:pt idx="0">
                  <c:v>43115.538745452832</c:v>
                </c:pt>
                <c:pt idx="1">
                  <c:v>49157.466277930893</c:v>
                </c:pt>
                <c:pt idx="2">
                  <c:v>53267.893248260974</c:v>
                </c:pt>
                <c:pt idx="3">
                  <c:v>54860.771335562124</c:v>
                </c:pt>
                <c:pt idx="4">
                  <c:v>53700.540397690856</c:v>
                </c:pt>
                <c:pt idx="5">
                  <c:v>49959.232824607665</c:v>
                </c:pt>
                <c:pt idx="6">
                  <c:v>44174.660786353284</c:v>
                </c:pt>
                <c:pt idx="7">
                  <c:v>37123.681993843355</c:v>
                </c:pt>
                <c:pt idx="8">
                  <c:v>29651.674379360258</c:v>
                </c:pt>
                <c:pt idx="9">
                  <c:v>22509.59902063241</c:v>
                </c:pt>
                <c:pt idx="10">
                  <c:v>16240.771386482538</c:v>
                </c:pt>
                <c:pt idx="11">
                  <c:v>11136.940652438456</c:v>
                </c:pt>
                <c:pt idx="12">
                  <c:v>7258.4771773559278</c:v>
                </c:pt>
                <c:pt idx="13">
                  <c:v>4496.1985771217132</c:v>
                </c:pt>
                <c:pt idx="14">
                  <c:v>2647.0723400939805</c:v>
                </c:pt>
                <c:pt idx="15">
                  <c:v>1481.1754124218203</c:v>
                </c:pt>
                <c:pt idx="16">
                  <c:v>787.71213537820472</c:v>
                </c:pt>
                <c:pt idx="17">
                  <c:v>398.15203171931307</c:v>
                </c:pt>
                <c:pt idx="18">
                  <c:v>191.27168958198556</c:v>
                </c:pt>
                <c:pt idx="19">
                  <c:v>87.3318801524658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F-C74E-A287-168228987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050639"/>
        <c:axId val="229766176"/>
      </c:lineChart>
      <c:catAx>
        <c:axId val="178205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9766176"/>
        <c:crosses val="autoZero"/>
        <c:auto val="1"/>
        <c:lblAlgn val="ctr"/>
        <c:lblOffset val="100"/>
        <c:noMultiLvlLbl val="0"/>
      </c:catAx>
      <c:valAx>
        <c:axId val="2297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205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mem-idiom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probabilities_max_valued!$K$65:$K$104</c:f>
              <c:numCache>
                <c:formatCode>0.00%</c:formatCode>
                <c:ptCount val="40"/>
                <c:pt idx="0">
                  <c:v>3.5558059811592102E-2</c:v>
                </c:pt>
                <c:pt idx="1">
                  <c:v>8.631380137644315E-2</c:v>
                </c:pt>
                <c:pt idx="2">
                  <c:v>0.1370695429412942</c:v>
                </c:pt>
                <c:pt idx="3">
                  <c:v>0.18782528450614525</c:v>
                </c:pt>
                <c:pt idx="4">
                  <c:v>0.23858102607099629</c:v>
                </c:pt>
                <c:pt idx="5">
                  <c:v>0.28933676763584737</c:v>
                </c:pt>
                <c:pt idx="6">
                  <c:v>0.34009250920069845</c:v>
                </c:pt>
                <c:pt idx="7">
                  <c:v>0.39084825076554952</c:v>
                </c:pt>
                <c:pt idx="8">
                  <c:v>0.4416039923304006</c:v>
                </c:pt>
                <c:pt idx="9">
                  <c:v>0.49235973389525167</c:v>
                </c:pt>
                <c:pt idx="10">
                  <c:v>0.54311547546010275</c:v>
                </c:pt>
                <c:pt idx="11">
                  <c:v>0.59387121702495382</c:v>
                </c:pt>
                <c:pt idx="12">
                  <c:v>0.6446269585898049</c:v>
                </c:pt>
                <c:pt idx="13">
                  <c:v>0.69538270015465597</c:v>
                </c:pt>
                <c:pt idx="14">
                  <c:v>0.74613844171950705</c:v>
                </c:pt>
                <c:pt idx="15">
                  <c:v>0.79689418328435813</c:v>
                </c:pt>
                <c:pt idx="16">
                  <c:v>0.8476499248492092</c:v>
                </c:pt>
                <c:pt idx="17">
                  <c:v>0.89840566641406028</c:v>
                </c:pt>
                <c:pt idx="18">
                  <c:v>0.94916140797891135</c:v>
                </c:pt>
                <c:pt idx="19">
                  <c:v>0.99991714954376243</c:v>
                </c:pt>
                <c:pt idx="20">
                  <c:v>1.26592889428138E-2</c:v>
                </c:pt>
                <c:pt idx="21">
                  <c:v>6.4595147967338493E-2</c:v>
                </c:pt>
                <c:pt idx="22">
                  <c:v>0.1165310069918632</c:v>
                </c:pt>
                <c:pt idx="23">
                  <c:v>0.16846686601638788</c:v>
                </c:pt>
                <c:pt idx="24">
                  <c:v>0.22040272504091257</c:v>
                </c:pt>
                <c:pt idx="25">
                  <c:v>0.27233858406543726</c:v>
                </c:pt>
                <c:pt idx="26">
                  <c:v>0.32427444308996195</c:v>
                </c:pt>
                <c:pt idx="27">
                  <c:v>0.37621030211448664</c:v>
                </c:pt>
                <c:pt idx="28">
                  <c:v>0.42814616113901133</c:v>
                </c:pt>
                <c:pt idx="29">
                  <c:v>0.48008202016353602</c:v>
                </c:pt>
                <c:pt idx="30">
                  <c:v>0.53201787918806076</c:v>
                </c:pt>
                <c:pt idx="31">
                  <c:v>0.58395373821258545</c:v>
                </c:pt>
                <c:pt idx="32">
                  <c:v>0.63588959723711014</c:v>
                </c:pt>
                <c:pt idx="33">
                  <c:v>0.68782545626163483</c:v>
                </c:pt>
                <c:pt idx="34">
                  <c:v>0.73976131528615952</c:v>
                </c:pt>
                <c:pt idx="35">
                  <c:v>0.7916971743106842</c:v>
                </c:pt>
                <c:pt idx="36">
                  <c:v>0.84363303333520889</c:v>
                </c:pt>
                <c:pt idx="37">
                  <c:v>0.89556889235973358</c:v>
                </c:pt>
                <c:pt idx="38">
                  <c:v>0.94750475138425827</c:v>
                </c:pt>
                <c:pt idx="39">
                  <c:v>0.99944061040878296</c:v>
                </c:pt>
              </c:numCache>
            </c:numRef>
          </c:cat>
          <c:val>
            <c:numRef>
              <c:f>probabilities_max_valued!$L$65:$L$84</c:f>
              <c:numCache>
                <c:formatCode>General</c:formatCode>
                <c:ptCount val="20"/>
                <c:pt idx="0">
                  <c:v>7.9201612566759255E-3</c:v>
                </c:pt>
                <c:pt idx="1">
                  <c:v>1.5793197050200797E-2</c:v>
                </c:pt>
                <c:pt idx="2">
                  <c:v>3.0034499659654955E-2</c:v>
                </c:pt>
                <c:pt idx="3">
                  <c:v>5.4473473176030768E-2</c:v>
                </c:pt>
                <c:pt idx="4">
                  <c:v>9.4224544926642936E-2</c:v>
                </c:pt>
                <c:pt idx="5">
                  <c:v>0.15543805322233387</c:v>
                </c:pt>
                <c:pt idx="6">
                  <c:v>0.24454847867196541</c:v>
                </c:pt>
                <c:pt idx="7">
                  <c:v>0.36693310841602611</c:v>
                </c:pt>
                <c:pt idx="8">
                  <c:v>0.52507718939961834</c:v>
                </c:pt>
                <c:pt idx="9">
                  <c:v>0.71659491370989314</c:v>
                </c:pt>
                <c:pt idx="10">
                  <c:v>0.93269276534108037</c:v>
                </c:pt>
                <c:pt idx="11">
                  <c:v>1.1577580577351971</c:v>
                </c:pt>
                <c:pt idx="12">
                  <c:v>1.3706019137796126</c:v>
                </c:pt>
                <c:pt idx="13">
                  <c:v>1.5474590774560049</c:v>
                </c:pt>
                <c:pt idx="14">
                  <c:v>1.6662544772831398</c:v>
                </c:pt>
                <c:pt idx="15">
                  <c:v>1.7111095030761125</c:v>
                </c:pt>
                <c:pt idx="16">
                  <c:v>1.6758247283822905</c:v>
                </c:pt>
                <c:pt idx="17">
                  <c:v>1.5652860085211684</c:v>
                </c:pt>
                <c:pt idx="18">
                  <c:v>1.3943542649427547</c:v>
                </c:pt>
                <c:pt idx="19">
                  <c:v>1.1845867564079373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C-C647-B6EB-0B3069FA52FA}"/>
            </c:ext>
          </c:extLst>
        </c:ser>
        <c:ser>
          <c:idx val="1"/>
          <c:order val="1"/>
          <c:tx>
            <c:v>non-mem-idiom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probabilities_max_valued!$K$65:$K$104</c:f>
              <c:numCache>
                <c:formatCode>0.00%</c:formatCode>
                <c:ptCount val="40"/>
                <c:pt idx="0">
                  <c:v>3.5558059811592102E-2</c:v>
                </c:pt>
                <c:pt idx="1">
                  <c:v>8.631380137644315E-2</c:v>
                </c:pt>
                <c:pt idx="2">
                  <c:v>0.1370695429412942</c:v>
                </c:pt>
                <c:pt idx="3">
                  <c:v>0.18782528450614525</c:v>
                </c:pt>
                <c:pt idx="4">
                  <c:v>0.23858102607099629</c:v>
                </c:pt>
                <c:pt idx="5">
                  <c:v>0.28933676763584737</c:v>
                </c:pt>
                <c:pt idx="6">
                  <c:v>0.34009250920069845</c:v>
                </c:pt>
                <c:pt idx="7">
                  <c:v>0.39084825076554952</c:v>
                </c:pt>
                <c:pt idx="8">
                  <c:v>0.4416039923304006</c:v>
                </c:pt>
                <c:pt idx="9">
                  <c:v>0.49235973389525167</c:v>
                </c:pt>
                <c:pt idx="10">
                  <c:v>0.54311547546010275</c:v>
                </c:pt>
                <c:pt idx="11">
                  <c:v>0.59387121702495382</c:v>
                </c:pt>
                <c:pt idx="12">
                  <c:v>0.6446269585898049</c:v>
                </c:pt>
                <c:pt idx="13">
                  <c:v>0.69538270015465597</c:v>
                </c:pt>
                <c:pt idx="14">
                  <c:v>0.74613844171950705</c:v>
                </c:pt>
                <c:pt idx="15">
                  <c:v>0.79689418328435813</c:v>
                </c:pt>
                <c:pt idx="16">
                  <c:v>0.8476499248492092</c:v>
                </c:pt>
                <c:pt idx="17">
                  <c:v>0.89840566641406028</c:v>
                </c:pt>
                <c:pt idx="18">
                  <c:v>0.94916140797891135</c:v>
                </c:pt>
                <c:pt idx="19">
                  <c:v>0.99991714954376243</c:v>
                </c:pt>
                <c:pt idx="20">
                  <c:v>1.26592889428138E-2</c:v>
                </c:pt>
                <c:pt idx="21">
                  <c:v>6.4595147967338493E-2</c:v>
                </c:pt>
                <c:pt idx="22">
                  <c:v>0.1165310069918632</c:v>
                </c:pt>
                <c:pt idx="23">
                  <c:v>0.16846686601638788</c:v>
                </c:pt>
                <c:pt idx="24">
                  <c:v>0.22040272504091257</c:v>
                </c:pt>
                <c:pt idx="25">
                  <c:v>0.27233858406543726</c:v>
                </c:pt>
                <c:pt idx="26">
                  <c:v>0.32427444308996195</c:v>
                </c:pt>
                <c:pt idx="27">
                  <c:v>0.37621030211448664</c:v>
                </c:pt>
                <c:pt idx="28">
                  <c:v>0.42814616113901133</c:v>
                </c:pt>
                <c:pt idx="29">
                  <c:v>0.48008202016353602</c:v>
                </c:pt>
                <c:pt idx="30">
                  <c:v>0.53201787918806076</c:v>
                </c:pt>
                <c:pt idx="31">
                  <c:v>0.58395373821258545</c:v>
                </c:pt>
                <c:pt idx="32">
                  <c:v>0.63588959723711014</c:v>
                </c:pt>
                <c:pt idx="33">
                  <c:v>0.68782545626163483</c:v>
                </c:pt>
                <c:pt idx="34">
                  <c:v>0.73976131528615952</c:v>
                </c:pt>
                <c:pt idx="35">
                  <c:v>0.7916971743106842</c:v>
                </c:pt>
                <c:pt idx="36">
                  <c:v>0.84363303333520889</c:v>
                </c:pt>
                <c:pt idx="37">
                  <c:v>0.89556889235973358</c:v>
                </c:pt>
                <c:pt idx="38">
                  <c:v>0.94750475138425827</c:v>
                </c:pt>
                <c:pt idx="39">
                  <c:v>0.99944061040878296</c:v>
                </c:pt>
              </c:numCache>
            </c:numRef>
          </c:cat>
          <c:val>
            <c:numRef>
              <c:f>probabilities_max_valued!$L$85:$L$104</c:f>
              <c:numCache>
                <c:formatCode>General</c:formatCode>
                <c:ptCount val="20"/>
                <c:pt idx="0">
                  <c:v>5.7117281721818548E-3</c:v>
                </c:pt>
                <c:pt idx="1">
                  <c:v>1.1823093246058637E-2</c:v>
                </c:pt>
                <c:pt idx="2">
                  <c:v>2.3288451678998449E-2</c:v>
                </c:pt>
                <c:pt idx="3">
                  <c:v>4.3651184523675911E-2</c:v>
                </c:pt>
                <c:pt idx="4">
                  <c:v>7.7856946623508366E-2</c:v>
                </c:pt>
                <c:pt idx="5">
                  <c:v>0.1321431389187698</c:v>
                </c:pt>
                <c:pt idx="6">
                  <c:v>0.21342131264460051</c:v>
                </c:pt>
                <c:pt idx="7">
                  <c:v>0.32800228663588799</c:v>
                </c:pt>
                <c:pt idx="8">
                  <c:v>0.47969133413467041</c:v>
                </c:pt>
                <c:pt idx="9">
                  <c:v>0.66756381971518852</c:v>
                </c:pt>
                <c:pt idx="10">
                  <c:v>0.88403533857260586</c:v>
                </c:pt>
                <c:pt idx="11">
                  <c:v>1.1140184348322786</c:v>
                </c:pt>
                <c:pt idx="12">
                  <c:v>1.3358603083170351</c:v>
                </c:pt>
                <c:pt idx="13">
                  <c:v>1.5243181869453255</c:v>
                </c:pt>
                <c:pt idx="14">
                  <c:v>1.6551453311347073</c:v>
                </c:pt>
                <c:pt idx="15">
                  <c:v>1.7101828701043813</c:v>
                </c:pt>
                <c:pt idx="16">
                  <c:v>1.6814923179993071</c:v>
                </c:pt>
                <c:pt idx="17">
                  <c:v>1.5732333342270766</c:v>
                </c:pt>
                <c:pt idx="18">
                  <c:v>1.4006747795585186</c:v>
                </c:pt>
                <c:pt idx="19">
                  <c:v>1.1866629817077483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0C-C647-B6EB-0B3069FA5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119840"/>
        <c:axId val="1737094512"/>
      </c:lineChart>
      <c:catAx>
        <c:axId val="1737119840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7094512"/>
        <c:crosses val="autoZero"/>
        <c:auto val="1"/>
        <c:lblAlgn val="ctr"/>
        <c:lblOffset val="100"/>
        <c:noMultiLvlLbl val="0"/>
      </c:catAx>
      <c:valAx>
        <c:axId val="173709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71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hidden_states_mean_value!$N$60:$N$99</c:f>
              <c:numCache>
                <c:formatCode>General</c:formatCode>
                <c:ptCount val="40"/>
                <c:pt idx="0">
                  <c:v>-7.8214663000000004E-2</c:v>
                </c:pt>
                <c:pt idx="1">
                  <c:v>-7.0878562526315789E-2</c:v>
                </c:pt>
                <c:pt idx="2">
                  <c:v>-6.3542462052631574E-2</c:v>
                </c:pt>
                <c:pt idx="3">
                  <c:v>-5.6206361578947366E-2</c:v>
                </c:pt>
                <c:pt idx="4">
                  <c:v>-4.8870261105263157E-2</c:v>
                </c:pt>
                <c:pt idx="5">
                  <c:v>-4.1534160631578949E-2</c:v>
                </c:pt>
                <c:pt idx="6">
                  <c:v>-3.4198060157894741E-2</c:v>
                </c:pt>
                <c:pt idx="7">
                  <c:v>-2.686195968421053E-2</c:v>
                </c:pt>
                <c:pt idx="8">
                  <c:v>-1.9525859210526318E-2</c:v>
                </c:pt>
                <c:pt idx="9">
                  <c:v>-1.2189758736842107E-2</c:v>
                </c:pt>
                <c:pt idx="10">
                  <c:v>-4.8536582631578959E-3</c:v>
                </c:pt>
                <c:pt idx="11">
                  <c:v>2.4824422105263148E-3</c:v>
                </c:pt>
                <c:pt idx="12">
                  <c:v>9.8185426842105246E-3</c:v>
                </c:pt>
                <c:pt idx="13">
                  <c:v>1.7154643157894736E-2</c:v>
                </c:pt>
                <c:pt idx="14">
                  <c:v>2.4490743631578948E-2</c:v>
                </c:pt>
                <c:pt idx="15">
                  <c:v>3.1826844105263159E-2</c:v>
                </c:pt>
                <c:pt idx="16">
                  <c:v>3.9162944578947367E-2</c:v>
                </c:pt>
                <c:pt idx="17">
                  <c:v>4.6499045052631575E-2</c:v>
                </c:pt>
                <c:pt idx="18">
                  <c:v>5.3835145526315784E-2</c:v>
                </c:pt>
                <c:pt idx="19">
                  <c:v>6.1171245999999992E-2</c:v>
                </c:pt>
                <c:pt idx="20">
                  <c:v>-5.9260452999999998E-2</c:v>
                </c:pt>
                <c:pt idx="21">
                  <c:v>-5.2988539684210523E-2</c:v>
                </c:pt>
                <c:pt idx="22">
                  <c:v>-4.6716626368421048E-2</c:v>
                </c:pt>
                <c:pt idx="23">
                  <c:v>-4.0444713052631573E-2</c:v>
                </c:pt>
                <c:pt idx="24">
                  <c:v>-3.4172799736842098E-2</c:v>
                </c:pt>
                <c:pt idx="25">
                  <c:v>-2.7900886421052623E-2</c:v>
                </c:pt>
                <c:pt idx="26">
                  <c:v>-2.1628973105263148E-2</c:v>
                </c:pt>
                <c:pt idx="27">
                  <c:v>-1.5357059789473673E-2</c:v>
                </c:pt>
                <c:pt idx="28">
                  <c:v>-9.0851464736841983E-3</c:v>
                </c:pt>
                <c:pt idx="29">
                  <c:v>-2.8132331578947243E-3</c:v>
                </c:pt>
                <c:pt idx="30">
                  <c:v>3.4586801578947498E-3</c:v>
                </c:pt>
                <c:pt idx="31">
                  <c:v>9.730593473684223E-3</c:v>
                </c:pt>
                <c:pt idx="32">
                  <c:v>1.6002506789473698E-2</c:v>
                </c:pt>
                <c:pt idx="33">
                  <c:v>2.2274420105263173E-2</c:v>
                </c:pt>
                <c:pt idx="34">
                  <c:v>2.8546333421052648E-2</c:v>
                </c:pt>
                <c:pt idx="35">
                  <c:v>3.4818246736842119E-2</c:v>
                </c:pt>
                <c:pt idx="36">
                  <c:v>4.1090160052631594E-2</c:v>
                </c:pt>
                <c:pt idx="37">
                  <c:v>4.7362073368421069E-2</c:v>
                </c:pt>
                <c:pt idx="38">
                  <c:v>5.3633986684210544E-2</c:v>
                </c:pt>
                <c:pt idx="39">
                  <c:v>5.9905900000000019E-2</c:v>
                </c:pt>
              </c:numCache>
            </c:numRef>
          </c:cat>
          <c:val>
            <c:numRef>
              <c:f>hidden_states_mean_value!$O$60:$O$79</c:f>
              <c:numCache>
                <c:formatCode>General</c:formatCode>
                <c:ptCount val="20"/>
                <c:pt idx="0">
                  <c:v>1.1894808443613163E-2</c:v>
                </c:pt>
                <c:pt idx="1">
                  <c:v>4.3652733531600631E-2</c:v>
                </c:pt>
                <c:pt idx="2">
                  <c:v>0.14128021877668334</c:v>
                </c:pt>
                <c:pt idx="3">
                  <c:v>0.40324333283138813</c:v>
                </c:pt>
                <c:pt idx="4">
                  <c:v>1.0150068070166631</c:v>
                </c:pt>
                <c:pt idx="5">
                  <c:v>2.2531320042724379</c:v>
                </c:pt>
                <c:pt idx="6">
                  <c:v>4.4108291963249968</c:v>
                </c:pt>
                <c:pt idx="7">
                  <c:v>7.6149975364954461</c:v>
                </c:pt>
                <c:pt idx="8">
                  <c:v>11.594051260632781</c:v>
                </c:pt>
                <c:pt idx="9">
                  <c:v>15.567418029864186</c:v>
                </c:pt>
                <c:pt idx="10">
                  <c:v>18.43375799044389</c:v>
                </c:pt>
                <c:pt idx="11">
                  <c:v>19.249838835424047</c:v>
                </c:pt>
                <c:pt idx="12">
                  <c:v>17.727856866581547</c:v>
                </c:pt>
                <c:pt idx="13">
                  <c:v>14.397971110111813</c:v>
                </c:pt>
                <c:pt idx="14">
                  <c:v>10.312460105270477</c:v>
                </c:pt>
                <c:pt idx="15">
                  <c:v>6.5138715091293617</c:v>
                </c:pt>
                <c:pt idx="16">
                  <c:v>3.6285408445252219</c:v>
                </c:pt>
                <c:pt idx="17">
                  <c:v>1.7825460864022813</c:v>
                </c:pt>
                <c:pt idx="18">
                  <c:v>0.77226337812093948</c:v>
                </c:pt>
                <c:pt idx="19">
                  <c:v>0.2950570773713459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43-4248-8A0D-593159D74C07}"/>
            </c:ext>
          </c:extLst>
        </c:ser>
        <c:ser>
          <c:idx val="1"/>
          <c:order val="1"/>
          <c:tx>
            <c:v>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hidden_states_mean_value!$N$60:$N$99</c:f>
              <c:numCache>
                <c:formatCode>General</c:formatCode>
                <c:ptCount val="40"/>
                <c:pt idx="0">
                  <c:v>-7.8214663000000004E-2</c:v>
                </c:pt>
                <c:pt idx="1">
                  <c:v>-7.0878562526315789E-2</c:v>
                </c:pt>
                <c:pt idx="2">
                  <c:v>-6.3542462052631574E-2</c:v>
                </c:pt>
                <c:pt idx="3">
                  <c:v>-5.6206361578947366E-2</c:v>
                </c:pt>
                <c:pt idx="4">
                  <c:v>-4.8870261105263157E-2</c:v>
                </c:pt>
                <c:pt idx="5">
                  <c:v>-4.1534160631578949E-2</c:v>
                </c:pt>
                <c:pt idx="6">
                  <c:v>-3.4198060157894741E-2</c:v>
                </c:pt>
                <c:pt idx="7">
                  <c:v>-2.686195968421053E-2</c:v>
                </c:pt>
                <c:pt idx="8">
                  <c:v>-1.9525859210526318E-2</c:v>
                </c:pt>
                <c:pt idx="9">
                  <c:v>-1.2189758736842107E-2</c:v>
                </c:pt>
                <c:pt idx="10">
                  <c:v>-4.8536582631578959E-3</c:v>
                </c:pt>
                <c:pt idx="11">
                  <c:v>2.4824422105263148E-3</c:v>
                </c:pt>
                <c:pt idx="12">
                  <c:v>9.8185426842105246E-3</c:v>
                </c:pt>
                <c:pt idx="13">
                  <c:v>1.7154643157894736E-2</c:v>
                </c:pt>
                <c:pt idx="14">
                  <c:v>2.4490743631578948E-2</c:v>
                </c:pt>
                <c:pt idx="15">
                  <c:v>3.1826844105263159E-2</c:v>
                </c:pt>
                <c:pt idx="16">
                  <c:v>3.9162944578947367E-2</c:v>
                </c:pt>
                <c:pt idx="17">
                  <c:v>4.6499045052631575E-2</c:v>
                </c:pt>
                <c:pt idx="18">
                  <c:v>5.3835145526315784E-2</c:v>
                </c:pt>
                <c:pt idx="19">
                  <c:v>6.1171245999999992E-2</c:v>
                </c:pt>
                <c:pt idx="20">
                  <c:v>-5.9260452999999998E-2</c:v>
                </c:pt>
                <c:pt idx="21">
                  <c:v>-5.2988539684210523E-2</c:v>
                </c:pt>
                <c:pt idx="22">
                  <c:v>-4.6716626368421048E-2</c:v>
                </c:pt>
                <c:pt idx="23">
                  <c:v>-4.0444713052631573E-2</c:v>
                </c:pt>
                <c:pt idx="24">
                  <c:v>-3.4172799736842098E-2</c:v>
                </c:pt>
                <c:pt idx="25">
                  <c:v>-2.7900886421052623E-2</c:v>
                </c:pt>
                <c:pt idx="26">
                  <c:v>-2.1628973105263148E-2</c:v>
                </c:pt>
                <c:pt idx="27">
                  <c:v>-1.5357059789473673E-2</c:v>
                </c:pt>
                <c:pt idx="28">
                  <c:v>-9.0851464736841983E-3</c:v>
                </c:pt>
                <c:pt idx="29">
                  <c:v>-2.8132331578947243E-3</c:v>
                </c:pt>
                <c:pt idx="30">
                  <c:v>3.4586801578947498E-3</c:v>
                </c:pt>
                <c:pt idx="31">
                  <c:v>9.730593473684223E-3</c:v>
                </c:pt>
                <c:pt idx="32">
                  <c:v>1.6002506789473698E-2</c:v>
                </c:pt>
                <c:pt idx="33">
                  <c:v>2.2274420105263173E-2</c:v>
                </c:pt>
                <c:pt idx="34">
                  <c:v>2.8546333421052648E-2</c:v>
                </c:pt>
                <c:pt idx="35">
                  <c:v>3.4818246736842119E-2</c:v>
                </c:pt>
                <c:pt idx="36">
                  <c:v>4.1090160052631594E-2</c:v>
                </c:pt>
                <c:pt idx="37">
                  <c:v>4.7362073368421069E-2</c:v>
                </c:pt>
                <c:pt idx="38">
                  <c:v>5.3633986684210544E-2</c:v>
                </c:pt>
                <c:pt idx="39">
                  <c:v>5.9905900000000019E-2</c:v>
                </c:pt>
              </c:numCache>
            </c:numRef>
          </c:cat>
          <c:val>
            <c:numRef>
              <c:f>hidden_states_mean_value!$O$80:$O$99</c:f>
              <c:numCache>
                <c:formatCode>General</c:formatCode>
                <c:ptCount val="20"/>
                <c:pt idx="0">
                  <c:v>0.53484453356525985</c:v>
                </c:pt>
                <c:pt idx="1">
                  <c:v>1.0689918103410219</c:v>
                </c:pt>
                <c:pt idx="2">
                  <c:v>1.9793683484601339</c:v>
                </c:pt>
                <c:pt idx="3">
                  <c:v>3.395347984788128</c:v>
                </c:pt>
                <c:pt idx="4">
                  <c:v>5.3956949395928868</c:v>
                </c:pt>
                <c:pt idx="5">
                  <c:v>7.9435733619860054</c:v>
                </c:pt>
                <c:pt idx="6">
                  <c:v>10.834025676013262</c:v>
                </c:pt>
                <c:pt idx="7">
                  <c:v>13.688921621159498</c:v>
                </c:pt>
                <c:pt idx="8">
                  <c:v>16.023376589645512</c:v>
                </c:pt>
                <c:pt idx="9">
                  <c:v>17.375778407541237</c:v>
                </c:pt>
                <c:pt idx="10">
                  <c:v>17.455806763493008</c:v>
                </c:pt>
                <c:pt idx="11">
                  <c:v>16.245796485602302</c:v>
                </c:pt>
                <c:pt idx="12">
                  <c:v>14.007077058386772</c:v>
                </c:pt>
                <c:pt idx="13">
                  <c:v>11.188180233911011</c:v>
                </c:pt>
                <c:pt idx="14">
                  <c:v>8.2789796793316146</c:v>
                </c:pt>
                <c:pt idx="15">
                  <c:v>5.6754409042085259</c:v>
                </c:pt>
                <c:pt idx="16">
                  <c:v>3.6043571819923108</c:v>
                </c:pt>
                <c:pt idx="17">
                  <c:v>2.1206132194512324</c:v>
                </c:pt>
                <c:pt idx="18">
                  <c:v>1.1558474881264129</c:v>
                </c:pt>
                <c:pt idx="19">
                  <c:v>0.58363997382654409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43-4248-8A0D-593159D74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040560"/>
        <c:axId val="323243328"/>
      </c:lineChart>
      <c:catAx>
        <c:axId val="23904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3243328"/>
        <c:crosses val="autoZero"/>
        <c:auto val="1"/>
        <c:lblAlgn val="ctr"/>
        <c:lblOffset val="100"/>
        <c:noMultiLvlLbl val="0"/>
      </c:catAx>
      <c:valAx>
        <c:axId val="3232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904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hidden_states_variance_value!$O$131:$O$171</c:f>
              <c:numCache>
                <c:formatCode>General</c:formatCode>
                <c:ptCount val="41"/>
                <c:pt idx="0">
                  <c:v>1.4626443339999999</c:v>
                </c:pt>
                <c:pt idx="1">
                  <c:v>1.6063601558</c:v>
                </c:pt>
                <c:pt idx="2">
                  <c:v>1.7500759776000001</c:v>
                </c:pt>
                <c:pt idx="3">
                  <c:v>1.8937917994000002</c:v>
                </c:pt>
                <c:pt idx="4">
                  <c:v>2.0375076212000001</c:v>
                </c:pt>
                <c:pt idx="5">
                  <c:v>2.1812234429999999</c:v>
                </c:pt>
                <c:pt idx="6">
                  <c:v>2.3249392647999998</c:v>
                </c:pt>
                <c:pt idx="7">
                  <c:v>2.4686550865999997</c:v>
                </c:pt>
                <c:pt idx="8">
                  <c:v>2.6123709083999995</c:v>
                </c:pt>
                <c:pt idx="9">
                  <c:v>2.7560867301999994</c:v>
                </c:pt>
                <c:pt idx="10">
                  <c:v>2.8998025519999993</c:v>
                </c:pt>
                <c:pt idx="11">
                  <c:v>3.0435183737999991</c:v>
                </c:pt>
                <c:pt idx="12">
                  <c:v>3.187234195599999</c:v>
                </c:pt>
                <c:pt idx="13">
                  <c:v>3.3309500173999989</c:v>
                </c:pt>
                <c:pt idx="14">
                  <c:v>3.4746658391999987</c:v>
                </c:pt>
                <c:pt idx="15">
                  <c:v>3.6183816609999986</c:v>
                </c:pt>
                <c:pt idx="16">
                  <c:v>3.7620974827999984</c:v>
                </c:pt>
                <c:pt idx="17">
                  <c:v>3.9058133045999983</c:v>
                </c:pt>
                <c:pt idx="18">
                  <c:v>4.0495291263999986</c:v>
                </c:pt>
                <c:pt idx="19">
                  <c:v>4.1932449481999985</c:v>
                </c:pt>
                <c:pt idx="20">
                  <c:v>4.3369607699999984</c:v>
                </c:pt>
                <c:pt idx="21">
                  <c:v>2.0629487260000001</c:v>
                </c:pt>
                <c:pt idx="22">
                  <c:v>2.165706930894737</c:v>
                </c:pt>
                <c:pt idx="23">
                  <c:v>2.2684651357894738</c:v>
                </c:pt>
                <c:pt idx="24">
                  <c:v>2.3712233406842107</c:v>
                </c:pt>
                <c:pt idx="25">
                  <c:v>2.4739815455789476</c:v>
                </c:pt>
                <c:pt idx="26">
                  <c:v>2.5767397504736844</c:v>
                </c:pt>
                <c:pt idx="27">
                  <c:v>2.6794979553684213</c:v>
                </c:pt>
                <c:pt idx="28">
                  <c:v>2.7822561602631581</c:v>
                </c:pt>
                <c:pt idx="29">
                  <c:v>2.885014365157895</c:v>
                </c:pt>
                <c:pt idx="30">
                  <c:v>2.9877725700526319</c:v>
                </c:pt>
                <c:pt idx="31">
                  <c:v>3.0905307749473687</c:v>
                </c:pt>
                <c:pt idx="32">
                  <c:v>3.1932889798421056</c:v>
                </c:pt>
                <c:pt idx="33">
                  <c:v>3.2960471847368424</c:v>
                </c:pt>
                <c:pt idx="34">
                  <c:v>3.3988053896315793</c:v>
                </c:pt>
                <c:pt idx="35">
                  <c:v>3.5015635945263162</c:v>
                </c:pt>
                <c:pt idx="36">
                  <c:v>3.604321799421053</c:v>
                </c:pt>
                <c:pt idx="37">
                  <c:v>3.7070800043157899</c:v>
                </c:pt>
                <c:pt idx="38">
                  <c:v>3.8098382092105267</c:v>
                </c:pt>
                <c:pt idx="39">
                  <c:v>3.9125964141052636</c:v>
                </c:pt>
                <c:pt idx="40">
                  <c:v>4.015354619</c:v>
                </c:pt>
              </c:numCache>
            </c:numRef>
          </c:cat>
          <c:val>
            <c:numRef>
              <c:f>hidden_states_variance_value!$P$131:$P$151</c:f>
              <c:numCache>
                <c:formatCode>General</c:formatCode>
                <c:ptCount val="21"/>
                <c:pt idx="0">
                  <c:v>3.1417471900791041E-5</c:v>
                </c:pt>
                <c:pt idx="1">
                  <c:v>1.4730967734710002E-4</c:v>
                </c:pt>
                <c:pt idx="2">
                  <c:v>6.0962633824602694E-4</c:v>
                </c:pt>
                <c:pt idx="3">
                  <c:v>2.2267351585524581E-3</c:v>
                </c:pt>
                <c:pt idx="4">
                  <c:v>7.1787001174289542E-3</c:v>
                </c:pt>
                <c:pt idx="5">
                  <c:v>2.0426570505409608E-2</c:v>
                </c:pt>
                <c:pt idx="6">
                  <c:v>5.1300016407351809E-2</c:v>
                </c:pt>
                <c:pt idx="7">
                  <c:v>0.11371348021119403</c:v>
                </c:pt>
                <c:pt idx="8">
                  <c:v>0.22247376236052055</c:v>
                </c:pt>
                <c:pt idx="9">
                  <c:v>0.38416522383789647</c:v>
                </c:pt>
                <c:pt idx="10">
                  <c:v>0.58550377268167053</c:v>
                </c:pt>
                <c:pt idx="11">
                  <c:v>0.7876145818795518</c:v>
                </c:pt>
                <c:pt idx="12">
                  <c:v>0.93512614402973648</c:v>
                </c:pt>
                <c:pt idx="13">
                  <c:v>0.97993901933644023</c:v>
                </c:pt>
                <c:pt idx="14">
                  <c:v>0.90635910788675855</c:v>
                </c:pt>
                <c:pt idx="15">
                  <c:v>0.73990158299376307</c:v>
                </c:pt>
                <c:pt idx="16">
                  <c:v>0.53311390526089131</c:v>
                </c:pt>
                <c:pt idx="17">
                  <c:v>0.3390302618625195</c:v>
                </c:pt>
                <c:pt idx="18">
                  <c:v>0.19029585142641431</c:v>
                </c:pt>
                <c:pt idx="19">
                  <c:v>9.4274139414772251E-2</c:v>
                </c:pt>
                <c:pt idx="20">
                  <c:v>4.1221921648648269E-2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E-FE4E-BD3E-7A2BB07A6783}"/>
            </c:ext>
          </c:extLst>
        </c:ser>
        <c:ser>
          <c:idx val="1"/>
          <c:order val="1"/>
          <c:tx>
            <c:v>N</c:v>
          </c:tx>
          <c:spPr>
            <a:ln w="28575" cap="rnd">
              <a:solidFill>
                <a:schemeClr val="accent2"/>
              </a:solidFill>
              <a:round/>
            </a:ln>
            <a:effectLst>
              <a:glow>
                <a:schemeClr val="accent1"/>
              </a:glow>
              <a:outerShdw sx="1000" sy="1000" algn="ctr" rotWithShape="0">
                <a:srgbClr val="000000"/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glow>
                  <a:schemeClr val="accent1"/>
                </a:glow>
                <a:outerShdw sx="1000" sy="1000" algn="ctr" rotWithShape="0">
                  <a:srgbClr val="000000"/>
                </a:outerShdw>
              </a:effectLst>
            </c:spPr>
          </c:marker>
          <c:cat>
            <c:numRef>
              <c:f>hidden_states_variance_value!$O$131:$O$171</c:f>
              <c:numCache>
                <c:formatCode>General</c:formatCode>
                <c:ptCount val="41"/>
                <c:pt idx="0">
                  <c:v>1.4626443339999999</c:v>
                </c:pt>
                <c:pt idx="1">
                  <c:v>1.6063601558</c:v>
                </c:pt>
                <c:pt idx="2">
                  <c:v>1.7500759776000001</c:v>
                </c:pt>
                <c:pt idx="3">
                  <c:v>1.8937917994000002</c:v>
                </c:pt>
                <c:pt idx="4">
                  <c:v>2.0375076212000001</c:v>
                </c:pt>
                <c:pt idx="5">
                  <c:v>2.1812234429999999</c:v>
                </c:pt>
                <c:pt idx="6">
                  <c:v>2.3249392647999998</c:v>
                </c:pt>
                <c:pt idx="7">
                  <c:v>2.4686550865999997</c:v>
                </c:pt>
                <c:pt idx="8">
                  <c:v>2.6123709083999995</c:v>
                </c:pt>
                <c:pt idx="9">
                  <c:v>2.7560867301999994</c:v>
                </c:pt>
                <c:pt idx="10">
                  <c:v>2.8998025519999993</c:v>
                </c:pt>
                <c:pt idx="11">
                  <c:v>3.0435183737999991</c:v>
                </c:pt>
                <c:pt idx="12">
                  <c:v>3.187234195599999</c:v>
                </c:pt>
                <c:pt idx="13">
                  <c:v>3.3309500173999989</c:v>
                </c:pt>
                <c:pt idx="14">
                  <c:v>3.4746658391999987</c:v>
                </c:pt>
                <c:pt idx="15">
                  <c:v>3.6183816609999986</c:v>
                </c:pt>
                <c:pt idx="16">
                  <c:v>3.7620974827999984</c:v>
                </c:pt>
                <c:pt idx="17">
                  <c:v>3.9058133045999983</c:v>
                </c:pt>
                <c:pt idx="18">
                  <c:v>4.0495291263999986</c:v>
                </c:pt>
                <c:pt idx="19">
                  <c:v>4.1932449481999985</c:v>
                </c:pt>
                <c:pt idx="20">
                  <c:v>4.3369607699999984</c:v>
                </c:pt>
                <c:pt idx="21">
                  <c:v>2.0629487260000001</c:v>
                </c:pt>
                <c:pt idx="22">
                  <c:v>2.165706930894737</c:v>
                </c:pt>
                <c:pt idx="23">
                  <c:v>2.2684651357894738</c:v>
                </c:pt>
                <c:pt idx="24">
                  <c:v>2.3712233406842107</c:v>
                </c:pt>
                <c:pt idx="25">
                  <c:v>2.4739815455789476</c:v>
                </c:pt>
                <c:pt idx="26">
                  <c:v>2.5767397504736844</c:v>
                </c:pt>
                <c:pt idx="27">
                  <c:v>2.6794979553684213</c:v>
                </c:pt>
                <c:pt idx="28">
                  <c:v>2.7822561602631581</c:v>
                </c:pt>
                <c:pt idx="29">
                  <c:v>2.885014365157895</c:v>
                </c:pt>
                <c:pt idx="30">
                  <c:v>2.9877725700526319</c:v>
                </c:pt>
                <c:pt idx="31">
                  <c:v>3.0905307749473687</c:v>
                </c:pt>
                <c:pt idx="32">
                  <c:v>3.1932889798421056</c:v>
                </c:pt>
                <c:pt idx="33">
                  <c:v>3.2960471847368424</c:v>
                </c:pt>
                <c:pt idx="34">
                  <c:v>3.3988053896315793</c:v>
                </c:pt>
                <c:pt idx="35">
                  <c:v>3.5015635945263162</c:v>
                </c:pt>
                <c:pt idx="36">
                  <c:v>3.604321799421053</c:v>
                </c:pt>
                <c:pt idx="37">
                  <c:v>3.7070800043157899</c:v>
                </c:pt>
                <c:pt idx="38">
                  <c:v>3.8098382092105267</c:v>
                </c:pt>
                <c:pt idx="39">
                  <c:v>3.9125964141052636</c:v>
                </c:pt>
                <c:pt idx="40">
                  <c:v>4.015354619</c:v>
                </c:pt>
              </c:numCache>
            </c:numRef>
          </c:cat>
          <c:val>
            <c:numRef>
              <c:f>hidden_states_variance_value!$P$152:$P$171</c:f>
              <c:numCache>
                <c:formatCode>General</c:formatCode>
                <c:ptCount val="20"/>
                <c:pt idx="0">
                  <c:v>2.5419332246914695E-3</c:v>
                </c:pt>
                <c:pt idx="1">
                  <c:v>6.0425182897792008E-3</c:v>
                </c:pt>
                <c:pt idx="2">
                  <c:v>1.3424542065632733E-2</c:v>
                </c:pt>
                <c:pt idx="3">
                  <c:v>2.7874600839272023E-2</c:v>
                </c:pt>
                <c:pt idx="4">
                  <c:v>5.4093552577896824E-2</c:v>
                </c:pt>
                <c:pt idx="5">
                  <c:v>9.8109265086509231E-2</c:v>
                </c:pt>
                <c:pt idx="6">
                  <c:v>0.16630381461684621</c:v>
                </c:pt>
                <c:pt idx="7">
                  <c:v>0.26346447857568317</c:v>
                </c:pt>
                <c:pt idx="8">
                  <c:v>0.39009429553620911</c:v>
                </c:pt>
                <c:pt idx="9">
                  <c:v>0.53981481517746632</c:v>
                </c:pt>
                <c:pt idx="10">
                  <c:v>0.69814827628741827</c:v>
                </c:pt>
                <c:pt idx="11">
                  <c:v>0.84387517514191301</c:v>
                </c:pt>
                <c:pt idx="12">
                  <c:v>0.95331499158672162</c:v>
                </c:pt>
                <c:pt idx="13">
                  <c:v>1.0065197585056627</c:v>
                </c:pt>
                <c:pt idx="14">
                  <c:v>0.99319804791659594</c:v>
                </c:pt>
                <c:pt idx="15">
                  <c:v>0.91596120626792787</c:v>
                </c:pt>
                <c:pt idx="16">
                  <c:v>0.78948880115581199</c:v>
                </c:pt>
                <c:pt idx="17">
                  <c:v>0.6359786522647034</c:v>
                </c:pt>
                <c:pt idx="18">
                  <c:v>0.47881392549122681</c:v>
                </c:pt>
                <c:pt idx="19">
                  <c:v>0.33691370510829938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E-FE4E-BD3E-7A2BB07A6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693696"/>
        <c:axId val="31450784"/>
      </c:lineChart>
      <c:catAx>
        <c:axId val="153369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0784"/>
        <c:crosses val="autoZero"/>
        <c:auto val="1"/>
        <c:lblAlgn val="ctr"/>
        <c:lblOffset val="100"/>
        <c:noMultiLvlLbl val="0"/>
      </c:catAx>
      <c:valAx>
        <c:axId val="314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369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2</xdr:row>
      <xdr:rowOff>57150</xdr:rowOff>
    </xdr:from>
    <xdr:to>
      <xdr:col>15</xdr:col>
      <xdr:colOff>723900</xdr:colOff>
      <xdr:row>25</xdr:row>
      <xdr:rowOff>177800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904322C-E83A-CD23-B0AC-D66EB87DA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133350</xdr:colOff>
      <xdr:row>32</xdr:row>
      <xdr:rowOff>120650</xdr:rowOff>
    </xdr:from>
    <xdr:to>
      <xdr:col>18</xdr:col>
      <xdr:colOff>304800</xdr:colOff>
      <xdr:row>52</xdr:row>
      <xdr:rowOff>101600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DB3B267-8E97-F5EA-0845-11B25998E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107950</xdr:colOff>
      <xdr:row>60</xdr:row>
      <xdr:rowOff>6350</xdr:rowOff>
    </xdr:from>
    <xdr:to>
      <xdr:col>20</xdr:col>
      <xdr:colOff>774700</xdr:colOff>
      <xdr:row>78</xdr:row>
      <xdr:rowOff>88900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6A7E2A15-9467-63F3-9D49-DC0AA1F37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57150</xdr:colOff>
      <xdr:row>79</xdr:row>
      <xdr:rowOff>120650</xdr:rowOff>
    </xdr:from>
    <xdr:to>
      <xdr:col>17</xdr:col>
      <xdr:colOff>787400</xdr:colOff>
      <xdr:row>98</xdr:row>
      <xdr:rowOff>139700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9E7D7C7-ED3E-20C1-3954-3B3E53FA1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495975</xdr:colOff>
      <xdr:row>5</xdr:row>
      <xdr:rowOff>127136</xdr:rowOff>
    </xdr:from>
    <xdr:to>
      <xdr:col>18</xdr:col>
      <xdr:colOff>261025</xdr:colOff>
      <xdr:row>27</xdr:row>
      <xdr:rowOff>133486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DBA9D4F-E463-110B-4B46-2639AAEEC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438150</xdr:colOff>
      <xdr:row>28</xdr:row>
      <xdr:rowOff>139700</xdr:rowOff>
    </xdr:from>
    <xdr:to>
      <xdr:col>14</xdr:col>
      <xdr:colOff>508000</xdr:colOff>
      <xdr:row>44</xdr:row>
      <xdr:rowOff>50800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3833623-25D6-BF5E-901B-D82FF0AF4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476250</xdr:colOff>
      <xdr:row>48</xdr:row>
      <xdr:rowOff>12700</xdr:rowOff>
    </xdr:from>
    <xdr:to>
      <xdr:col>15</xdr:col>
      <xdr:colOff>177800</xdr:colOff>
      <xdr:row>67</xdr:row>
      <xdr:rowOff>76200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7698AC5-56D3-7260-D12D-E2EF1CE53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338667</xdr:colOff>
      <xdr:row>718</xdr:row>
      <xdr:rowOff>169333</xdr:rowOff>
    </xdr:from>
    <xdr:to>
      <xdr:col>22</xdr:col>
      <xdr:colOff>440266</xdr:colOff>
      <xdr:row>737</xdr:row>
      <xdr:rowOff>67733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199317B-DB6D-9F26-4C50-EC7FCEB31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33867</xdr:colOff>
      <xdr:row>28</xdr:row>
      <xdr:rowOff>42332</xdr:rowOff>
    </xdr:from>
    <xdr:to>
      <xdr:col>23</xdr:col>
      <xdr:colOff>694267</xdr:colOff>
      <xdr:row>50</xdr:row>
      <xdr:rowOff>127000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E905C1D-DA5B-5BC0-F176-758BAE622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702</xdr:row>
      <xdr:rowOff>6350</xdr:rowOff>
    </xdr:from>
    <xdr:to>
      <xdr:col>14</xdr:col>
      <xdr:colOff>95250</xdr:colOff>
      <xdr:row>715</xdr:row>
      <xdr:rowOff>107950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3E2416D-A157-DDFD-A4DB-B8740A179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76200</xdr:colOff>
      <xdr:row>61</xdr:row>
      <xdr:rowOff>101599</xdr:rowOff>
    </xdr:from>
    <xdr:to>
      <xdr:col>25</xdr:col>
      <xdr:colOff>254000</xdr:colOff>
      <xdr:row>83</xdr:row>
      <xdr:rowOff>169332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C0222AB-B0EA-BD3D-65B3-60949B063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345807</xdr:colOff>
      <xdr:row>76</xdr:row>
      <xdr:rowOff>112617</xdr:rowOff>
    </xdr:from>
    <xdr:to>
      <xdr:col>25</xdr:col>
      <xdr:colOff>367229</xdr:colOff>
      <xdr:row>95</xdr:row>
      <xdr:rowOff>137711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6EF86BF-FDF2-82DD-2CF4-6A51265AB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463550</xdr:colOff>
      <xdr:row>81</xdr:row>
      <xdr:rowOff>171450</xdr:rowOff>
    </xdr:from>
    <xdr:to>
      <xdr:col>27</xdr:col>
      <xdr:colOff>177800</xdr:colOff>
      <xdr:row>96</xdr:row>
      <xdr:rowOff>139700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0E975EB-9C5F-16E8-07E1-D60BAE69B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355600</xdr:colOff>
      <xdr:row>142</xdr:row>
      <xdr:rowOff>33865</xdr:rowOff>
    </xdr:from>
    <xdr:to>
      <xdr:col>29</xdr:col>
      <xdr:colOff>118534</xdr:colOff>
      <xdr:row>158</xdr:row>
      <xdr:rowOff>169332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44F796B6-997E-C31E-0B99-ECD812DC8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01.568075000003" createdVersion="8" refreshedVersion="8" minRefreshableVersion="3" recordCount="852" xr:uid="{C838D1C6-F5A5-CC4A-8042-F00B48A0AF98}">
  <cacheSource type="worksheet">
    <worksheetSource ref="A1:N853" sheet="原始数据"/>
  </cacheSource>
  <cacheFields count="14">
    <cacheField name="id" numFmtId="0">
      <sharedItems containsSemiMixedTypes="0" containsString="0" containsNumber="1" containsInteger="1" minValue="1" maxValue="852"/>
    </cacheField>
    <cacheField name="idiom" numFmtId="0">
      <sharedItems/>
    </cacheField>
    <cacheField name="prompt" numFmtId="0">
      <sharedItems/>
    </cacheField>
    <cacheField name="MASK" numFmtId="0">
      <sharedItems/>
    </cacheField>
    <cacheField name="predict" numFmtId="0">
      <sharedItems/>
    </cacheField>
    <cacheField name="idiom_len" numFmtId="0">
      <sharedItems containsSemiMixedTypes="0" containsString="0" containsNumber="1" containsInteger="1" minValue="4" maxValue="13" count="10">
        <n v="4"/>
        <n v="6"/>
        <n v="5"/>
        <n v="8"/>
        <n v="7"/>
        <n v="9"/>
        <n v="11"/>
        <n v="10"/>
        <n v="12"/>
        <n v="13"/>
      </sharedItems>
    </cacheField>
    <cacheField name="last_word_len" numFmtId="0">
      <sharedItems containsSemiMixedTypes="0" containsString="0" containsNumber="1" containsInteger="1" minValue="2" maxValue="12" count="11">
        <n v="4"/>
        <n v="3"/>
        <n v="7"/>
        <n v="5"/>
        <n v="2"/>
        <n v="6"/>
        <n v="8"/>
        <n v="9"/>
        <n v="12"/>
        <n v="11"/>
        <n v="10"/>
      </sharedItems>
    </cacheField>
    <cacheField name="idioms_last_word_pos" numFmtId="0">
      <sharedItems count="10">
        <s v="ADV"/>
        <s v="NOUN"/>
        <s v="ADP"/>
        <s v="PRON"/>
        <s v="PART"/>
        <s v="AUX"/>
        <s v="ADJ"/>
        <s v="VERB"/>
        <s v="NUM"/>
        <s v="PROPN"/>
      </sharedItems>
    </cacheField>
    <cacheField name="predict_last_word_pos" numFmtId="0">
      <sharedItems/>
    </cacheField>
    <cacheField name="match" numFmtId="0">
      <sharedItems count="2">
        <s v="Y"/>
        <s v="N"/>
      </sharedItems>
    </cacheField>
    <cacheField name="probabilities_mean_valued" numFmtId="11">
      <sharedItems containsSemiMixedTypes="0" containsString="0" containsNumber="1" minValue="3.1249986689388497E-5" maxValue="3.1250033902007599E-5"/>
    </cacheField>
    <cacheField name="probabilities_variance_value" numFmtId="11">
      <sharedItems containsSemiMixedTypes="0" containsString="0" containsNumber="1" minValue="5.15938195908177E-8" maxValue="3.1244821913220197E-5"/>
    </cacheField>
    <cacheField name="hidden_states_mean_value" numFmtId="0">
      <sharedItems containsSemiMixedTypes="0" containsString="0" containsNumber="1" minValue="-7.8214662772985805E-2" maxValue="6.1171246235431902E-2"/>
    </cacheField>
    <cacheField name="hidden_states_variance_value" numFmtId="0">
      <sharedItems containsSemiMixedTypes="0" containsString="0" containsNumber="1" minValue="1.46264433413574" maxValue="4.33696076984938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">
  <r>
    <n v="1"/>
    <s v="for crying out loud"/>
    <s v="for crying out"/>
    <s v="loud"/>
    <s v="for crying out loud"/>
    <x v="0"/>
    <x v="0"/>
    <x v="0"/>
    <s v="ADV"/>
    <x v="0"/>
    <n v="3.1249998007090603E-5"/>
    <n v="2.79823816733228E-5"/>
    <n v="-1.98670323355827E-2"/>
    <n v="3.7934913346834902"/>
  </r>
  <r>
    <n v="2"/>
    <s v="turn a blind eye"/>
    <s v="turn a blind"/>
    <s v="eye"/>
    <s v="turn a blind eye"/>
    <x v="0"/>
    <x v="1"/>
    <x v="1"/>
    <s v="NOUN"/>
    <x v="0"/>
    <n v="3.1250010656336003E-5"/>
    <n v="2.8429201080689499E-5"/>
    <n v="-1.2834970961279101E-2"/>
    <n v="3.6798288727160999"/>
  </r>
  <r>
    <n v="3"/>
    <s v="get to grips with"/>
    <s v="get to grips"/>
    <s v="with"/>
    <s v="get to grips with"/>
    <x v="0"/>
    <x v="0"/>
    <x v="2"/>
    <s v="ADP"/>
    <x v="0"/>
    <n v="3.1250006152462201E-5"/>
    <n v="2.0558035593955601E-5"/>
    <n v="-9.06875585813793E-3"/>
    <n v="3.6341080730370199"/>
  </r>
  <r>
    <n v="4"/>
    <s v="grind to a halt"/>
    <s v="grind to a"/>
    <s v="halt"/>
    <s v="grind to a halt"/>
    <x v="0"/>
    <x v="0"/>
    <x v="1"/>
    <s v="NOUN"/>
    <x v="0"/>
    <n v="3.1250004849559103E-5"/>
    <n v="1.8170960749982101E-5"/>
    <n v="-3.98615789611085E-2"/>
    <n v="3.47365306367251"/>
  </r>
  <r>
    <n v="5"/>
    <s v="let bygones be bygones"/>
    <s v="let bygones be"/>
    <s v="bygones"/>
    <s v="let bygones be bygones"/>
    <x v="0"/>
    <x v="2"/>
    <x v="1"/>
    <s v="NOUN"/>
    <x v="0"/>
    <n v="3.1250004717325401E-5"/>
    <n v="3.1151101140115597E-5"/>
    <n v="-1.83969982169074E-2"/>
    <n v="2.7875613915069599"/>
  </r>
  <r>
    <n v="6"/>
    <s v="every man for himself"/>
    <s v="every man for"/>
    <s v="himself"/>
    <s v="every man for himself"/>
    <x v="0"/>
    <x v="2"/>
    <x v="3"/>
    <s v="PRON"/>
    <x v="0"/>
    <n v="3.1250014306311799E-5"/>
    <n v="2.6765574452641399E-5"/>
    <n v="3.1722287843528797E-2"/>
    <n v="3.6223115744392"/>
  </r>
  <r>
    <n v="7"/>
    <s v="sign of the times"/>
    <s v="sign of the"/>
    <s v="times"/>
    <s v="sign of the times"/>
    <x v="0"/>
    <x v="3"/>
    <x v="1"/>
    <s v="NOUN"/>
    <x v="0"/>
    <n v="3.1250000798782197E-5"/>
    <n v="2.3754532278150301E-6"/>
    <n v="1.43140618632031E-3"/>
    <n v="3.1323331862985002"/>
  </r>
  <r>
    <n v="8"/>
    <s v="at the end of the day"/>
    <s v="at the end of the"/>
    <s v="day"/>
    <s v="at the end of the day"/>
    <x v="1"/>
    <x v="1"/>
    <x v="1"/>
    <s v="NOUN"/>
    <x v="0"/>
    <n v="3.1249996453277799E-5"/>
    <n v="1.7038221905999199E-6"/>
    <n v="3.6651894407641203E-2"/>
    <n v="3.1547179889033501"/>
  </r>
  <r>
    <n v="9"/>
    <s v="come to terms with"/>
    <s v="come to terms"/>
    <s v="with"/>
    <s v="come to terms with"/>
    <x v="0"/>
    <x v="0"/>
    <x v="2"/>
    <s v="ADP"/>
    <x v="0"/>
    <n v="3.1250002533016901E-5"/>
    <n v="8.9662590729610095E-6"/>
    <n v="-9.6513906428157201E-3"/>
    <n v="3.4741733644021799"/>
  </r>
  <r>
    <n v="10"/>
    <s v="with a view to"/>
    <s v="with a view"/>
    <s v="to"/>
    <s v="with a view to"/>
    <x v="0"/>
    <x v="4"/>
    <x v="4"/>
    <s v="PART"/>
    <x v="0"/>
    <n v="3.12500075681381E-5"/>
    <n v="1.71203031680451E-5"/>
    <n v="4.3267394313772902E-3"/>
    <n v="3.7360244756713699"/>
  </r>
  <r>
    <n v="11"/>
    <s v="in the long run"/>
    <s v="in the long"/>
    <s v="run"/>
    <s v="in the long run"/>
    <x v="0"/>
    <x v="1"/>
    <x v="1"/>
    <s v="NOUN"/>
    <x v="0"/>
    <n v="3.1250003283580399E-5"/>
    <n v="6.4012589456800799E-6"/>
    <n v="-1.68375004250815E-2"/>
    <n v="3.5126577644563599"/>
  </r>
  <r>
    <n v="12"/>
    <s v="keep a low profile"/>
    <s v="keep a low"/>
    <s v="profile"/>
    <s v="keep a low profile"/>
    <x v="0"/>
    <x v="2"/>
    <x v="1"/>
    <s v="NOUN"/>
    <x v="0"/>
    <n v="3.1250000531461303E-5"/>
    <n v="2.4443450443438299E-5"/>
    <n v="-5.6708616062763799E-3"/>
    <n v="2.93305916565361"/>
  </r>
  <r>
    <n v="13"/>
    <s v="tell it like it is"/>
    <s v="tell it like it"/>
    <s v="is"/>
    <s v="tell it like it is"/>
    <x v="2"/>
    <x v="4"/>
    <x v="5"/>
    <s v="AUX"/>
    <x v="0"/>
    <n v="3.1250013610700099E-5"/>
    <n v="2.4586191895520099E-5"/>
    <n v="1.4390976549826399E-2"/>
    <n v="3.6929363185608"/>
  </r>
  <r>
    <n v="14"/>
    <s v="sing the praises of"/>
    <s v="sing the praises"/>
    <s v="of"/>
    <s v="sing the praises of"/>
    <x v="0"/>
    <x v="4"/>
    <x v="2"/>
    <s v="ADP"/>
    <x v="0"/>
    <n v="3.1250017257127301E-5"/>
    <n v="2.25069022340522E-5"/>
    <n v="9.8547988728903092E-4"/>
    <n v="3.7547292195349198"/>
  </r>
  <r>
    <n v="15"/>
    <s v="rub someone up the wrong way"/>
    <s v="rub someone up the wrong"/>
    <s v="way"/>
    <s v="rub someone up the wrong way"/>
    <x v="1"/>
    <x v="1"/>
    <x v="1"/>
    <s v="NOUN"/>
    <x v="0"/>
    <n v="3.1250010763651303E-5"/>
    <n v="2.8956627490769399E-5"/>
    <n v="-1.14794135942872E-2"/>
    <n v="3.49315927408164"/>
  </r>
  <r>
    <n v="16"/>
    <s v="in the driving seat"/>
    <s v="in the driving"/>
    <s v="seat"/>
    <s v="in the driving seat"/>
    <x v="0"/>
    <x v="0"/>
    <x v="1"/>
    <s v="NOUN"/>
    <x v="0"/>
    <n v="3.1250001627736697E-5"/>
    <n v="1.32811617673115E-5"/>
    <n v="-6.5020669637831903E-3"/>
    <n v="3.51534499393428"/>
  </r>
  <r>
    <n v="17"/>
    <s v="fall by the wayside"/>
    <s v="fall by the"/>
    <s v="wayside"/>
    <s v="fall by the wayside"/>
    <x v="0"/>
    <x v="2"/>
    <x v="1"/>
    <s v="NOUN"/>
    <x v="0"/>
    <n v="3.12500054610416E-5"/>
    <n v="2.83107966774932E-5"/>
    <n v="-1.9163659703560001E-2"/>
    <n v="3.4882051664001801"/>
  </r>
  <r>
    <n v="18"/>
    <s v="to the tune of"/>
    <s v="to the tune"/>
    <s v="of"/>
    <s v="to the tune of"/>
    <x v="0"/>
    <x v="4"/>
    <x v="2"/>
    <s v="ADP"/>
    <x v="0"/>
    <n v="3.1250015605324799E-5"/>
    <n v="2.5028258601513699E-5"/>
    <n v="2.14942978558596E-3"/>
    <n v="3.6342867600491702"/>
  </r>
  <r>
    <n v="19"/>
    <s v="take someone's word for it"/>
    <s v="take someone's word for"/>
    <s v="it"/>
    <s v="take someone's word for it"/>
    <x v="2"/>
    <x v="4"/>
    <x v="3"/>
    <s v="PRON"/>
    <x v="0"/>
    <n v="3.125001532194E-5"/>
    <n v="1.77372661651715E-5"/>
    <n v="-1.7562112183050201E-2"/>
    <n v="3.5344353191870002"/>
  </r>
  <r>
    <n v="20"/>
    <s v="on the spur of the moment"/>
    <s v="on the spur of the"/>
    <s v="moment"/>
    <s v="on the spur of the moment"/>
    <x v="1"/>
    <x v="5"/>
    <x v="1"/>
    <s v="NOUN"/>
    <x v="0"/>
    <n v="3.12500042860951E-5"/>
    <n v="2.8657899731398299E-5"/>
    <n v="8.1658027068840493E-3"/>
    <n v="3.5921744904095601"/>
  </r>
  <r>
    <n v="21"/>
    <s v="the grass is always greener"/>
    <s v="the grass is always"/>
    <s v="greener"/>
    <s v="the grass is always greener"/>
    <x v="2"/>
    <x v="2"/>
    <x v="6"/>
    <s v="ADJ"/>
    <x v="0"/>
    <n v="3.1250007729736299E-5"/>
    <n v="3.1137365485689602E-5"/>
    <n v="-5.9042653517522503E-3"/>
    <n v="2.9075666206470698"/>
  </r>
  <r>
    <n v="22"/>
    <s v="from rags to riches"/>
    <s v="from rags to"/>
    <s v="riches"/>
    <s v="from rags to riches"/>
    <x v="0"/>
    <x v="5"/>
    <x v="1"/>
    <s v="NOUN"/>
    <x v="0"/>
    <n v="3.1250009903142597E-5"/>
    <n v="3.0316602347732001E-5"/>
    <n v="1.51035591449186E-2"/>
    <n v="3.5152074228585799"/>
  </r>
  <r>
    <n v="23"/>
    <s v="in no uncertain terms"/>
    <s v="in no uncertain"/>
    <s v="terms"/>
    <s v="in no uncertain terms"/>
    <x v="0"/>
    <x v="3"/>
    <x v="1"/>
    <s v="NOUN"/>
    <x v="0"/>
    <n v="3.1250009461131701E-5"/>
    <n v="2.9330910616516202E-5"/>
    <n v="9.7502497125745401E-3"/>
    <n v="3.4030707070845199"/>
  </r>
  <r>
    <n v="24"/>
    <s v="read between the lines"/>
    <s v="read between the"/>
    <s v="lines"/>
    <s v="read between the lines"/>
    <x v="0"/>
    <x v="3"/>
    <x v="1"/>
    <s v="NOUN"/>
    <x v="0"/>
    <n v="3.1250015131590297E-5"/>
    <n v="1.8712507865415399E-5"/>
    <n v="5.2074330650382798E-2"/>
    <n v="3.2108870059750299"/>
  </r>
  <r>
    <n v="25"/>
    <s v="lead someone up the garden path"/>
    <s v="lead someone up the garden"/>
    <s v="path"/>
    <s v="lead someone up the garden path"/>
    <x v="1"/>
    <x v="0"/>
    <x v="1"/>
    <s v="NOUN"/>
    <x v="0"/>
    <n v="3.1249990062656701E-5"/>
    <n v="3.0488460540173299E-5"/>
    <n v="-1.59104842184376E-2"/>
    <n v="3.53375946414811"/>
  </r>
  <r>
    <n v="26"/>
    <s v="for the time being"/>
    <s v="for the time"/>
    <s v="being"/>
    <s v="for the time being"/>
    <x v="0"/>
    <x v="3"/>
    <x v="5"/>
    <s v="AUX"/>
    <x v="0"/>
    <n v="3.12500166860774E-5"/>
    <n v="1.00185405307432E-5"/>
    <n v="-1.99230579404314E-2"/>
    <n v="3.4634541573501298"/>
  </r>
  <r>
    <n v="27"/>
    <s v="take a dim view of"/>
    <s v="take a dim view"/>
    <s v="of"/>
    <s v="take a dim view of"/>
    <x v="2"/>
    <x v="4"/>
    <x v="2"/>
    <s v="ADP"/>
    <x v="0"/>
    <n v="3.12500080305751E-5"/>
    <n v="1.12420171714199E-5"/>
    <n v="-2.6313689382412499E-2"/>
    <n v="3.6240954014109499"/>
  </r>
  <r>
    <n v="28"/>
    <s v="all in a day's work"/>
    <s v="all in a day's"/>
    <s v="work"/>
    <s v="all in a day's work"/>
    <x v="2"/>
    <x v="0"/>
    <x v="1"/>
    <s v="NOUN"/>
    <x v="0"/>
    <n v="3.12500124671343E-5"/>
    <n v="1.9031921230566499E-5"/>
    <n v="5.1901236373410597E-3"/>
    <n v="3.2805304636294501"/>
  </r>
  <r>
    <n v="29"/>
    <s v="at a snail's pace"/>
    <s v="at a snail's"/>
    <s v="pace"/>
    <s v="at a snail's pace"/>
    <x v="0"/>
    <x v="0"/>
    <x v="1"/>
    <s v="NOUN"/>
    <x v="0"/>
    <n v="3.1249996913150797E-5"/>
    <n v="3.0102128407947599E-5"/>
    <n v="4.7286883882762202E-3"/>
    <n v="3.7896497637766098"/>
  </r>
  <r>
    <n v="30"/>
    <s v="go hand in hand"/>
    <s v="go hand in"/>
    <s v="hand"/>
    <s v="go hand in hand"/>
    <x v="0"/>
    <x v="0"/>
    <x v="1"/>
    <s v="NOUN"/>
    <x v="0"/>
    <n v="3.1250007253137497E-5"/>
    <n v="2.95555520760197E-5"/>
    <n v="-1.97054760674575E-3"/>
    <n v="3.70168289473113"/>
  </r>
  <r>
    <n v="31"/>
    <s v="play hard to get"/>
    <s v="play hard to"/>
    <s v="get"/>
    <s v="play hard to get"/>
    <x v="0"/>
    <x v="1"/>
    <x v="7"/>
    <s v="VERB"/>
    <x v="0"/>
    <n v="3.12500048851617E-5"/>
    <n v="2.8724658922082999E-5"/>
    <n v="2.7576008241652499E-2"/>
    <n v="3.3835269669847401"/>
  </r>
  <r>
    <n v="32"/>
    <s v="grin like a Cheshire cat"/>
    <s v="grin like a Cheshire"/>
    <s v="cat"/>
    <s v="grin like a Cheshire cat"/>
    <x v="2"/>
    <x v="1"/>
    <x v="1"/>
    <s v="NOUN"/>
    <x v="0"/>
    <n v="3.1250006179917798E-5"/>
    <n v="2.0087331891979E-5"/>
    <n v="-1.4327410780738899E-2"/>
    <n v="3.7057564204565798"/>
  </r>
  <r>
    <n v="33"/>
    <s v="at a loose end"/>
    <s v="at a loose"/>
    <s v="end"/>
    <s v="at a loose end"/>
    <x v="0"/>
    <x v="1"/>
    <x v="1"/>
    <s v="NOUN"/>
    <x v="0"/>
    <n v="3.1250012857215503E-5"/>
    <n v="2.75311873241598E-5"/>
    <n v="-3.1025130392898701E-2"/>
    <n v="3.3266620968717802"/>
  </r>
  <r>
    <n v="34"/>
    <s v="come to think of it"/>
    <s v="come to think of"/>
    <s v="it"/>
    <s v="come to think of it"/>
    <x v="2"/>
    <x v="4"/>
    <x v="3"/>
    <s v="PRON"/>
    <x v="0"/>
    <n v="3.12500062398805E-5"/>
    <n v="2.8747300770060399E-5"/>
    <n v="-7.1602318261483298E-3"/>
    <n v="3.7168644615527802"/>
  </r>
  <r>
    <n v="35"/>
    <s v="to all intents and purposes"/>
    <s v="to all intents and"/>
    <s v="purposes"/>
    <s v="to all intents and purposes"/>
    <x v="2"/>
    <x v="6"/>
    <x v="1"/>
    <s v="NOUN"/>
    <x v="0"/>
    <n v="3.1250002994129102E-5"/>
    <n v="2.8010310658578599E-5"/>
    <n v="1.2853521237353499E-2"/>
    <n v="3.6661354193284899"/>
  </r>
  <r>
    <n v="36"/>
    <s v="back to square one"/>
    <s v="back to square"/>
    <s v="one"/>
    <s v="back to square one"/>
    <x v="0"/>
    <x v="1"/>
    <x v="8"/>
    <s v="NUM"/>
    <x v="0"/>
    <n v="3.12500039442077E-5"/>
    <n v="2.2596803491893302E-5"/>
    <n v="2.1733521347357499E-2"/>
    <n v="3.46005367009771"/>
  </r>
  <r>
    <n v="37"/>
    <s v="kill the goose that lays the golden eggs"/>
    <s v="kill the goose that lays the golden"/>
    <s v="eggs"/>
    <s v="kill the goose that lays the golden eggs"/>
    <x v="3"/>
    <x v="0"/>
    <x v="1"/>
    <s v="NOUN"/>
    <x v="0"/>
    <n v="3.1250001264106198E-5"/>
    <n v="1.4499754312213101E-5"/>
    <n v="1.35682830735106E-3"/>
    <n v="3.8523970363900601"/>
  </r>
  <r>
    <n v="38"/>
    <s v="fall on deaf ears"/>
    <s v="fall on deaf"/>
    <s v="ears"/>
    <s v="fall on deaf ears"/>
    <x v="0"/>
    <x v="0"/>
    <x v="1"/>
    <s v="NOUN"/>
    <x v="0"/>
    <n v="3.1249999918101801E-5"/>
    <n v="2.76139993489523E-5"/>
    <n v="-5.4338473748671802E-3"/>
    <n v="3.6936473481889802"/>
  </r>
  <r>
    <n v="39"/>
    <s v="by hook or by crook"/>
    <s v="by hook or by"/>
    <s v="crook"/>
    <s v="by hook or by crook"/>
    <x v="2"/>
    <x v="3"/>
    <x v="9"/>
    <s v="PROPN"/>
    <x v="0"/>
    <n v="3.1250003014865098E-5"/>
    <n v="3.0828442811943902E-5"/>
    <n v="1.13720533752541E-2"/>
    <n v="2.7713899745280499"/>
  </r>
  <r>
    <n v="40"/>
    <s v="go from strength to strength"/>
    <s v="go from strength to"/>
    <s v="strength"/>
    <s v="go from strength to strength"/>
    <x v="2"/>
    <x v="6"/>
    <x v="1"/>
    <s v="NOUN"/>
    <x v="0"/>
    <n v="3.1250006774180799E-5"/>
    <n v="2.87805487697724E-5"/>
    <n v="-2.1619558074533501E-2"/>
    <n v="3.5764683912631101"/>
  </r>
  <r>
    <n v="41"/>
    <s v="in this day and age"/>
    <s v="in this day and"/>
    <s v="age"/>
    <s v="in this day and age"/>
    <x v="2"/>
    <x v="1"/>
    <x v="1"/>
    <s v="NOUN"/>
    <x v="0"/>
    <n v="3.1250010208062498E-5"/>
    <n v="2.7737770964355801E-5"/>
    <n v="-1.67140352761663E-3"/>
    <n v="3.6698111537807101"/>
  </r>
  <r>
    <n v="42"/>
    <s v="fight tooth and nail"/>
    <s v="fight tooth and"/>
    <s v="nail"/>
    <s v="fight tooth and nail"/>
    <x v="0"/>
    <x v="0"/>
    <x v="1"/>
    <s v="NOUN"/>
    <x v="0"/>
    <n v="3.1250006839042801E-5"/>
    <n v="3.0901500270045097E-5"/>
    <n v="-4.5762277704163502E-2"/>
    <n v="2.9003462727488798"/>
  </r>
  <r>
    <n v="43"/>
    <s v="wipe the floor with"/>
    <s v="wipe the floor"/>
    <s v="with"/>
    <s v="wipe the floor with"/>
    <x v="0"/>
    <x v="0"/>
    <x v="2"/>
    <s v="ADP"/>
    <x v="0"/>
    <n v="3.1250007720056101E-5"/>
    <n v="9.7821711447280592E-6"/>
    <n v="-9.2460733577297508E-3"/>
    <n v="3.5916591170776999"/>
  </r>
  <r>
    <n v="44"/>
    <s v="come to grips with"/>
    <s v="come to grips"/>
    <s v="with"/>
    <s v="come to grips with"/>
    <x v="0"/>
    <x v="0"/>
    <x v="2"/>
    <s v="ADP"/>
    <x v="0"/>
    <n v="3.1250014461513998E-5"/>
    <n v="1.35155146067704E-5"/>
    <n v="-2.9766834500282599E-2"/>
    <n v="3.6788588228696102"/>
  </r>
  <r>
    <n v="45"/>
    <s v="pull out all the stops"/>
    <s v="pull out all the"/>
    <s v="stops"/>
    <s v="pull out all the stops"/>
    <x v="2"/>
    <x v="3"/>
    <x v="1"/>
    <s v="NOUN"/>
    <x v="0"/>
    <n v="3.1250001844696E-5"/>
    <n v="1.58295337474513E-5"/>
    <n v="1.0839481025225599E-2"/>
    <n v="3.1104669617495002"/>
  </r>
  <r>
    <n v="46"/>
    <s v="keep a lid on"/>
    <s v="keep a lid"/>
    <s v="on"/>
    <s v="keep a lid on"/>
    <x v="0"/>
    <x v="4"/>
    <x v="2"/>
    <s v="ADP"/>
    <x v="0"/>
    <n v="3.1250017080718703E-5"/>
    <n v="2.76488844427466E-5"/>
    <n v="-1.1280227366507099E-2"/>
    <n v="3.5469074085986501"/>
  </r>
  <r>
    <n v="47"/>
    <s v="few and far between"/>
    <s v="few and far"/>
    <s v="between"/>
    <s v="few and far between"/>
    <x v="0"/>
    <x v="2"/>
    <x v="2"/>
    <s v="ADP"/>
    <x v="0"/>
    <n v="3.1250002003942701E-5"/>
    <n v="2.1021326284978502E-5"/>
    <n v="-2.4932880845540201E-2"/>
    <n v="3.71453803842466"/>
  </r>
  <r>
    <n v="48"/>
    <s v="great minds think alike"/>
    <s v="great minds think"/>
    <s v="alike"/>
    <s v="great minds think alike"/>
    <x v="0"/>
    <x v="3"/>
    <x v="0"/>
    <s v="ADV"/>
    <x v="0"/>
    <n v="3.1250001602619398E-5"/>
    <n v="3.0991252776512499E-5"/>
    <n v="3.3834254457417501E-2"/>
    <n v="2.7594211562540298"/>
  </r>
  <r>
    <n v="49"/>
    <s v="all hell broke loose"/>
    <s v="all hell broke"/>
    <s v="loose"/>
    <s v="all hell broke loose"/>
    <x v="0"/>
    <x v="3"/>
    <x v="6"/>
    <s v="ADJ"/>
    <x v="0"/>
    <n v="3.1249997549656402E-5"/>
    <n v="2.6980970075871099E-5"/>
    <n v="1.97292128969195E-3"/>
    <n v="3.7564075292191599"/>
  </r>
  <r>
    <n v="50"/>
    <s v="get the better of"/>
    <s v="get the better"/>
    <s v="of"/>
    <s v="get the better of"/>
    <x v="0"/>
    <x v="4"/>
    <x v="2"/>
    <s v="ADP"/>
    <x v="0"/>
    <n v="3.1250004511509798E-5"/>
    <n v="1.5835484585847499E-5"/>
    <n v="1.5749693368977798E-2"/>
    <n v="3.5918500882152302"/>
  </r>
  <r>
    <n v="51"/>
    <s v="high as a kite"/>
    <s v="high as a"/>
    <s v="kite"/>
    <s v="high as a kite"/>
    <x v="0"/>
    <x v="0"/>
    <x v="1"/>
    <s v="NOUN"/>
    <x v="0"/>
    <n v="3.12499910461531E-5"/>
    <n v="3.1148736425718401E-5"/>
    <n v="-1.39290172562596E-2"/>
    <n v="2.9736027255719399"/>
  </r>
  <r>
    <n v="52"/>
    <s v="make head or tail of"/>
    <s v="make head or tail"/>
    <s v="of"/>
    <s v="make head or tail of"/>
    <x v="2"/>
    <x v="4"/>
    <x v="2"/>
    <s v="ADP"/>
    <x v="0"/>
    <n v="3.1250007226251702E-5"/>
    <n v="7.9608367061583207E-6"/>
    <n v="-2.2543601268777101E-2"/>
    <n v="3.5330015007239601"/>
  </r>
  <r>
    <n v="53"/>
    <s v="as luck would have it"/>
    <s v="as luck would have"/>
    <s v="it"/>
    <s v="as luck would have it"/>
    <x v="2"/>
    <x v="4"/>
    <x v="3"/>
    <s v="PRON"/>
    <x v="0"/>
    <n v="3.1250001516812501E-5"/>
    <n v="3.04858875447684E-5"/>
    <n v="-1.9901452102047301E-2"/>
    <n v="3.6185244116813302"/>
  </r>
  <r>
    <n v="54"/>
    <s v="err on the side of"/>
    <s v="err on the side"/>
    <s v="of"/>
    <s v="err on the side of"/>
    <x v="2"/>
    <x v="4"/>
    <x v="2"/>
    <s v="ADP"/>
    <x v="0"/>
    <n v="3.1250015254821597E-5"/>
    <n v="2.9338077193007201E-5"/>
    <n v="5.6176706471830996E-3"/>
    <n v="3.7459654130040998"/>
  </r>
  <r>
    <n v="55"/>
    <s v="your guess is as good as mine"/>
    <s v="your guess is as good as"/>
    <s v="mine"/>
    <s v="your guess is as good as mine"/>
    <x v="4"/>
    <x v="0"/>
    <x v="3"/>
    <s v="PRON"/>
    <x v="0"/>
    <n v="3.1250003240345798E-5"/>
    <n v="1.7871250633993102E-5"/>
    <n v="-5.3646776987079604E-3"/>
    <n v="3.6174133668090498"/>
  </r>
  <r>
    <n v="56"/>
    <s v="bring the house down"/>
    <s v="bring the house"/>
    <s v="down"/>
    <s v="bring the house down"/>
    <x v="0"/>
    <x v="0"/>
    <x v="2"/>
    <s v="ADP"/>
    <x v="0"/>
    <n v="3.12500065064882E-5"/>
    <n v="2.13820802560058E-5"/>
    <n v="8.0274317069495196E-4"/>
    <n v="3.4762367620702901"/>
  </r>
  <r>
    <n v="57"/>
    <s v="follow in someone's footsteps"/>
    <s v="follow in someone's"/>
    <s v="footsteps"/>
    <s v="follow in someone's footsteps"/>
    <x v="0"/>
    <x v="7"/>
    <x v="1"/>
    <s v="NOUN"/>
    <x v="0"/>
    <n v="3.12500030290055E-5"/>
    <n v="3.0111918646948601E-5"/>
    <n v="-6.5252479369348705E-4"/>
    <n v="3.2204330611529701"/>
  </r>
  <r>
    <n v="58"/>
    <s v="set the wheels in motion"/>
    <s v="set the wheels in"/>
    <s v="motion"/>
    <s v="set the wheels in motion"/>
    <x v="2"/>
    <x v="5"/>
    <x v="1"/>
    <s v="NOUN"/>
    <x v="0"/>
    <n v="3.1250002691309897E-5"/>
    <n v="2.9767032799196002E-5"/>
    <n v="-9.9728727700636403E-3"/>
    <n v="3.68877430134618"/>
  </r>
  <r>
    <n v="59"/>
    <s v="sign on the dotted line"/>
    <s v="sign on the dotted"/>
    <s v="line"/>
    <s v="sign on the dotted line"/>
    <x v="2"/>
    <x v="0"/>
    <x v="1"/>
    <s v="NOUN"/>
    <x v="0"/>
    <n v="3.12500065862818E-5"/>
    <n v="2.6972279130659699E-5"/>
    <n v="2.5195644774485399E-2"/>
    <n v="3.5092435971862299"/>
  </r>
  <r>
    <n v="60"/>
    <s v="pour cold water on"/>
    <s v="pour cold water"/>
    <s v="on"/>
    <s v="pour cold water into the pot."/>
    <x v="0"/>
    <x v="4"/>
    <x v="2"/>
    <s v="NOUN"/>
    <x v="1"/>
    <n v="3.1250004864467398E-5"/>
    <n v="4.8764957112918901E-6"/>
    <n v="-1.04380476877992E-2"/>
    <n v="3.8317514086712201"/>
  </r>
  <r>
    <n v="61"/>
    <s v="break the back of"/>
    <s v="break the back"/>
    <s v="of"/>
    <s v="break the back of"/>
    <x v="0"/>
    <x v="4"/>
    <x v="2"/>
    <s v="ADP"/>
    <x v="0"/>
    <n v="3.1250004839268398E-5"/>
    <n v="6.8860539981820996E-6"/>
    <n v="2.2922089947456899E-3"/>
    <n v="3.59004476428"/>
  </r>
  <r>
    <n v="62"/>
    <s v="for the hell of it"/>
    <s v="for the hell of"/>
    <s v="it"/>
    <s v="for the hell of it"/>
    <x v="2"/>
    <x v="4"/>
    <x v="3"/>
    <s v="PRON"/>
    <x v="0"/>
    <n v="3.1250003619485402E-5"/>
    <n v="2.7583836229338599E-5"/>
    <n v="2.8090096882635801E-3"/>
    <n v="3.4925946650417199"/>
  </r>
  <r>
    <n v="63"/>
    <s v="hold the purse strings"/>
    <s v="hold the purse"/>
    <s v="strings"/>
    <s v="hold the purse strings"/>
    <x v="0"/>
    <x v="2"/>
    <x v="1"/>
    <s v="NOUN"/>
    <x v="0"/>
    <n v="3.1249997996361297E-5"/>
    <n v="7.0463757883610502E-6"/>
    <n v="1.08382245176557E-2"/>
    <n v="3.3903762248317402"/>
  </r>
  <r>
    <n v="64"/>
    <s v="fall between two stools"/>
    <s v="fall between two"/>
    <s v="stools"/>
    <s v="fall between two stools"/>
    <x v="0"/>
    <x v="5"/>
    <x v="1"/>
    <s v="NOUN"/>
    <x v="0"/>
    <n v="3.1250006150766102E-5"/>
    <n v="3.1040173844228998E-5"/>
    <n v="-1.3569813144414401E-2"/>
    <n v="2.7168120540624399"/>
  </r>
  <r>
    <n v="65"/>
    <s v="smoke like a chimney"/>
    <s v="smoke like a"/>
    <s v="chimney"/>
    <s v="smoke like a chimney"/>
    <x v="0"/>
    <x v="2"/>
    <x v="1"/>
    <s v="NOUN"/>
    <x v="0"/>
    <n v="3.1250012641800998E-5"/>
    <n v="3.0168100257369599E-5"/>
    <n v="2.3446706016898099E-2"/>
    <n v="2.72627884640114"/>
  </r>
  <r>
    <n v="66"/>
    <s v="cuckoo in the nest"/>
    <s v="cuckoo in the"/>
    <s v="nest"/>
    <s v="cuckoo in the nest"/>
    <x v="0"/>
    <x v="0"/>
    <x v="1"/>
    <s v="NOUN"/>
    <x v="0"/>
    <n v="3.1250001354121697E-5"/>
    <n v="3.65011424860219E-6"/>
    <n v="4.9840765165626501E-2"/>
    <n v="2.3117745467716699"/>
  </r>
  <r>
    <n v="67"/>
    <s v="beat swords into ploughshares"/>
    <s v="beat swords into"/>
    <s v="ploughshares"/>
    <s v="beat swords into plowshares"/>
    <x v="0"/>
    <x v="8"/>
    <x v="1"/>
    <s v="NOUN"/>
    <x v="1"/>
    <n v="3.1250000007632703E-5"/>
    <n v="3.4796455753448499E-6"/>
    <n v="-2.06537833270488E-2"/>
    <n v="3.7402350426074702"/>
  </r>
  <r>
    <n v="68"/>
    <s v="add insult to injury"/>
    <s v="add insult to"/>
    <s v="injury"/>
    <s v="add insult to injury"/>
    <x v="0"/>
    <x v="5"/>
    <x v="1"/>
    <s v="NOUN"/>
    <x v="0"/>
    <n v="3.1249994186271399E-5"/>
    <n v="2.6323335276105498E-5"/>
    <n v="-2.36486547117849E-2"/>
    <n v="3.6382855524684898"/>
  </r>
  <r>
    <n v="69"/>
    <s v="as the crow flies"/>
    <s v="as the crow"/>
    <s v="flies"/>
    <s v="as the crow flies"/>
    <x v="0"/>
    <x v="3"/>
    <x v="7"/>
    <s v="VERB"/>
    <x v="0"/>
    <n v="3.12499994426411E-5"/>
    <n v="3.0850786776487498E-5"/>
    <n v="-1.81880401295542E-3"/>
    <n v="2.4849869238988802"/>
  </r>
  <r>
    <n v="70"/>
    <s v="been there, done that"/>
    <s v="been there, done"/>
    <s v="that"/>
    <s v="been there, done that"/>
    <x v="0"/>
    <x v="0"/>
    <x v="3"/>
    <s v="PRON"/>
    <x v="0"/>
    <n v="3.12499955810793E-5"/>
    <n v="2.82230579549486E-5"/>
    <n v="2.81001521631263E-3"/>
    <n v="3.5627108085694101"/>
  </r>
  <r>
    <n v="71"/>
    <s v="pay through the nose"/>
    <s v="pay through the"/>
    <s v="nose"/>
    <s v="pay through the nose"/>
    <x v="0"/>
    <x v="0"/>
    <x v="1"/>
    <s v="NOUN"/>
    <x v="0"/>
    <n v="3.1250003594903198E-5"/>
    <n v="5.0656149383074298E-6"/>
    <n v="2.2083062246728902E-2"/>
    <n v="3.17323553030598"/>
  </r>
  <r>
    <n v="72"/>
    <s v="the die is cast"/>
    <s v="the die is"/>
    <s v="cast"/>
    <s v="the die is cast"/>
    <x v="0"/>
    <x v="0"/>
    <x v="7"/>
    <s v="VERB"/>
    <x v="0"/>
    <n v="3.1250014871625599E-5"/>
    <n v="2.1784744093778899E-5"/>
    <n v="-3.9408126826565103E-2"/>
    <n v="3.4523086995269701"/>
  </r>
  <r>
    <n v="73"/>
    <s v="from the cradle to the grave"/>
    <s v="from the cradle to the"/>
    <s v="grave"/>
    <s v="from the cradle to the grave"/>
    <x v="1"/>
    <x v="3"/>
    <x v="1"/>
    <s v="NOUN"/>
    <x v="0"/>
    <n v="3.1250006482111601E-5"/>
    <n v="2.1643055649570898E-5"/>
    <n v="2.1247721072544499E-2"/>
    <n v="2.7340721936288199"/>
  </r>
  <r>
    <n v="74"/>
    <s v="take the bull by the horns"/>
    <s v="take the bull by the"/>
    <s v="horns"/>
    <s v="take the bull by the horns"/>
    <x v="1"/>
    <x v="3"/>
    <x v="1"/>
    <s v="NOUN"/>
    <x v="0"/>
    <n v="3.1249998872930297E-5"/>
    <n v="2.6888871670109601E-5"/>
    <n v="-7.5779592876301597E-3"/>
    <n v="3.7689993022438899"/>
  </r>
  <r>
    <n v="75"/>
    <s v="over my dead body"/>
    <s v="over my dead"/>
    <s v="body"/>
    <s v="over my dead body"/>
    <x v="0"/>
    <x v="0"/>
    <x v="1"/>
    <s v="NOUN"/>
    <x v="0"/>
    <n v="3.1250000386259899E-5"/>
    <n v="2.60798230742028E-5"/>
    <n v="-3.4702966771135303E-2"/>
    <n v="3.5208784533809099"/>
  </r>
  <r>
    <n v="76"/>
    <s v="at the drop of a hat"/>
    <s v="at the drop of a"/>
    <s v="hat"/>
    <s v="at the drop of a hat"/>
    <x v="1"/>
    <x v="1"/>
    <x v="1"/>
    <s v="NOUN"/>
    <x v="0"/>
    <n v="3.1250011269358602E-5"/>
    <n v="2.0785163712164198E-5"/>
    <n v="6.5543615295382497E-4"/>
    <n v="3.3246855363013799"/>
  </r>
  <r>
    <n v="77"/>
    <s v="grin and bear it"/>
    <s v="grin and bear"/>
    <s v="it"/>
    <s v="grin and bear it"/>
    <x v="0"/>
    <x v="4"/>
    <x v="3"/>
    <s v="PRON"/>
    <x v="0"/>
    <n v="3.1250006122674098E-5"/>
    <n v="1.77673040968141E-5"/>
    <n v="1.5689341134361701E-3"/>
    <n v="3.48880856199137"/>
  </r>
  <r>
    <n v="78"/>
    <s v="let your hair down"/>
    <s v="let your hair"/>
    <s v="down"/>
    <s v="let your hair down"/>
    <x v="0"/>
    <x v="0"/>
    <x v="0"/>
    <s v="ADV"/>
    <x v="0"/>
    <n v="3.12500083668043E-5"/>
    <n v="1.85260818553087E-5"/>
    <n v="-1.48411602872329E-2"/>
    <n v="3.61542408953563"/>
  </r>
  <r>
    <n v="79"/>
    <s v="put a sock in it"/>
    <s v="put a sock in"/>
    <s v="it"/>
    <s v="put a sock in it"/>
    <x v="2"/>
    <x v="4"/>
    <x v="3"/>
    <s v="PRON"/>
    <x v="0"/>
    <n v="3.1249997258089102E-5"/>
    <n v="2.2307566492387899E-5"/>
    <n v="2.9154068741730599E-2"/>
    <n v="3.6235477146302002"/>
  </r>
  <r>
    <n v="80"/>
    <s v="when push comes to shove"/>
    <s v="when push comes to"/>
    <s v="shove"/>
    <s v="when push comes to shove"/>
    <x v="2"/>
    <x v="3"/>
    <x v="7"/>
    <s v="VERB"/>
    <x v="0"/>
    <n v="3.12500090217214E-5"/>
    <n v="3.0830110295561402E-5"/>
    <n v="2.9755858517285402E-2"/>
    <n v="3.0767864026343599"/>
  </r>
  <r>
    <n v="81"/>
    <s v="call a spade a spade"/>
    <s v="call a spade a"/>
    <s v="spade"/>
    <s v="call a spade a spade"/>
    <x v="2"/>
    <x v="3"/>
    <x v="1"/>
    <s v="NOUN"/>
    <x v="0"/>
    <n v="3.1249999555423801E-5"/>
    <n v="3.0934370615602497E-5"/>
    <n v="-3.5017188513350499E-2"/>
    <n v="2.56893122006562"/>
  </r>
  <r>
    <n v="82"/>
    <s v="easier said than done"/>
    <s v="easier said than"/>
    <s v="done"/>
    <s v="easier said than done"/>
    <x v="0"/>
    <x v="0"/>
    <x v="7"/>
    <s v="VERB"/>
    <x v="0"/>
    <n v="3.1250012711615703E-5"/>
    <n v="2.5735834634140199E-5"/>
    <n v="-3.8427368526441699E-2"/>
    <n v="3.3623580330023999"/>
  </r>
  <r>
    <n v="83"/>
    <s v="stick out like a sore thumb"/>
    <s v="stick out like a sore"/>
    <s v="thumb"/>
    <s v="stick out like a sore thumb"/>
    <x v="1"/>
    <x v="3"/>
    <x v="1"/>
    <s v="NOUN"/>
    <x v="0"/>
    <n v="3.1250002526739201E-5"/>
    <n v="2.8439828534692501E-5"/>
    <n v="-6.6419393401175803E-3"/>
    <n v="3.6762419077992199"/>
  </r>
  <r>
    <n v="84"/>
    <s v="between the devil and the deep blue sea"/>
    <s v="between the devil and the deep blue"/>
    <s v="sea"/>
    <s v="between the devil and the deep blue sea"/>
    <x v="3"/>
    <x v="1"/>
    <x v="1"/>
    <s v="NOUN"/>
    <x v="0"/>
    <n v="3.1250002596575801E-5"/>
    <n v="2.46079946618148E-5"/>
    <n v="1.71973758547849E-2"/>
    <n v="2.9479530924956499"/>
  </r>
  <r>
    <n v="85"/>
    <s v="in one ear and out the other"/>
    <s v="in one ear and out the"/>
    <s v="other"/>
    <s v="in one ear and out the other"/>
    <x v="4"/>
    <x v="3"/>
    <x v="6"/>
    <s v="ADJ"/>
    <x v="0"/>
    <n v="3.1250015322999902E-5"/>
    <n v="3.0399101383638499E-5"/>
    <n v="7.6762584277254497E-3"/>
    <n v="3.6249404225933701"/>
  </r>
  <r>
    <n v="86"/>
    <s v="keep your fingers crossed"/>
    <s v="keep your fingers"/>
    <s v="crossed"/>
    <s v="keep your fingers crossed"/>
    <x v="0"/>
    <x v="2"/>
    <x v="7"/>
    <s v="VERB"/>
    <x v="0"/>
    <n v="3.12500002782732E-5"/>
    <n v="6.78582335120393E-6"/>
    <n v="-4.3837059039399898E-2"/>
    <n v="3.3300171311443298"/>
  </r>
  <r>
    <n v="87"/>
    <s v="knock someone's socks off"/>
    <s v="knock someone's socks"/>
    <s v="off"/>
    <s v="knock someone's socks off"/>
    <x v="0"/>
    <x v="1"/>
    <x v="2"/>
    <s v="ADP"/>
    <x v="0"/>
    <n v="3.1250011047747001E-5"/>
    <n v="3.0247498577565999E-5"/>
    <n v="6.7151045410867001E-3"/>
    <n v="3.73204523901124"/>
  </r>
  <r>
    <n v="88"/>
    <s v="you can't have your cake and eat it"/>
    <s v="you can't have your cake and eat"/>
    <s v="it"/>
    <s v="you can't have your cake and eat it"/>
    <x v="3"/>
    <x v="4"/>
    <x v="3"/>
    <s v="PRON"/>
    <x v="0"/>
    <n v="3.1250002117651297E-5"/>
    <n v="2.9922205275023998E-5"/>
    <n v="-4.6195985812147403E-3"/>
    <n v="3.6350003487012601"/>
  </r>
  <r>
    <n v="89"/>
    <s v="the icing on the cake"/>
    <s v="the icing on the"/>
    <s v="cake"/>
    <s v="the icing on the cake"/>
    <x v="2"/>
    <x v="0"/>
    <x v="1"/>
    <s v="NOUN"/>
    <x v="0"/>
    <n v="3.1250004333386698E-5"/>
    <n v="3.08209804279887E-5"/>
    <n v="-1.6237802533908E-2"/>
    <n v="2.49324365877133"/>
  </r>
  <r>
    <n v="90"/>
    <s v="no two ways about it"/>
    <s v="no two ways about"/>
    <s v="it"/>
    <s v="no two ways about it"/>
    <x v="2"/>
    <x v="4"/>
    <x v="3"/>
    <s v="PRON"/>
    <x v="0"/>
    <n v="3.1249996170609101E-5"/>
    <n v="2.64551018372145E-5"/>
    <n v="-1.2261817948864199E-3"/>
    <n v="3.66913925699511"/>
  </r>
  <r>
    <n v="91"/>
    <s v="within an ace of"/>
    <s v="within an ace"/>
    <s v="of"/>
    <s v="within an ace of"/>
    <x v="0"/>
    <x v="4"/>
    <x v="2"/>
    <s v="ADP"/>
    <x v="0"/>
    <n v="3.1249997714461102E-5"/>
    <n v="6.80926643216511E-6"/>
    <n v="1.9020045781957099E-2"/>
    <n v="3.6988751012782002"/>
  </r>
  <r>
    <n v="92"/>
    <s v="through thick and thin"/>
    <s v="through thick and"/>
    <s v="thin"/>
    <s v="through thick and thin"/>
    <x v="0"/>
    <x v="0"/>
    <x v="6"/>
    <s v="ADJ"/>
    <x v="0"/>
    <n v="3.12499999971509E-5"/>
    <n v="2.9105372518518999E-5"/>
    <n v="-1.9719755666443399E-2"/>
    <n v="3.66975929366486"/>
  </r>
  <r>
    <n v="93"/>
    <s v="take it or leave it"/>
    <s v="take it or leave"/>
    <s v="it"/>
    <s v="take it or leave it"/>
    <x v="2"/>
    <x v="4"/>
    <x v="3"/>
    <s v="PRON"/>
    <x v="0"/>
    <n v="3.1250005770696198E-5"/>
    <n v="2.8313745410808699E-5"/>
    <n v="-2.1025317273668499E-2"/>
    <n v="3.5439891666846699"/>
  </r>
  <r>
    <n v="94"/>
    <s v="till the cows come home"/>
    <s v="till the cows come"/>
    <s v="home"/>
    <s v="till the cows come home"/>
    <x v="2"/>
    <x v="0"/>
    <x v="0"/>
    <s v="ADV"/>
    <x v="0"/>
    <n v="3.1250010395114098E-5"/>
    <n v="2.90730049744625E-5"/>
    <n v="3.5337780462825199E-3"/>
    <n v="3.6247026560572699"/>
  </r>
  <r>
    <n v="95"/>
    <s v="get in on the ground floor"/>
    <s v="get in on the ground"/>
    <s v="floor"/>
    <s v="get in on the ground floor"/>
    <x v="1"/>
    <x v="3"/>
    <x v="1"/>
    <s v="NOUN"/>
    <x v="0"/>
    <n v="3.1249999579601801E-5"/>
    <n v="2.70342559782414E-5"/>
    <n v="-2.1887495859793601E-2"/>
    <n v="3.7949122678776099"/>
  </r>
  <r>
    <n v="96"/>
    <s v="kill two birds with one stone"/>
    <s v="kill two birds with one"/>
    <s v="stone"/>
    <s v="kill two birds with one stone"/>
    <x v="1"/>
    <x v="3"/>
    <x v="1"/>
    <s v="NOUN"/>
    <x v="0"/>
    <n v="3.1249999335073797E-5"/>
    <n v="2.9916710299165801E-5"/>
    <n v="4.3300453544006202E-3"/>
    <n v="3.6675488971968"/>
  </r>
  <r>
    <n v="97"/>
    <s v="put your oar in"/>
    <s v="put your oar"/>
    <s v="in"/>
    <s v="put your oar in"/>
    <x v="0"/>
    <x v="4"/>
    <x v="2"/>
    <s v="ADP"/>
    <x v="0"/>
    <n v="3.1250013962143501E-5"/>
    <n v="2.5795321844896501E-5"/>
    <n v="-1.0033396890491899E-3"/>
    <n v="3.80452305468024"/>
  </r>
  <r>
    <n v="98"/>
    <s v="under lock and key"/>
    <s v="under lock and"/>
    <s v="key"/>
    <s v="under lock and key"/>
    <x v="0"/>
    <x v="1"/>
    <x v="6"/>
    <s v="ADJ"/>
    <x v="0"/>
    <n v="3.1250007711043901E-5"/>
    <n v="2.86432443904643E-5"/>
    <n v="1.523213494022E-2"/>
    <n v="3.5436343918316502"/>
  </r>
  <r>
    <n v="99"/>
    <s v="keep the wolf from the door"/>
    <s v="keep the wolf from the"/>
    <s v="door"/>
    <s v="keep the wolf from the door"/>
    <x v="1"/>
    <x v="0"/>
    <x v="1"/>
    <s v="NOUN"/>
    <x v="0"/>
    <n v="3.1249999863057297E-5"/>
    <n v="2.8243424864219798E-5"/>
    <n v="6.1589095967633503E-3"/>
    <n v="2.6011856501239201"/>
  </r>
  <r>
    <n v="100"/>
    <s v="hit the nail on the head"/>
    <s v="hit the nail on the"/>
    <s v="head"/>
    <s v="hit the nail on the head"/>
    <x v="1"/>
    <x v="0"/>
    <x v="1"/>
    <s v="NOUN"/>
    <x v="0"/>
    <n v="3.12500023021557E-5"/>
    <n v="2.9829824313122001E-5"/>
    <n v="-1.0046145930004901E-2"/>
    <n v="3.7027170728727299"/>
  </r>
  <r>
    <n v="101"/>
    <s v="blood is thicker than water"/>
    <s v="blood is thicker than"/>
    <s v="water"/>
    <s v="blood is thicker than water"/>
    <x v="2"/>
    <x v="3"/>
    <x v="1"/>
    <s v="NOUN"/>
    <x v="0"/>
    <n v="3.1249998415644097E-5"/>
    <n v="1.3524093374164999E-5"/>
    <n v="-1.27981132637202E-2"/>
    <n v="3.0156523226227701"/>
  </r>
  <r>
    <n v="102"/>
    <s v="in the lap of luxury"/>
    <s v="in the lap of"/>
    <s v="luxury"/>
    <s v="in the lap of luxury"/>
    <x v="2"/>
    <x v="5"/>
    <x v="1"/>
    <s v="NOUN"/>
    <x v="0"/>
    <n v="3.1250012342551E-5"/>
    <n v="2.9351374820164798E-5"/>
    <n v="-1.10909899766795E-2"/>
    <n v="3.3167442093325099"/>
  </r>
  <r>
    <n v="103"/>
    <s v="in black and white"/>
    <s v="in black and"/>
    <s v="white"/>
    <s v="in black and white"/>
    <x v="0"/>
    <x v="3"/>
    <x v="6"/>
    <s v="ADJ"/>
    <x v="0"/>
    <n v="3.12499935894616E-5"/>
    <n v="2.1376815484447199E-5"/>
    <n v="-4.5915251079122702E-3"/>
    <n v="3.3196855443666502"/>
  </r>
  <r>
    <n v="104"/>
    <s v="come rain or shine"/>
    <s v="come rain or"/>
    <s v="shine"/>
    <s v="come rain or shine"/>
    <x v="0"/>
    <x v="3"/>
    <x v="7"/>
    <s v="VERB"/>
    <x v="0"/>
    <n v="3.1250001038507097E-5"/>
    <n v="3.1105387136584401E-5"/>
    <n v="2.9746379197732101E-2"/>
    <n v="2.9119387126924399"/>
  </r>
  <r>
    <n v="105"/>
    <s v="by no stretch of the imagination"/>
    <s v="by no stretch of the"/>
    <s v="imagination"/>
    <s v="by no stretch of the imagination"/>
    <x v="1"/>
    <x v="9"/>
    <x v="1"/>
    <s v="NOUN"/>
    <x v="0"/>
    <n v="3.1250004102836798E-5"/>
    <n v="2.77405818398543E-5"/>
    <n v="1.8609286288047099E-2"/>
    <n v="2.81294985245898"/>
  </r>
  <r>
    <n v="106"/>
    <s v="stand up and be counted"/>
    <s v="stand up and be"/>
    <s v="counted"/>
    <s v="stand up and be counted"/>
    <x v="2"/>
    <x v="2"/>
    <x v="7"/>
    <s v="VERB"/>
    <x v="0"/>
    <n v="3.1249998205069301E-5"/>
    <n v="1.62594346745341E-5"/>
    <n v="-1.500709128468E-2"/>
    <n v="3.3506179809225598"/>
  </r>
  <r>
    <n v="107"/>
    <s v="look on the bright side"/>
    <s v="look on the bright"/>
    <s v="side"/>
    <s v="look on the bright side"/>
    <x v="2"/>
    <x v="0"/>
    <x v="1"/>
    <s v="NOUN"/>
    <x v="0"/>
    <n v="3.12499916621596E-5"/>
    <n v="2.8013242409886598E-5"/>
    <n v="-2.7436699529587799E-2"/>
    <n v="3.7885899299013102"/>
  </r>
  <r>
    <n v="108"/>
    <s v="fall on stony ground"/>
    <s v="fall on stony"/>
    <s v="ground"/>
    <s v="fall on stony ground"/>
    <x v="0"/>
    <x v="5"/>
    <x v="1"/>
    <s v="NOUN"/>
    <x v="0"/>
    <n v="3.1250006249835597E-5"/>
    <n v="2.3946252228799598E-6"/>
    <n v="2.2451691278092701E-2"/>
    <n v="2.7321108885343399"/>
  </r>
  <r>
    <n v="109"/>
    <s v="when the chips are down"/>
    <s v="when the chips are"/>
    <s v="down"/>
    <s v="when the chips are down"/>
    <x v="2"/>
    <x v="0"/>
    <x v="0"/>
    <s v="ADV"/>
    <x v="0"/>
    <n v="3.1250017918303398E-5"/>
    <n v="2.8686992191902399E-5"/>
    <n v="-5.2627358911632102E-3"/>
    <n v="3.6454702011774001"/>
  </r>
  <r>
    <n v="110"/>
    <s v="come hell or high water"/>
    <s v="come hell or high"/>
    <s v="water"/>
    <s v="come hell or high water"/>
    <x v="2"/>
    <x v="3"/>
    <x v="1"/>
    <s v="NOUN"/>
    <x v="0"/>
    <n v="3.1250010285275202E-5"/>
    <n v="2.6542703888333698E-5"/>
    <n v="-3.5696954663396903E-2"/>
    <n v="3.4571818288261902"/>
  </r>
  <r>
    <n v="111"/>
    <s v="bite off more than you can chew"/>
    <s v="bite off more than you can"/>
    <s v="chew"/>
    <s v="bite off more than you can chew"/>
    <x v="4"/>
    <x v="0"/>
    <x v="7"/>
    <s v="VERB"/>
    <x v="0"/>
    <n v="3.1250008088511998E-5"/>
    <n v="3.1130865577496202E-5"/>
    <n v="3.9611797989969902E-2"/>
    <n v="2.1658288168533901"/>
  </r>
  <r>
    <n v="112"/>
    <s v="have no truck with"/>
    <s v="have no truck"/>
    <s v="with"/>
    <s v="have no truck with"/>
    <x v="0"/>
    <x v="0"/>
    <x v="2"/>
    <s v="ADP"/>
    <x v="0"/>
    <n v="3.1250009242997102E-5"/>
    <n v="1.6616625025234099E-5"/>
    <n v="-1.2067719787852401E-2"/>
    <n v="3.7496087194251899"/>
  </r>
  <r>
    <n v="113"/>
    <s v="throw down the gauntlet"/>
    <s v="throw down the"/>
    <s v="gauntlet"/>
    <s v="throw down the gauntlet"/>
    <x v="0"/>
    <x v="6"/>
    <x v="1"/>
    <s v="NOUN"/>
    <x v="0"/>
    <n v="3.1249999954401303E-5"/>
    <n v="3.1046853481433599E-5"/>
    <n v="4.6274785526918497E-3"/>
    <n v="2.5580523048500599"/>
  </r>
  <r>
    <n v="114"/>
    <s v="run something up the flagpole"/>
    <s v="run something up the"/>
    <s v="flagpole"/>
    <s v="run something up the flagpole"/>
    <x v="2"/>
    <x v="6"/>
    <x v="1"/>
    <s v="NOUN"/>
    <x v="0"/>
    <n v="3.12500003581945E-5"/>
    <n v="2.2046042544831399E-5"/>
    <n v="-2.13294002947126E-2"/>
    <n v="3.5886393981070501"/>
  </r>
  <r>
    <n v="115"/>
    <s v="rake over old coals"/>
    <s v="rake over old"/>
    <s v="coals"/>
    <s v="rake over old coals"/>
    <x v="0"/>
    <x v="3"/>
    <x v="1"/>
    <s v="NOUN"/>
    <x v="0"/>
    <n v="3.1250004901258497E-5"/>
    <n v="3.1178917407202999E-5"/>
    <n v="-3.3607923384937399E-2"/>
    <n v="3.1034396016958299"/>
  </r>
  <r>
    <n v="116"/>
    <s v="make a mountain out of a molehill"/>
    <s v="make a mountain out of a"/>
    <s v="molehill"/>
    <s v="make a mountain out of a molehill"/>
    <x v="4"/>
    <x v="6"/>
    <x v="1"/>
    <s v="NOUN"/>
    <x v="0"/>
    <n v="3.1250004898214003E-5"/>
    <n v="2.3983579270685798E-5"/>
    <n v="-4.0943854501808999E-2"/>
    <n v="3.2471332779598598"/>
  </r>
  <r>
    <n v="117"/>
    <s v="the rest is history"/>
    <s v="the rest is"/>
    <s v="history"/>
    <s v="the rest is history"/>
    <x v="0"/>
    <x v="2"/>
    <x v="1"/>
    <s v="NOUN"/>
    <x v="0"/>
    <n v="3.1250000140277398E-5"/>
    <n v="7.5215365364222397E-7"/>
    <n v="-4.16894178442106E-3"/>
    <n v="3.42494798161662"/>
  </r>
  <r>
    <n v="118"/>
    <s v="leave no stone unturned"/>
    <s v="leave no stone"/>
    <s v="unturned"/>
    <s v="leave no stone unturned"/>
    <x v="0"/>
    <x v="6"/>
    <x v="6"/>
    <s v="ADJ"/>
    <x v="0"/>
    <n v="3.1250002397999497E-5"/>
    <n v="3.1049259660468502E-5"/>
    <n v="-6.4715801730521596E-3"/>
    <n v="1.46264433413574"/>
  </r>
  <r>
    <n v="119"/>
    <s v="at sixes and sevens"/>
    <s v="at sixes and"/>
    <s v="sevens"/>
    <s v="at sixes and sevens"/>
    <x v="0"/>
    <x v="5"/>
    <x v="7"/>
    <s v="VERB"/>
    <x v="0"/>
    <n v="3.1250001821009903E-5"/>
    <n v="3.1243250005398001E-5"/>
    <n v="-1.5228320556275299E-3"/>
    <n v="3.2132205533310101"/>
  </r>
  <r>
    <n v="120"/>
    <s v="put a damper on"/>
    <s v="put a damper"/>
    <s v="on"/>
    <s v="put a damper on"/>
    <x v="0"/>
    <x v="4"/>
    <x v="2"/>
    <s v="ADP"/>
    <x v="0"/>
    <n v="3.1249999713853399E-5"/>
    <n v="2.7707310271142699E-5"/>
    <n v="-1.06155421772768E-2"/>
    <n v="3.70601368059685"/>
  </r>
  <r>
    <n v="121"/>
    <s v="throw cold water on"/>
    <s v="throw cold water"/>
    <s v="on"/>
    <s v="throw cold water on"/>
    <x v="0"/>
    <x v="4"/>
    <x v="2"/>
    <s v="ADP"/>
    <x v="0"/>
    <n v="3.12499965025448E-5"/>
    <n v="1.1153981964663701E-5"/>
    <n v="-4.8629309122505404E-3"/>
    <n v="3.83846196415523"/>
  </r>
  <r>
    <n v="122"/>
    <s v="there's no such thing as a free lunch"/>
    <s v="there's no such thing as a free"/>
    <s v="lunch"/>
    <s v="there's no such thing as a free lunch"/>
    <x v="3"/>
    <x v="3"/>
    <x v="1"/>
    <s v="NOUN"/>
    <x v="0"/>
    <n v="3.1250004361057299E-5"/>
    <n v="3.06042446326846E-5"/>
    <n v="-2.7698300207632E-2"/>
    <n v="2.8708816366305898"/>
  </r>
  <r>
    <n v="123"/>
    <s v="out of thin air"/>
    <s v="out of thin"/>
    <s v="air"/>
    <s v="out of thin air"/>
    <x v="0"/>
    <x v="1"/>
    <x v="1"/>
    <s v="NOUN"/>
    <x v="0"/>
    <n v="3.1250004399358299E-5"/>
    <n v="2.8600884304494001E-5"/>
    <n v="-5.0496287859402803E-3"/>
    <n v="3.3073643310456"/>
  </r>
  <r>
    <n v="124"/>
    <s v="make a clean break"/>
    <s v="make a clean"/>
    <s v="break"/>
    <s v="make a clean sweep of something"/>
    <x v="0"/>
    <x v="3"/>
    <x v="1"/>
    <s v="PRON"/>
    <x v="1"/>
    <n v="3.1250006020397601E-5"/>
    <n v="3.9746847722904201E-6"/>
    <n v="-2.33267632327454E-2"/>
    <n v="3.5100369331663299"/>
  </r>
  <r>
    <n v="125"/>
    <s v="when all is said and done"/>
    <s v="when all is said and"/>
    <s v="done"/>
    <s v="when all is said and done"/>
    <x v="1"/>
    <x v="0"/>
    <x v="7"/>
    <s v="VERB"/>
    <x v="0"/>
    <n v="3.1250014368105E-5"/>
    <n v="2.8750997126387499E-5"/>
    <n v="-3.3316276050911101E-2"/>
    <n v="3.5396271762692599"/>
  </r>
  <r>
    <n v="126"/>
    <s v="back to the drawing board"/>
    <s v="back to the drawing"/>
    <s v="board"/>
    <s v="back to the drawing board"/>
    <x v="2"/>
    <x v="3"/>
    <x v="1"/>
    <s v="NOUN"/>
    <x v="0"/>
    <n v="3.1250003112270398E-5"/>
    <n v="2.42355871746499E-5"/>
    <n v="1.73493052112405E-2"/>
    <n v="3.7309777097125898"/>
  </r>
  <r>
    <n v="127"/>
    <s v="play fast and loose"/>
    <s v="play fast and"/>
    <s v="loose"/>
    <s v="play fast and loose"/>
    <x v="0"/>
    <x v="3"/>
    <x v="6"/>
    <s v="ADJ"/>
    <x v="0"/>
    <n v="3.1250001179000698E-5"/>
    <n v="1.0727959877694601E-5"/>
    <n v="2.12199316021521E-3"/>
    <n v="3.31768324035317"/>
  </r>
  <r>
    <n v="128"/>
    <s v="draw the short straw"/>
    <s v="draw the short"/>
    <s v="straw"/>
    <s v="draw the short straw"/>
    <x v="0"/>
    <x v="3"/>
    <x v="1"/>
    <s v="NOUN"/>
    <x v="0"/>
    <n v="3.1250000313105398E-5"/>
    <n v="3.1244762321428497E-5"/>
    <n v="1.307718362008E-2"/>
    <n v="3.0290790092068498"/>
  </r>
  <r>
    <n v="129"/>
    <s v="make short work of"/>
    <s v="make short work"/>
    <s v="of"/>
    <s v="make short work of"/>
    <x v="0"/>
    <x v="4"/>
    <x v="2"/>
    <s v="ADP"/>
    <x v="0"/>
    <n v="3.1250003528604601E-5"/>
    <n v="1.1432654395875101E-5"/>
    <n v="-2.0988946813671899E-2"/>
    <n v="3.62724810292602"/>
  </r>
  <r>
    <n v="130"/>
    <s v="pull a rabbit out of a hat"/>
    <s v="pull a rabbit out of a"/>
    <s v="hat"/>
    <s v="pull a rabbit out of a hat"/>
    <x v="4"/>
    <x v="1"/>
    <x v="1"/>
    <s v="NOUN"/>
    <x v="0"/>
    <n v="3.1250002504346801E-5"/>
    <n v="2.8161443848783201E-5"/>
    <n v="1.86434949315223E-2"/>
    <n v="3.5239255118889301"/>
  </r>
  <r>
    <n v="131"/>
    <s v="wipe the slate clean"/>
    <s v="wipe the slate"/>
    <s v="clean"/>
    <s v="wipe the slate clean"/>
    <x v="0"/>
    <x v="3"/>
    <x v="6"/>
    <s v="ADJ"/>
    <x v="0"/>
    <n v="3.1250002269161002E-5"/>
    <n v="2.5634074093354901E-5"/>
    <n v="-3.4165188795775202E-2"/>
    <n v="3.8454225606863002"/>
  </r>
  <r>
    <n v="132"/>
    <s v="all things being equal"/>
    <s v="all things being"/>
    <s v="equal"/>
    <s v="all things being equal"/>
    <x v="0"/>
    <x v="3"/>
    <x v="6"/>
    <s v="ADJ"/>
    <x v="0"/>
    <n v="3.12500057618927E-5"/>
    <n v="1.9842565888515799E-5"/>
    <n v="-4.5592242617740197E-3"/>
    <n v="3.4033410197583298"/>
  </r>
  <r>
    <n v="133"/>
    <s v="nudge nudge wink wink"/>
    <s v="nudge nudge wink"/>
    <s v="wink"/>
    <s v="nudge nudge wink wink"/>
    <x v="0"/>
    <x v="0"/>
    <x v="1"/>
    <s v="NOUN"/>
    <x v="0"/>
    <n v="3.1250004016032699E-5"/>
    <n v="3.1098760638726998E-5"/>
    <n v="-3.1907382256832701E-3"/>
    <n v="2.34270502537714"/>
  </r>
  <r>
    <n v="134"/>
    <s v="set your sights on"/>
    <s v="set your sights"/>
    <s v="on"/>
    <s v="set your sights on"/>
    <x v="0"/>
    <x v="4"/>
    <x v="2"/>
    <s v="ADP"/>
    <x v="0"/>
    <n v="3.1250003752698002E-5"/>
    <n v="1.1195967394350501E-5"/>
    <n v="-1.6277889713258199E-2"/>
    <n v="3.7436607008151799"/>
  </r>
  <r>
    <n v="135"/>
    <s v="dressed to the nines"/>
    <s v="dressed to the"/>
    <s v="nines"/>
    <s v="dressed to the nines"/>
    <x v="0"/>
    <x v="3"/>
    <x v="1"/>
    <s v="NOUN"/>
    <x v="0"/>
    <n v="3.1249998021470803E-5"/>
    <n v="3.0930945650857998E-5"/>
    <n v="1.51356444541281E-2"/>
    <n v="2.50651580676826"/>
  </r>
  <r>
    <n v="136"/>
    <s v="fall off the back of a lorry"/>
    <s v="fall off the back of a"/>
    <s v="lorry"/>
    <s v="fall off the back of a truckThe phrase"/>
    <x v="4"/>
    <x v="3"/>
    <x v="1"/>
    <s v="NOUN"/>
    <x v="1"/>
    <n v="3.12500028102538E-5"/>
    <n v="7.2524000291766799E-7"/>
    <n v="2.6878213722170499E-2"/>
    <n v="3.31755210526683"/>
  </r>
  <r>
    <n v="137"/>
    <s v="flat as a pancake"/>
    <s v="flat as a"/>
    <s v="pancake"/>
    <s v="flat as a pancake"/>
    <x v="0"/>
    <x v="2"/>
    <x v="1"/>
    <s v="NOUN"/>
    <x v="0"/>
    <n v="3.1250004502147902E-5"/>
    <n v="3.1218856446260602E-5"/>
    <n v="1.05184499107338E-2"/>
    <n v="2.6135455125718101"/>
  </r>
  <r>
    <n v="138"/>
    <s v="wouldn't hurt a fly"/>
    <s v="wouldn't hurt a"/>
    <s v="fly"/>
    <s v="wouldn't hurt a fly"/>
    <x v="0"/>
    <x v="1"/>
    <x v="1"/>
    <s v="NOUN"/>
    <x v="0"/>
    <n v="3.1250007985647897E-5"/>
    <n v="1.07351426189699E-5"/>
    <n v="-3.6166039241305403E-2"/>
    <n v="3.36268087057638"/>
  </r>
  <r>
    <n v="139"/>
    <s v="see eye to eye"/>
    <s v="see eye to"/>
    <s v="eye"/>
    <s v="see eye to eye"/>
    <x v="0"/>
    <x v="1"/>
    <x v="1"/>
    <s v="NOUN"/>
    <x v="0"/>
    <n v="3.1250011620628397E-5"/>
    <n v="2.9427129510792002E-5"/>
    <n v="-5.9511279345372198E-3"/>
    <n v="3.7330290778139998"/>
  </r>
  <r>
    <n v="140"/>
    <s v="in the wink of an eye"/>
    <s v="in the wink of an"/>
    <s v="eye"/>
    <s v="in the wink of an eye"/>
    <x v="1"/>
    <x v="1"/>
    <x v="1"/>
    <s v="NOUN"/>
    <x v="0"/>
    <n v="3.12500173858263E-5"/>
    <n v="3.0737017676850998E-5"/>
    <n v="-1.3440143497234601E-2"/>
    <n v="3.8049235670673101"/>
  </r>
  <r>
    <n v="141"/>
    <s v="curiosity killed the cat"/>
    <s v="curiosity killed the"/>
    <s v="cat"/>
    <s v="curiosity killed the cat"/>
    <x v="0"/>
    <x v="1"/>
    <x v="1"/>
    <s v="NOUN"/>
    <x v="0"/>
    <n v="3.1250004655883901E-5"/>
    <n v="1.60622636884621E-5"/>
    <n v="-1.3102088149352601E-3"/>
    <n v="3.0230133626761702"/>
  </r>
  <r>
    <n v="142"/>
    <s v="no smoke without fire"/>
    <s v="no smoke without"/>
    <s v="fire"/>
    <s v="no smoke without fire"/>
    <x v="0"/>
    <x v="0"/>
    <x v="1"/>
    <s v="NOUN"/>
    <x v="0"/>
    <n v="3.1250008623447599E-5"/>
    <n v="1.8004918486347901E-5"/>
    <n v="3.72451414209251E-3"/>
    <n v="3.4796020183297802"/>
  </r>
  <r>
    <n v="143"/>
    <s v="chickens come home to roost"/>
    <s v="chickens come home to"/>
    <s v="roost"/>
    <s v="chickens come home to roost"/>
    <x v="2"/>
    <x v="3"/>
    <x v="7"/>
    <s v="VERB"/>
    <x v="0"/>
    <n v="3.1250007553089597E-5"/>
    <n v="3.0496466309561501E-5"/>
    <n v="-1.8392297622654E-2"/>
    <n v="3.0137809619939602"/>
  </r>
  <r>
    <n v="144"/>
    <s v="put words in someone's mouth"/>
    <s v="put words in someone's"/>
    <s v="mouth"/>
    <s v="put words in someone's mouth"/>
    <x v="2"/>
    <x v="3"/>
    <x v="1"/>
    <s v="NOUN"/>
    <x v="0"/>
    <n v="3.1249997851953998E-5"/>
    <n v="2.9292457738938299E-5"/>
    <n v="3.5225953158544598E-2"/>
    <n v="3.3730683706479998"/>
  </r>
  <r>
    <n v="145"/>
    <s v="put your best foot forward"/>
    <s v="put your best foot"/>
    <s v="forward"/>
    <s v="put your best foot forward"/>
    <x v="2"/>
    <x v="2"/>
    <x v="0"/>
    <s v="ADV"/>
    <x v="0"/>
    <n v="3.1250005922778802E-5"/>
    <n v="2.5939065118229999E-5"/>
    <n v="-4.7802980980193796E-3"/>
    <n v="3.8022943479089202"/>
  </r>
  <r>
    <n v="146"/>
    <s v="wither on the vine"/>
    <s v="wither on the"/>
    <s v="vine"/>
    <s v="wither on the "/>
    <x v="0"/>
    <x v="0"/>
    <x v="1"/>
    <s v="PRON"/>
    <x v="1"/>
    <n v="3.1250000919883399E-5"/>
    <n v="1.09379714219462E-7"/>
    <n v="2.8638684690747498E-2"/>
    <n v="2.3989023636612101"/>
  </r>
  <r>
    <n v="147"/>
    <s v="better late than never"/>
    <s v="better late than"/>
    <s v="never"/>
    <s v="better late than never"/>
    <x v="0"/>
    <x v="3"/>
    <x v="0"/>
    <s v="ADV"/>
    <x v="0"/>
    <n v="3.1250011111973897E-5"/>
    <n v="2.7836654698645499E-5"/>
    <n v="-2.8151419539966499E-2"/>
    <n v="3.3962993589058299"/>
  </r>
  <r>
    <n v="148"/>
    <s v="in the nick of time"/>
    <s v="in the nick of"/>
    <s v="time"/>
    <s v="in the nick of time"/>
    <x v="2"/>
    <x v="0"/>
    <x v="1"/>
    <s v="NOUN"/>
    <x v="0"/>
    <n v="3.12500143156823E-5"/>
    <n v="2.07962881427227E-5"/>
    <n v="-9.0126029272141696E-4"/>
    <n v="3.4248230931371801"/>
  </r>
  <r>
    <n v="149"/>
    <s v="put your foot down"/>
    <s v="put your foot"/>
    <s v="down"/>
    <s v="put your foot down"/>
    <x v="0"/>
    <x v="0"/>
    <x v="2"/>
    <s v="ADP"/>
    <x v="0"/>
    <n v="3.12500036219259E-5"/>
    <n v="9.4832130346293495E-6"/>
    <n v="1.6698677285086502E-2"/>
    <n v="3.6023634080147899"/>
  </r>
  <r>
    <n v="150"/>
    <s v="keep your options open"/>
    <s v="keep your options"/>
    <s v="open"/>
    <s v="keep your options open"/>
    <x v="0"/>
    <x v="0"/>
    <x v="6"/>
    <s v="ADJ"/>
    <x v="0"/>
    <n v="3.1250009195133201E-5"/>
    <n v="2.0888105196676101E-5"/>
    <n v="-1.00971142726002E-2"/>
    <n v="3.5646564742354401"/>
  </r>
  <r>
    <n v="151"/>
    <s v="plain as a pikestaff"/>
    <s v="plain as a"/>
    <s v="pikestaff"/>
    <s v="plain as a pikestaff"/>
    <x v="0"/>
    <x v="7"/>
    <x v="1"/>
    <s v="NOUN"/>
    <x v="0"/>
    <n v="3.1250000638242003E-5"/>
    <n v="2.4918418414011799E-5"/>
    <n v="2.4434155884346598E-2"/>
    <n v="3.0830576201299298"/>
  </r>
  <r>
    <n v="152"/>
    <s v="move heaven and earth"/>
    <s v="move heaven and"/>
    <s v="earth"/>
    <s v="move heaven and earth"/>
    <x v="0"/>
    <x v="3"/>
    <x v="1"/>
    <s v="NOUN"/>
    <x v="0"/>
    <n v="3.1250002304514097E-5"/>
    <n v="2.7039223705458298E-5"/>
    <n v="-2.2103396410741898E-3"/>
    <n v="3.6285371889833602"/>
  </r>
  <r>
    <n v="153"/>
    <s v="take a leaf out of someone's book"/>
    <s v="take a leaf out of someone's"/>
    <s v="book"/>
    <s v="take a leaf out of someone's book"/>
    <x v="4"/>
    <x v="0"/>
    <x v="1"/>
    <s v="NOUN"/>
    <x v="0"/>
    <n v="3.12499986766742E-5"/>
    <n v="2.7630759341744802E-5"/>
    <n v="3.1423601842703801E-3"/>
    <n v="3.4453070689853398"/>
  </r>
  <r>
    <n v="154"/>
    <s v="pull a fast one"/>
    <s v="pull a fast"/>
    <s v="one"/>
    <s v="pull a fast one"/>
    <x v="0"/>
    <x v="1"/>
    <x v="1"/>
    <s v="NOUN"/>
    <x v="0"/>
    <n v="3.1250016374075097E-5"/>
    <n v="2.9214526921873899E-5"/>
    <n v="2.61750391024335E-2"/>
    <n v="3.6267412220883699"/>
  </r>
  <r>
    <n v="155"/>
    <s v="look before you leap"/>
    <s v="look before you"/>
    <s v="leap"/>
    <s v="look before you leap"/>
    <x v="0"/>
    <x v="0"/>
    <x v="7"/>
    <s v="VERB"/>
    <x v="0"/>
    <n v="3.1249997179896502E-5"/>
    <n v="3.0507708269944001E-5"/>
    <n v="3.0778702447292899E-2"/>
    <n v="2.5229139415557502"/>
  </r>
  <r>
    <n v="156"/>
    <s v="burn the midnight oil"/>
    <s v="burn the midnight"/>
    <s v="oil"/>
    <s v="burn the midnight oil"/>
    <x v="0"/>
    <x v="1"/>
    <x v="1"/>
    <s v="NOUN"/>
    <x v="0"/>
    <n v="3.1250010380858398E-5"/>
    <n v="2.5975113182803398E-5"/>
    <n v="-1.41442284669928E-2"/>
    <n v="3.61885622221804"/>
  </r>
  <r>
    <n v="157"/>
    <s v="only time will tell"/>
    <s v="only time will"/>
    <s v="tell"/>
    <s v="only time will tell"/>
    <x v="0"/>
    <x v="0"/>
    <x v="7"/>
    <s v="VERB"/>
    <x v="0"/>
    <n v="3.1250013860921702E-5"/>
    <n v="2.5665464283997799E-5"/>
    <n v="1.1461946825122899E-2"/>
    <n v="3.4446227926290498"/>
  </r>
  <r>
    <n v="158"/>
    <s v="rest on your laurels"/>
    <s v="rest on your"/>
    <s v="laurels"/>
    <s v="rest on your laurels"/>
    <x v="0"/>
    <x v="2"/>
    <x v="1"/>
    <s v="NOUN"/>
    <x v="0"/>
    <n v="3.1249989011038598E-5"/>
    <n v="3.0086975149157301E-5"/>
    <n v="-6.3369287222485504E-3"/>
    <n v="2.44689334276128"/>
  </r>
  <r>
    <n v="159"/>
    <s v="look the other way"/>
    <s v="look the other"/>
    <s v="way"/>
    <s v="look the other way"/>
    <x v="0"/>
    <x v="1"/>
    <x v="1"/>
    <s v="NOUN"/>
    <x v="0"/>
    <n v="3.1250003339632303E-5"/>
    <n v="2.7521212601455198E-5"/>
    <n v="2.0741337345469901E-2"/>
    <n v="3.5496628500555598"/>
  </r>
  <r>
    <n v="160"/>
    <s v="stand the test of time"/>
    <s v="stand the test of"/>
    <s v="time"/>
    <s v="stand the test of time"/>
    <x v="2"/>
    <x v="0"/>
    <x v="1"/>
    <s v="NOUN"/>
    <x v="0"/>
    <n v="3.1250002232672699E-5"/>
    <n v="2.5221956285399E-5"/>
    <n v="-2.73222815994884E-2"/>
    <n v="3.4910858353663499"/>
  </r>
  <r>
    <n v="161"/>
    <s v="bark up the wrong tree"/>
    <s v="bark up the wrong"/>
    <s v="tree"/>
    <s v="bark up the wrong tree"/>
    <x v="2"/>
    <x v="0"/>
    <x v="1"/>
    <s v="NOUN"/>
    <x v="0"/>
    <n v="3.1250003899261801E-5"/>
    <n v="2.7185407678569802E-5"/>
    <n v="7.5029173388116901E-3"/>
    <n v="3.40623588534487"/>
  </r>
  <r>
    <n v="162"/>
    <s v="jack of all trades"/>
    <s v="jack of all"/>
    <s v="trades"/>
    <s v="jack of all trades"/>
    <x v="0"/>
    <x v="5"/>
    <x v="1"/>
    <s v="NOUN"/>
    <x v="0"/>
    <n v="3.1250007083705998E-5"/>
    <n v="3.1113731900382699E-5"/>
    <n v="1.9838919857292501E-2"/>
    <n v="2.8054400391420402"/>
  </r>
  <r>
    <n v="163"/>
    <s v="friends in high places"/>
    <s v="friends in high"/>
    <s v="places"/>
    <s v="friends in high places"/>
    <x v="0"/>
    <x v="5"/>
    <x v="1"/>
    <s v="NOUN"/>
    <x v="0"/>
    <n v="3.12500076396668E-5"/>
    <n v="1.8939623350980499E-5"/>
    <n v="9.5509934326969397E-3"/>
    <n v="3.4478001177885802"/>
  </r>
  <r>
    <n v="164"/>
    <s v="come up smelling of roses"/>
    <s v="come up smelling of"/>
    <s v="roses"/>
    <s v="come up smelling of roses"/>
    <x v="2"/>
    <x v="3"/>
    <x v="1"/>
    <s v="NOUN"/>
    <x v="0"/>
    <n v="3.1250006872783302E-5"/>
    <n v="3.1138804853834898E-5"/>
    <n v="2.1540604420849201E-2"/>
    <n v="2.8127614736028499"/>
  </r>
  <r>
    <n v="165"/>
    <s v="separate the wheat from the chaff"/>
    <s v="separate the wheat from the"/>
    <s v="chaff"/>
    <s v="separate the wheat from the chaff"/>
    <x v="1"/>
    <x v="3"/>
    <x v="1"/>
    <s v="NOUN"/>
    <x v="0"/>
    <n v="3.1250000378008701E-5"/>
    <n v="3.0513913279220001E-5"/>
    <n v="2.35493381203042E-2"/>
    <n v="3.00797848762241"/>
  </r>
  <r>
    <n v="166"/>
    <s v="put the cart before the horse"/>
    <s v="put the cart before the"/>
    <s v="horse"/>
    <s v="put the cart before the horse"/>
    <x v="1"/>
    <x v="3"/>
    <x v="1"/>
    <s v="NOUN"/>
    <x v="0"/>
    <n v="3.12500127655716E-5"/>
    <n v="2.9648777515573E-5"/>
    <n v="9.2406430282601093E-3"/>
    <n v="3.6650480988979899"/>
  </r>
  <r>
    <n v="167"/>
    <s v="take the wind out of someone's sails"/>
    <s v="take the wind out of someone's"/>
    <s v="sails"/>
    <s v="take the wind out of someone's sails"/>
    <x v="4"/>
    <x v="3"/>
    <x v="1"/>
    <s v="NOUN"/>
    <x v="0"/>
    <n v="3.1250001931619097E-5"/>
    <n v="3.1214890915260398E-5"/>
    <n v="1.0070778026666E-2"/>
    <n v="2.73015885773391"/>
  </r>
  <r>
    <n v="168"/>
    <s v="take the rough with the smooth"/>
    <s v="take the rough with the"/>
    <s v="smooth"/>
    <s v="take the rough with the smooth"/>
    <x v="1"/>
    <x v="5"/>
    <x v="6"/>
    <s v="ADJ"/>
    <x v="0"/>
    <n v="3.1249998609260799E-5"/>
    <n v="2.8574293446779E-5"/>
    <n v="-2.8929318218473499E-2"/>
    <n v="3.4609787749844099"/>
  </r>
  <r>
    <n v="169"/>
    <s v="you scratch my back and I'll scratch yours"/>
    <s v="you scratch my back and I'll scratch"/>
    <s v="yours"/>
    <s v="you scratch my back and I'll scratch yours"/>
    <x v="3"/>
    <x v="3"/>
    <x v="1"/>
    <s v="NOUN"/>
    <x v="0"/>
    <n v="3.1250009882896802E-5"/>
    <n v="2.7992235202069002E-5"/>
    <n v="6.5566062005881698E-3"/>
    <n v="3.7723083056851898"/>
  </r>
  <r>
    <n v="170"/>
    <s v="between a rock and a hard place"/>
    <s v="between a rock and a hard"/>
    <s v="place"/>
    <s v="between a rock and a hard place"/>
    <x v="4"/>
    <x v="3"/>
    <x v="1"/>
    <s v="NOUN"/>
    <x v="0"/>
    <n v="3.1250015566604497E-5"/>
    <n v="2.49042422941035E-5"/>
    <n v="-1.7576228295812499E-2"/>
    <n v="3.5824827561377899"/>
  </r>
  <r>
    <n v="171"/>
    <s v="every trick in the book"/>
    <s v="every trick in the"/>
    <s v="book"/>
    <s v="every trick in the book"/>
    <x v="2"/>
    <x v="0"/>
    <x v="1"/>
    <s v="NOUN"/>
    <x v="0"/>
    <n v="3.1250006106721398E-5"/>
    <n v="2.4225967197046499E-5"/>
    <n v="2.0079823790212E-2"/>
    <n v="3.4230734723470602"/>
  </r>
  <r>
    <n v="172"/>
    <s v="fly in the face of"/>
    <s v="fly in the face"/>
    <s v="of"/>
    <s v="fly in the face of"/>
    <x v="2"/>
    <x v="4"/>
    <x v="2"/>
    <s v="ADP"/>
    <x v="0"/>
    <n v="3.1250002161553198E-5"/>
    <n v="1.92265845699005E-5"/>
    <n v="-2.0978958062023802E-2"/>
    <n v="3.79981435966535"/>
  </r>
  <r>
    <n v="173"/>
    <s v="dead as a doornail"/>
    <s v="dead as a"/>
    <s v="doornail"/>
    <s v="dead as a doornail"/>
    <x v="0"/>
    <x v="6"/>
    <x v="1"/>
    <s v="NOUN"/>
    <x v="0"/>
    <n v="3.1250006847619599E-5"/>
    <n v="3.0513576302058301E-5"/>
    <n v="-1.9222478733013301E-2"/>
    <n v="2.4854125895846"/>
  </r>
  <r>
    <n v="174"/>
    <s v="to the nth degree"/>
    <s v="to the nth"/>
    <s v="degree"/>
    <s v="to the nth degree"/>
    <x v="0"/>
    <x v="5"/>
    <x v="1"/>
    <s v="NOUN"/>
    <x v="0"/>
    <n v="3.1250001833676102E-5"/>
    <n v="7.5206477398750199E-6"/>
    <n v="3.4812406501899297E-2"/>
    <n v="3.6592123452804599"/>
  </r>
  <r>
    <n v="175"/>
    <s v="from pillar to post"/>
    <s v="from pillar to"/>
    <s v="post"/>
    <s v="from pillar to post"/>
    <x v="0"/>
    <x v="0"/>
    <x v="7"/>
    <s v="VERB"/>
    <x v="0"/>
    <n v="3.1250004587219501E-5"/>
    <n v="1.54751289541922E-5"/>
    <n v="-2.3442028316208199E-2"/>
    <n v="2.8598179536741402"/>
  </r>
  <r>
    <n v="176"/>
    <s v="have your work cut out"/>
    <s v="have your work cut"/>
    <s v="out"/>
    <s v="have your work cut out"/>
    <x v="2"/>
    <x v="1"/>
    <x v="2"/>
    <s v="ADP"/>
    <x v="0"/>
    <n v="3.1250008946127599E-5"/>
    <n v="2.9999557876976299E-5"/>
    <n v="-1.7896597564346799E-2"/>
    <n v="3.7558607257137"/>
  </r>
  <r>
    <n v="177"/>
    <s v="every nook and cranny"/>
    <s v="every nook and"/>
    <s v="cranny"/>
    <s v="every nook and cranny"/>
    <x v="0"/>
    <x v="5"/>
    <x v="6"/>
    <s v="ADJ"/>
    <x v="0"/>
    <n v="3.1250000372671797E-5"/>
    <n v="3.0884150110370197E-5"/>
    <n v="-9.6477628968258903E-3"/>
    <n v="2.3248136940609898"/>
  </r>
  <r>
    <n v="178"/>
    <s v="everything but the kitchen sink"/>
    <s v="everything but the kitchen"/>
    <s v="sink"/>
    <s v="everything but the kitchen sink"/>
    <x v="2"/>
    <x v="0"/>
    <x v="1"/>
    <s v="NOUN"/>
    <x v="0"/>
    <n v="3.1250004347277801E-5"/>
    <n v="2.74873993853838E-5"/>
    <n v="1.22694954431068E-3"/>
    <n v="3.7418617439543298"/>
  </r>
  <r>
    <n v="179"/>
    <s v="too clever by half"/>
    <s v="too clever by"/>
    <s v="half"/>
    <s v="too clever by half"/>
    <x v="0"/>
    <x v="0"/>
    <x v="1"/>
    <s v="NOUN"/>
    <x v="0"/>
    <n v="3.1250016658710097E-5"/>
    <n v="2.7382926980986999E-5"/>
    <n v="-6.1168622804208496E-4"/>
    <n v="3.5968324706082"/>
  </r>
  <r>
    <n v="180"/>
    <s v="better the devil you know"/>
    <s v="better the devil you"/>
    <s v="know"/>
    <s v="better the devil you know"/>
    <x v="2"/>
    <x v="0"/>
    <x v="7"/>
    <s v="VERB"/>
    <x v="0"/>
    <n v="3.1250011334636199E-5"/>
    <n v="2.54685670029388E-5"/>
    <n v="1.17495498891173E-2"/>
    <n v="3.6610247478409201"/>
  </r>
  <r>
    <n v="181"/>
    <s v="make light work of"/>
    <s v="make light work"/>
    <s v="of"/>
    <s v="make light work of"/>
    <x v="0"/>
    <x v="4"/>
    <x v="2"/>
    <s v="ADP"/>
    <x v="0"/>
    <n v="3.1250019826090098E-5"/>
    <n v="1.11954049973224E-5"/>
    <n v="9.9037115201818793E-3"/>
    <n v="3.7977054078250498"/>
  </r>
  <r>
    <n v="182"/>
    <s v="turn over a new leaf"/>
    <s v="turn over a new"/>
    <s v="leaf"/>
    <s v="turn over a new leaf"/>
    <x v="2"/>
    <x v="0"/>
    <x v="1"/>
    <s v="NOUN"/>
    <x v="0"/>
    <n v="3.12500019893057E-5"/>
    <n v="2.6219616629974299E-5"/>
    <n v="-2.4966659745004401E-2"/>
    <n v="3.4924301403949198"/>
  </r>
  <r>
    <n v="183"/>
    <s v="public enemy number one"/>
    <s v="public enemy number"/>
    <s v="one"/>
    <s v="public enemy number one"/>
    <x v="0"/>
    <x v="1"/>
    <x v="8"/>
    <s v="NUM"/>
    <x v="0"/>
    <n v="3.1250017464519103E-5"/>
    <n v="1.61575437328486E-5"/>
    <n v="-5.6673244879412703E-3"/>
    <n v="3.8571437988551001"/>
  </r>
  <r>
    <n v="184"/>
    <s v="out of sight, out of mind"/>
    <s v="out of sight, out of"/>
    <s v="mind"/>
    <s v="out of sight, out of mind"/>
    <x v="1"/>
    <x v="0"/>
    <x v="1"/>
    <s v="NOUN"/>
    <x v="0"/>
    <n v="3.1250014023605797E-5"/>
    <n v="2.8044852486861299E-5"/>
    <n v="1.5896990497823001E-2"/>
    <n v="3.5586762473236"/>
  </r>
  <r>
    <n v="185"/>
    <s v="beggars can't be choosers"/>
    <s v="beggars can't be"/>
    <s v="choosers"/>
    <s v="beggars can't be choosers"/>
    <x v="0"/>
    <x v="6"/>
    <x v="1"/>
    <s v="NOUN"/>
    <x v="0"/>
    <n v="3.1250005768343798E-5"/>
    <n v="3.0257656182475399E-5"/>
    <n v="2.7429182085825202E-3"/>
    <n v="2.8576335377169699"/>
  </r>
  <r>
    <n v="186"/>
    <s v="keep a straight face"/>
    <s v="keep a straight"/>
    <s v="face"/>
    <s v="keep a straight face"/>
    <x v="0"/>
    <x v="0"/>
    <x v="1"/>
    <s v="NOUN"/>
    <x v="0"/>
    <n v="3.1250001608021801E-5"/>
    <n v="5.6038036701192296E-6"/>
    <n v="-3.1593474096744899E-3"/>
    <n v="3.2061837137573601"/>
  </r>
  <r>
    <n v="187"/>
    <s v="like a bat out of hell"/>
    <s v="like a bat out of"/>
    <s v="hell"/>
    <s v="like a bat out of hell"/>
    <x v="1"/>
    <x v="0"/>
    <x v="1"/>
    <s v="NOUN"/>
    <x v="0"/>
    <n v="3.1249998892247202E-5"/>
    <n v="2.2471220043445699E-5"/>
    <n v="2.7331566953145901E-2"/>
    <n v="3.58047037744908"/>
  </r>
  <r>
    <n v="188"/>
    <s v="neither fish nor fowl"/>
    <s v="neither fish nor"/>
    <s v="fowl"/>
    <s v="neither fish nor fowl"/>
    <x v="0"/>
    <x v="0"/>
    <x v="1"/>
    <s v="NOUN"/>
    <x v="0"/>
    <n v="3.1249993092969599E-5"/>
    <n v="3.1200329050898297E-5"/>
    <n v="6.1682316527829004E-3"/>
    <n v="2.97368673029285"/>
  </r>
  <r>
    <n v="189"/>
    <s v="in the blink of an eye"/>
    <s v="in the blink of an"/>
    <s v="eye"/>
    <s v="in the blink of an eye"/>
    <x v="1"/>
    <x v="1"/>
    <x v="1"/>
    <s v="NOUN"/>
    <x v="0"/>
    <n v="3.1249998501312698E-5"/>
    <n v="2.9912296869325801E-5"/>
    <n v="-8.7200370633020406E-3"/>
    <n v="3.7130156578342999"/>
  </r>
  <r>
    <n v="190"/>
    <s v="by a long shot"/>
    <s v="by a long"/>
    <s v="shot"/>
    <s v="by a long-"/>
    <x v="0"/>
    <x v="0"/>
    <x v="1"/>
    <s v="ADJ"/>
    <x v="1"/>
    <n v="3.1249998845141301E-5"/>
    <n v="1.9850173651765198E-6"/>
    <n v="-5.9260453202144299E-2"/>
    <n v="3.51837517763067"/>
  </r>
  <r>
    <n v="191"/>
    <s v="all bets are off"/>
    <s v="all bets are"/>
    <s v="off"/>
    <s v="all bets are off"/>
    <x v="0"/>
    <x v="1"/>
    <x v="0"/>
    <s v="ADV"/>
    <x v="0"/>
    <n v="3.1249996962010802E-5"/>
    <n v="2.34578298598696E-5"/>
    <n v="4.0287485140268503E-2"/>
    <n v="3.47408760935383"/>
  </r>
  <r>
    <n v="192"/>
    <s v="no time like the present"/>
    <s v="no time like the"/>
    <s v="present"/>
    <s v="no time like the present"/>
    <x v="2"/>
    <x v="2"/>
    <x v="1"/>
    <s v="NOUN"/>
    <x v="0"/>
    <n v="3.1250009037480197E-5"/>
    <n v="1.53352667248812E-5"/>
    <n v="1.7242767815453398E-2"/>
    <n v="3.32524346181158"/>
  </r>
  <r>
    <n v="193"/>
    <s v="in the fast lane"/>
    <s v="in the fast"/>
    <s v="lane"/>
    <s v="in the fastest way possible."/>
    <x v="0"/>
    <x v="0"/>
    <x v="1"/>
    <s v="ADJ"/>
    <x v="1"/>
    <n v="3.1250003628599097E-5"/>
    <n v="1.15470341251288E-5"/>
    <n v="2.9508995289972901E-5"/>
    <n v="3.9241778538704302"/>
  </r>
  <r>
    <n v="194"/>
    <s v="start off on the wrong foot"/>
    <s v="start off on the wrong"/>
    <s v="foot"/>
    <s v="start off on the wrong foot"/>
    <x v="1"/>
    <x v="0"/>
    <x v="1"/>
    <s v="NOUN"/>
    <x v="0"/>
    <n v="3.1250003524073801E-5"/>
    <n v="2.68146496269004E-5"/>
    <n v="-6.3102689299867603E-3"/>
    <n v="3.6351786360506799"/>
  </r>
  <r>
    <n v="195"/>
    <s v="throw the book at"/>
    <s v="throw the book"/>
    <s v="at"/>
    <s v="throw the book at"/>
    <x v="0"/>
    <x v="4"/>
    <x v="2"/>
    <s v="ADP"/>
    <x v="0"/>
    <n v="3.12499907817201E-5"/>
    <n v="2.10115348121861E-5"/>
    <n v="-1.9922832582995601E-2"/>
    <n v="3.89984856486014"/>
  </r>
  <r>
    <n v="196"/>
    <s v="don't hold your breath"/>
    <s v="don't hold your"/>
    <s v="breath"/>
    <s v="don't hold your breath"/>
    <x v="0"/>
    <x v="5"/>
    <x v="1"/>
    <s v="NOUN"/>
    <x v="0"/>
    <n v="3.1250001978853198E-5"/>
    <n v="2.75495606573143E-5"/>
    <n v="-5.8521214558027099E-3"/>
    <n v="3.7016139849151801"/>
  </r>
  <r>
    <n v="197"/>
    <s v="it takes two to tango"/>
    <s v="it takes two to"/>
    <s v="tango"/>
    <s v="it takes two to tango"/>
    <x v="2"/>
    <x v="3"/>
    <x v="9"/>
    <s v="PROPN"/>
    <x v="0"/>
    <n v="3.1250007546653299E-5"/>
    <n v="2.22113924009738E-5"/>
    <n v="-2.6809960243134802E-3"/>
    <n v="3.1558123149398898"/>
  </r>
  <r>
    <n v="198"/>
    <s v="add fuel to the fire"/>
    <s v="add fuel to the"/>
    <s v="fire"/>
    <s v="add fuel to the fire"/>
    <x v="2"/>
    <x v="0"/>
    <x v="1"/>
    <s v="NOUN"/>
    <x v="0"/>
    <n v="3.1250003696327397E-5"/>
    <n v="2.2142456950992601E-5"/>
    <n v="6.2898704678673303E-3"/>
    <n v="3.2854006142813201"/>
  </r>
  <r>
    <n v="199"/>
    <s v="sick as a parrot"/>
    <s v="sick as a"/>
    <s v="parrot"/>
    <s v="sick as a dog,"/>
    <x v="0"/>
    <x v="5"/>
    <x v="1"/>
    <s v="NOUN"/>
    <x v="1"/>
    <n v="3.12500037205851E-5"/>
    <n v="1.04513539279395E-6"/>
    <n v="-8.3264106869194096E-3"/>
    <n v="3.5671969782290902"/>
  </r>
  <r>
    <n v="200"/>
    <s v="by leaps and bounds"/>
    <s v="by leaps and"/>
    <s v="bounds"/>
    <s v="by leaps and bounds"/>
    <x v="0"/>
    <x v="5"/>
    <x v="1"/>
    <s v="NOUN"/>
    <x v="0"/>
    <n v="3.1250002073638001E-5"/>
    <n v="2.9062253303154799E-5"/>
    <n v="2.1229838075079499E-2"/>
    <n v="3.0803184525881"/>
  </r>
  <r>
    <n v="201"/>
    <s v="once in a blue moon"/>
    <s v="once in a blue"/>
    <s v="moon"/>
    <s v="once in a blue moon"/>
    <x v="2"/>
    <x v="0"/>
    <x v="1"/>
    <s v="NOUN"/>
    <x v="0"/>
    <n v="3.1250004174466098E-5"/>
    <n v="2.38235665535046E-5"/>
    <n v="1.88711299624841E-2"/>
    <n v="2.5112183325016502"/>
  </r>
  <r>
    <n v="202"/>
    <s v="get your teeth into"/>
    <s v="get your teeth"/>
    <s v="into"/>
    <s v="get your teeth into"/>
    <x v="0"/>
    <x v="0"/>
    <x v="2"/>
    <s v="ADP"/>
    <x v="0"/>
    <n v="3.1250001340409602E-5"/>
    <n v="4.64438446262506E-6"/>
    <n v="-1.11169055024715E-2"/>
    <n v="3.3454927134827201"/>
  </r>
  <r>
    <n v="203"/>
    <s v="throw caution to the wind"/>
    <s v="throw caution to the"/>
    <s v="wind"/>
    <s v="throw caution to the wind"/>
    <x v="2"/>
    <x v="0"/>
    <x v="1"/>
    <s v="NOUN"/>
    <x v="0"/>
    <n v="3.1249998917550197E-5"/>
    <n v="2.9174585251461601E-5"/>
    <n v="-3.45469087531569E-3"/>
    <n v="3.7058773942377901"/>
  </r>
  <r>
    <n v="204"/>
    <s v="throw your weight around"/>
    <s v="throw your weight"/>
    <s v="around"/>
    <s v="throw your weight around"/>
    <x v="0"/>
    <x v="5"/>
    <x v="2"/>
    <s v="ADP"/>
    <x v="0"/>
    <n v="3.1250011143084401E-5"/>
    <n v="1.30416716077684E-5"/>
    <n v="-3.4152132393131703E-2"/>
    <n v="3.7912956401513598"/>
  </r>
  <r>
    <n v="205"/>
    <s v="batten down the hatches"/>
    <s v="batten down the"/>
    <s v="hatches"/>
    <s v="batten down the hatches"/>
    <x v="0"/>
    <x v="2"/>
    <x v="1"/>
    <s v="NOUN"/>
    <x v="0"/>
    <n v="3.1250025910311E-5"/>
    <n v="3.01702620289163E-5"/>
    <n v="-5.4489386546947502E-3"/>
    <n v="3.7956032979407901"/>
  </r>
  <r>
    <n v="206"/>
    <s v="flog a dead horse"/>
    <s v="flog a dead"/>
    <s v="horse"/>
    <s v="flog a dead horse"/>
    <x v="0"/>
    <x v="3"/>
    <x v="1"/>
    <s v="NOUN"/>
    <x v="0"/>
    <n v="3.1249998092174703E-5"/>
    <n v="1.8381958857772999E-5"/>
    <n v="-7.9223777979535708E-3"/>
    <n v="3.39057617222067"/>
  </r>
  <r>
    <n v="207"/>
    <s v="wake up and smell the coffee"/>
    <s v="wake up and smell the"/>
    <s v="coffee"/>
    <s v="wake up and smell the coffee"/>
    <x v="1"/>
    <x v="5"/>
    <x v="1"/>
    <s v="NOUN"/>
    <x v="0"/>
    <n v="3.1250003152857303E-5"/>
    <n v="1.55627002620843E-6"/>
    <n v="1.5563980674136699E-2"/>
    <n v="3.4097554531155598"/>
  </r>
  <r>
    <n v="208"/>
    <s v="press the panic button"/>
    <s v="press the panic"/>
    <s v="button"/>
    <s v="press the panic button"/>
    <x v="0"/>
    <x v="5"/>
    <x v="1"/>
    <s v="NOUN"/>
    <x v="0"/>
    <n v="3.1249999718978701E-5"/>
    <n v="2.5691060341992401E-5"/>
    <n v="1.21987892626123E-2"/>
    <n v="3.5936260442955201"/>
  </r>
  <r>
    <n v="209"/>
    <s v="come in from the cold"/>
    <s v="come in from the"/>
    <s v="cold"/>
    <s v="come in from the cold"/>
    <x v="2"/>
    <x v="0"/>
    <x v="6"/>
    <s v="ADJ"/>
    <x v="0"/>
    <n v="3.1250008595080398E-5"/>
    <n v="9.1773082591585406E-6"/>
    <n v="2.62654212234565E-2"/>
    <n v="3.0750188354331902"/>
  </r>
  <r>
    <n v="210"/>
    <s v="dead to the world"/>
    <s v="dead to the"/>
    <s v="world"/>
    <s v="dead to the world"/>
    <x v="0"/>
    <x v="3"/>
    <x v="1"/>
    <s v="NOUN"/>
    <x v="0"/>
    <n v="3.1250007067752898E-5"/>
    <n v="1.9947202022864899E-5"/>
    <n v="5.79886922051287E-3"/>
    <n v="3.2241999438173501"/>
  </r>
  <r>
    <n v="211"/>
    <s v="bite someone's head off"/>
    <s v="bite someone's head"/>
    <s v="off"/>
    <s v="bite someone's head off"/>
    <x v="0"/>
    <x v="1"/>
    <x v="2"/>
    <s v="ADP"/>
    <x v="0"/>
    <n v="3.12499969858441E-5"/>
    <n v="2.7563276781989401E-5"/>
    <n v="-2.02634536408473E-2"/>
    <n v="3.70938525679674"/>
  </r>
  <r>
    <n v="212"/>
    <s v="think outside the box"/>
    <s v="think outside the"/>
    <s v="box"/>
    <s v="think outside the box"/>
    <x v="0"/>
    <x v="1"/>
    <x v="1"/>
    <s v="NOUN"/>
    <x v="0"/>
    <n v="3.12500127170305E-5"/>
    <n v="1.34051795870574E-5"/>
    <n v="5.4602029484125E-2"/>
    <n v="3.0361682555022198"/>
  </r>
  <r>
    <n v="213"/>
    <s v="burn the candle at both ends"/>
    <s v="burn the candle at both"/>
    <s v="ends"/>
    <s v="burn the candle at both ends"/>
    <x v="1"/>
    <x v="0"/>
    <x v="1"/>
    <s v="NOUN"/>
    <x v="0"/>
    <n v="3.12500024519129E-5"/>
    <n v="2.9820688908890301E-5"/>
    <n v="9.8075153958196992E-3"/>
    <n v="3.7293587142765099"/>
  </r>
  <r>
    <n v="214"/>
    <s v="cut the Gordian knot"/>
    <s v="cut the Gordian"/>
    <s v="knot"/>
    <s v="cut the Gordian knot"/>
    <x v="0"/>
    <x v="0"/>
    <x v="1"/>
    <s v="NOUN"/>
    <x v="0"/>
    <n v="3.12500059987438E-5"/>
    <n v="3.03592392631095E-5"/>
    <n v="-2.2582527145518599E-2"/>
    <n v="3.2625039304159902"/>
  </r>
  <r>
    <n v="215"/>
    <s v="leave someone in the lurch"/>
    <s v="leave someone in the"/>
    <s v="lurch"/>
    <s v="leave someone in the lurch"/>
    <x v="2"/>
    <x v="3"/>
    <x v="1"/>
    <s v="NOUN"/>
    <x v="0"/>
    <n v="3.1250011292460803E-5"/>
    <n v="3.11929332908059E-5"/>
    <n v="4.4891489107072797E-3"/>
    <n v="2.7258527758342099"/>
  </r>
  <r>
    <n v="216"/>
    <s v="throw good money after bad"/>
    <s v="throw good money after"/>
    <s v="bad"/>
    <s v="throw good money after bad"/>
    <x v="2"/>
    <x v="1"/>
    <x v="0"/>
    <s v="ADV"/>
    <x v="0"/>
    <n v="3.12500053410823E-5"/>
    <n v="2.9319887647818599E-5"/>
    <n v="-2.16834200787232E-2"/>
    <n v="3.6685880290948401"/>
  </r>
  <r>
    <n v="217"/>
    <s v="you can't teach an old dog new tricks"/>
    <s v="you can't teach an old dog new"/>
    <s v="tricks"/>
    <s v="you can't teach an old dog new tricks"/>
    <x v="3"/>
    <x v="5"/>
    <x v="1"/>
    <s v="NOUN"/>
    <x v="0"/>
    <n v="3.1249992379816403E-5"/>
    <n v="3.1081921757328101E-5"/>
    <n v="5.3711168560809597E-2"/>
    <n v="3.2031919569432499"/>
  </r>
  <r>
    <n v="218"/>
    <s v="pass the time of day"/>
    <s v="pass the time of"/>
    <s v="day"/>
    <s v="pass the time of day"/>
    <x v="2"/>
    <x v="1"/>
    <x v="1"/>
    <s v="NOUN"/>
    <x v="0"/>
    <n v="3.1249991600287597E-5"/>
    <n v="1.6898926795186501E-5"/>
    <n v="-1.46952609739514E-3"/>
    <n v="3.2944870965838802"/>
  </r>
  <r>
    <n v="219"/>
    <s v="away with the fairies"/>
    <s v="away with the"/>
    <s v="fairies"/>
    <s v="away with the old and in with the"/>
    <x v="0"/>
    <x v="2"/>
    <x v="1"/>
    <s v="PRON"/>
    <x v="1"/>
    <n v="3.12499978442865E-5"/>
    <n v="2.9062211385746601E-5"/>
    <n v="8.4348933050506503E-3"/>
    <n v="3.9316606387075099"/>
  </r>
  <r>
    <n v="220"/>
    <s v="prick up your ears"/>
    <s v="prick up your"/>
    <s v="ears"/>
    <s v="prick up your ears"/>
    <x v="0"/>
    <x v="0"/>
    <x v="1"/>
    <s v="NOUN"/>
    <x v="0"/>
    <n v="3.1250007981084598E-5"/>
    <n v="2.5110622233671301E-5"/>
    <n v="-2.4613022529469501E-2"/>
    <n v="3.5837717482346201"/>
  </r>
  <r>
    <n v="221"/>
    <s v="give someone a bloody nose"/>
    <s v="give someone a bloody"/>
    <s v="nose"/>
    <s v="give someone a bloody nose"/>
    <x v="2"/>
    <x v="0"/>
    <x v="1"/>
    <s v="NOUN"/>
    <x v="0"/>
    <n v="3.12500033024626E-5"/>
    <n v="2.58501323802251E-5"/>
    <n v="-1.2385461900841201E-2"/>
    <n v="3.4146085367179002"/>
  </r>
  <r>
    <n v="222"/>
    <s v="cast pearls before swine"/>
    <s v="cast pearls before"/>
    <s v="swine"/>
    <s v="cast pearls before swine"/>
    <x v="0"/>
    <x v="3"/>
    <x v="9"/>
    <s v="PROPN"/>
    <x v="0"/>
    <n v="3.12500081487109E-5"/>
    <n v="3.0569668890834002E-5"/>
    <n v="-1.7284214282933599E-2"/>
    <n v="3.4549523232561201"/>
  </r>
  <r>
    <n v="223"/>
    <s v="rub someone the wrong way"/>
    <s v="rub someone the wrong"/>
    <s v="way"/>
    <s v="rub someone the wrong way"/>
    <x v="2"/>
    <x v="1"/>
    <x v="1"/>
    <s v="NOUN"/>
    <x v="0"/>
    <n v="3.1250002979218903E-5"/>
    <n v="3.1046753955624503E-5"/>
    <n v="-1.23065962282282E-2"/>
    <n v="3.45985060500582"/>
  </r>
  <r>
    <n v="224"/>
    <s v="have a mountain to climb"/>
    <s v="have a mountain to"/>
    <s v="climb"/>
    <s v="have a mountain to climb"/>
    <x v="2"/>
    <x v="3"/>
    <x v="7"/>
    <s v="VERB"/>
    <x v="0"/>
    <n v="3.12499936587125E-5"/>
    <n v="3.1006674146838397E-5"/>
    <n v="6.2055825974525096E-3"/>
    <n v="1.6218692099410601"/>
  </r>
  <r>
    <n v="225"/>
    <s v="put the kibosh on"/>
    <s v="put the kibosh"/>
    <s v="on"/>
    <s v="put the kibosh on"/>
    <x v="0"/>
    <x v="4"/>
    <x v="2"/>
    <s v="ADP"/>
    <x v="0"/>
    <n v="3.1250013596701301E-5"/>
    <n v="2.1354847784236001E-5"/>
    <n v="-2.2572767226275599E-2"/>
    <n v="3.7540070738676099"/>
  </r>
  <r>
    <n v="226"/>
    <s v="what goes around comes around"/>
    <s v="what goes around comes"/>
    <s v="around"/>
    <s v="what goes around comes around"/>
    <x v="2"/>
    <x v="5"/>
    <x v="0"/>
    <s v="ADV"/>
    <x v="0"/>
    <n v="3.1250017411069799E-5"/>
    <n v="2.67222842711786E-5"/>
    <n v="7.53624227935034E-3"/>
    <n v="3.6542452948771902"/>
  </r>
  <r>
    <n v="227"/>
    <s v="by the seat of your pants"/>
    <s v="by the seat of your"/>
    <s v="pants"/>
    <s v="by the seat of your pants"/>
    <x v="1"/>
    <x v="3"/>
    <x v="1"/>
    <s v="NOUN"/>
    <x v="0"/>
    <n v="3.12500035634831E-5"/>
    <n v="3.1071610225988299E-5"/>
    <n v="-2.54732313874797E-2"/>
    <n v="3.2870903889257299"/>
  </r>
  <r>
    <n v="228"/>
    <s v="never the twain shall meet"/>
    <s v="never the twain shall"/>
    <s v="meet"/>
    <s v="never the twain shall meet"/>
    <x v="2"/>
    <x v="0"/>
    <x v="7"/>
    <s v="VERB"/>
    <x v="0"/>
    <n v="3.1250004385207103E-5"/>
    <n v="2.5047892057242699E-5"/>
    <n v="-1.34532089620229E-2"/>
    <n v="3.5659355892009001"/>
  </r>
  <r>
    <n v="229"/>
    <s v="once bitten, twice shy"/>
    <s v="once bitten, twice"/>
    <s v="shy"/>
    <s v="once bitten, twice shy"/>
    <x v="0"/>
    <x v="1"/>
    <x v="6"/>
    <s v="ADJ"/>
    <x v="0"/>
    <n v="3.1250000619642298E-5"/>
    <n v="3.00987307949431E-5"/>
    <n v="1.6099059262515401E-2"/>
    <n v="3.31171995180696"/>
  </r>
  <r>
    <n v="230"/>
    <s v="the buck stops here"/>
    <s v="the buck stops"/>
    <s v="here"/>
    <s v="the buck stops here"/>
    <x v="0"/>
    <x v="0"/>
    <x v="0"/>
    <s v="ADV"/>
    <x v="0"/>
    <n v="3.1250004655691903E-5"/>
    <n v="1.00976719301013E-5"/>
    <n v="2.90072141015098E-2"/>
    <n v="3.5024241907565798"/>
  </r>
  <r>
    <n v="231"/>
    <s v="two heads are better than one"/>
    <s v="two heads are better than"/>
    <s v="one"/>
    <s v="two heads are better than one"/>
    <x v="1"/>
    <x v="1"/>
    <x v="8"/>
    <s v="NUM"/>
    <x v="0"/>
    <n v="3.1250012299775701E-5"/>
    <n v="2.3112962642750799E-5"/>
    <n v="1.6882449067033099E-2"/>
    <n v="3.7463528035213098"/>
  </r>
  <r>
    <n v="232"/>
    <s v="get on like a house on fire"/>
    <s v="get on like a house on"/>
    <s v="fire"/>
    <s v="get on like a house on fire"/>
    <x v="4"/>
    <x v="0"/>
    <x v="1"/>
    <s v="NOUN"/>
    <x v="0"/>
    <n v="3.1250002170728902E-5"/>
    <n v="3.0219032904630199E-5"/>
    <n v="-3.6118160808626901E-3"/>
    <n v="3.68447633763838"/>
  </r>
  <r>
    <n v="233"/>
    <s v="put the cat among the pigeons"/>
    <s v="put the cat among the"/>
    <s v="pigeons"/>
    <s v="put the cat among the pigeons"/>
    <x v="1"/>
    <x v="2"/>
    <x v="1"/>
    <s v="NOUN"/>
    <x v="0"/>
    <n v="3.1250008584935999E-5"/>
    <n v="3.0705354659983298E-5"/>
    <n v="1.3116131431157399E-2"/>
    <n v="3.8400674071985099"/>
  </r>
  <r>
    <n v="234"/>
    <s v="keep your powder dry"/>
    <s v="keep your powder"/>
    <s v="dry"/>
    <s v="keep your powder dry"/>
    <x v="0"/>
    <x v="1"/>
    <x v="6"/>
    <s v="ADJ"/>
    <x v="0"/>
    <n v="3.1249999763669101E-5"/>
    <n v="2.8741913218477501E-5"/>
    <n v="-5.0962067842050297E-2"/>
    <n v="3.5034554149642401"/>
  </r>
  <r>
    <n v="235"/>
    <s v="bring home the bacon"/>
    <s v="bring home the"/>
    <s v="bacon"/>
    <s v="bring home the bacon"/>
    <x v="0"/>
    <x v="3"/>
    <x v="1"/>
    <s v="NOUN"/>
    <x v="0"/>
    <n v="3.1250003921457398E-5"/>
    <n v="3.1120368233675397E-5"/>
    <n v="-2.98430234652187E-2"/>
    <n v="2.7644817473945"/>
  </r>
  <r>
    <n v="236"/>
    <s v="send someone to Coventry"/>
    <s v="send someone to"/>
    <s v="Coventry"/>
    <s v="send someone to the moonThe moon"/>
    <x v="0"/>
    <x v="6"/>
    <x v="9"/>
    <s v="NOUN"/>
    <x v="1"/>
    <n v="3.1249998760344399E-5"/>
    <n v="2.4559357778465598E-7"/>
    <n v="3.2018797519927297E-2"/>
    <n v="2.4859028018372702"/>
  </r>
  <r>
    <n v="237"/>
    <s v="shoot from the hip"/>
    <s v="shoot from the"/>
    <s v="hip"/>
    <s v="shoot from the hip"/>
    <x v="0"/>
    <x v="1"/>
    <x v="1"/>
    <s v="NOUN"/>
    <x v="0"/>
    <n v="3.1249992187776903E-5"/>
    <n v="1.0488766729527599E-5"/>
    <n v="5.3279381030613103E-3"/>
    <n v="3.4426715081418702"/>
  </r>
  <r>
    <n v="238"/>
    <s v="keep your chin up"/>
    <s v="keep your chin"/>
    <s v="up"/>
    <s v="keep your chin up"/>
    <x v="0"/>
    <x v="4"/>
    <x v="2"/>
    <s v="ADP"/>
    <x v="0"/>
    <n v="3.1249990985372299E-5"/>
    <n v="2.2531026134336501E-5"/>
    <n v="-7.8214662772985805E-2"/>
    <n v="3.5415938077933098"/>
  </r>
  <r>
    <n v="239"/>
    <s v="put up or shut up"/>
    <s v="put up or shut"/>
    <s v="up"/>
    <s v="put up or shut up"/>
    <x v="2"/>
    <x v="4"/>
    <x v="2"/>
    <s v="ADP"/>
    <x v="0"/>
    <n v="3.1250010574711998E-5"/>
    <n v="3.0050955379700399E-5"/>
    <n v="-1.56568699329717E-2"/>
    <n v="3.66700853721591"/>
  </r>
  <r>
    <n v="240"/>
    <s v="hold all the aces"/>
    <s v="hold all the"/>
    <s v="aces"/>
    <s v="hold all the answers."/>
    <x v="0"/>
    <x v="0"/>
    <x v="1"/>
    <s v="NOUN"/>
    <x v="1"/>
    <n v="3.1250003171793903E-5"/>
    <n v="3.5410642883022098E-6"/>
    <n v="-1.32689674769466E-2"/>
    <n v="3.73717728259113"/>
  </r>
  <r>
    <n v="241"/>
    <s v="don't give up the day job"/>
    <s v="don't give up the day"/>
    <s v="job"/>
    <s v="don't give up the day job"/>
    <x v="1"/>
    <x v="1"/>
    <x v="1"/>
    <s v="NOUN"/>
    <x v="0"/>
    <n v="3.1250019102797802E-5"/>
    <n v="1.9553415515797999E-5"/>
    <n v="-2.5628188572394298E-2"/>
    <n v="3.5197833235817302"/>
  </r>
  <r>
    <n v="242"/>
    <s v="on a silver platter"/>
    <s v="on a silver"/>
    <s v="platter"/>
    <s v="on a silver platter"/>
    <x v="0"/>
    <x v="2"/>
    <x v="1"/>
    <s v="NOUN"/>
    <x v="0"/>
    <n v="3.1249993077848198E-5"/>
    <n v="3.0399249651462299E-5"/>
    <n v="-6.5171019741434499E-3"/>
    <n v="2.9488003291030802"/>
  </r>
  <r>
    <n v="243"/>
    <s v="give as good as you get"/>
    <s v="give as good as you"/>
    <s v="get"/>
    <s v="give as good as you get"/>
    <x v="1"/>
    <x v="1"/>
    <x v="7"/>
    <s v="VERB"/>
    <x v="0"/>
    <n v="3.1250004000945402E-5"/>
    <n v="1.9702318152861199E-5"/>
    <n v="3.9318949113491498E-3"/>
    <n v="3.6429483159493001"/>
  </r>
  <r>
    <n v="244"/>
    <s v="nothing to write home about"/>
    <s v="nothing to write home"/>
    <s v="about"/>
    <s v="nothing to write home about"/>
    <x v="2"/>
    <x v="3"/>
    <x v="2"/>
    <s v="ADP"/>
    <x v="0"/>
    <n v="3.1250013206906401E-5"/>
    <n v="2.8887945199263699E-5"/>
    <n v="-2.7681606384575699E-2"/>
    <n v="3.6513883347549201"/>
  </r>
  <r>
    <n v="245"/>
    <s v="take a shine to"/>
    <s v="take a shine"/>
    <s v="to"/>
    <s v="take a shine to"/>
    <x v="0"/>
    <x v="4"/>
    <x v="2"/>
    <s v="ADP"/>
    <x v="0"/>
    <n v="3.1249997512942999E-5"/>
    <n v="1.6230489038781E-5"/>
    <n v="-1.02899233985453E-2"/>
    <n v="3.49070829739125"/>
  </r>
  <r>
    <n v="246"/>
    <s v="get a handle on"/>
    <s v="get a handle"/>
    <s v="on"/>
    <s v="get a handle on"/>
    <x v="0"/>
    <x v="4"/>
    <x v="2"/>
    <s v="ADP"/>
    <x v="0"/>
    <n v="3.1250012522566399E-5"/>
    <n v="2.4333989502585899E-5"/>
    <n v="7.6858460998976402E-3"/>
    <n v="3.8259313852689099"/>
  </r>
  <r>
    <n v="247"/>
    <s v="you could have knocked me down with a feather"/>
    <s v="you could have knocked me down with a"/>
    <s v="feather"/>
    <s v="you could have knocked me down with a feather"/>
    <x v="5"/>
    <x v="2"/>
    <x v="1"/>
    <s v="NOUN"/>
    <x v="0"/>
    <n v="3.1250002820425501E-5"/>
    <n v="3.1062159961188699E-5"/>
    <n v="-2.3176881240309401E-2"/>
    <n v="2.4712952594751298"/>
  </r>
  <r>
    <n v="248"/>
    <s v="get down to brass tacks"/>
    <s v="get down to brass"/>
    <s v="tacks"/>
    <s v="get down to brass tacks"/>
    <x v="2"/>
    <x v="3"/>
    <x v="1"/>
    <s v="NOUN"/>
    <x v="0"/>
    <n v="3.1249995772984399E-5"/>
    <n v="3.0652624222946001E-5"/>
    <n v="-2.0233060319735902E-2"/>
    <n v="3.7912634470229101"/>
  </r>
  <r>
    <n v="249"/>
    <s v="better safe than sorry"/>
    <s v="better safe than"/>
    <s v="sorry"/>
    <s v="better safe than sorry"/>
    <x v="0"/>
    <x v="3"/>
    <x v="6"/>
    <s v="ADJ"/>
    <x v="0"/>
    <n v="3.1250003463872398E-5"/>
    <n v="1.6771259415741E-5"/>
    <n v="-3.0162345650523999E-3"/>
    <n v="3.1719899889472201"/>
  </r>
  <r>
    <n v="250"/>
    <s v="put your cards on the table"/>
    <s v="put your cards on the"/>
    <s v="table"/>
    <s v="put your cards on the table"/>
    <x v="1"/>
    <x v="3"/>
    <x v="1"/>
    <s v="NOUN"/>
    <x v="0"/>
    <n v="3.1250007570244399E-5"/>
    <n v="2.81441309621121E-5"/>
    <n v="1.6010956197419501E-2"/>
    <n v="3.7040802151744199"/>
  </r>
  <r>
    <n v="251"/>
    <s v="no rest for the wicked"/>
    <s v="no rest for the"/>
    <s v="wicked"/>
    <s v="no rest for the wicked"/>
    <x v="2"/>
    <x v="5"/>
    <x v="6"/>
    <s v="ADJ"/>
    <x v="0"/>
    <n v="3.12500101851814E-5"/>
    <n v="2.73028086828617E-5"/>
    <n v="-2.2203505062222399E-2"/>
    <n v="3.2832073889752902"/>
  </r>
  <r>
    <n v="252"/>
    <s v="push the panic button"/>
    <s v="push the panic"/>
    <s v="button"/>
    <s v="push the panic button"/>
    <x v="0"/>
    <x v="5"/>
    <x v="1"/>
    <s v="NOUN"/>
    <x v="0"/>
    <n v="3.12500100480633E-5"/>
    <n v="2.4513255948308199E-5"/>
    <n v="1.7518519387218399E-2"/>
    <n v="3.6156423375520599"/>
  </r>
  <r>
    <n v="253"/>
    <s v="go down like a lead balloon"/>
    <s v="go down like a lead"/>
    <s v="balloon"/>
    <s v="go down like a lead balloon"/>
    <x v="1"/>
    <x v="2"/>
    <x v="1"/>
    <s v="NOUN"/>
    <x v="0"/>
    <n v="3.1250003143342202E-5"/>
    <n v="3.1102398064378499E-5"/>
    <n v="1.89081322275228E-2"/>
    <n v="2.7962305076405398"/>
  </r>
  <r>
    <n v="254"/>
    <s v="in the driver's seat"/>
    <s v="in the driver's"/>
    <s v="seat"/>
    <s v="in the driver's seat"/>
    <x v="0"/>
    <x v="0"/>
    <x v="1"/>
    <s v="NOUN"/>
    <x v="0"/>
    <n v="3.1250012781713697E-5"/>
    <n v="2.65522859564117E-5"/>
    <n v="4.7257346757696404E-3"/>
    <n v="3.5973889116493898"/>
  </r>
  <r>
    <n v="255"/>
    <s v="asleep at the wheel"/>
    <s v="asleep at the"/>
    <s v="wheel"/>
    <s v="asleep at the wheel"/>
    <x v="0"/>
    <x v="3"/>
    <x v="1"/>
    <s v="NOUN"/>
    <x v="0"/>
    <n v="3.1250008262851599E-5"/>
    <n v="1.2134591770436299E-5"/>
    <n v="4.51052084970626E-2"/>
    <n v="3.2496334666819999"/>
  </r>
  <r>
    <n v="256"/>
    <s v="the ball is in someone's court"/>
    <s v="the ball is in someone's"/>
    <s v="court"/>
    <s v="the ball is in someone's court"/>
    <x v="1"/>
    <x v="3"/>
    <x v="1"/>
    <s v="NOUN"/>
    <x v="0"/>
    <n v="3.1250033902007599E-5"/>
    <n v="2.4392942674740801E-5"/>
    <n v="4.6624397975688403E-2"/>
    <n v="3.47837945499673"/>
  </r>
  <r>
    <n v="257"/>
    <s v="eat your heart out"/>
    <s v="eat your heart"/>
    <s v="out"/>
    <s v="eat your heart out"/>
    <x v="0"/>
    <x v="1"/>
    <x v="2"/>
    <s v="ADP"/>
    <x v="0"/>
    <n v="3.1250012224216899E-5"/>
    <n v="2.8715252157674398E-5"/>
    <n v="-3.6812343451430203E-2"/>
    <n v="3.6681045817392799"/>
  </r>
  <r>
    <n v="258"/>
    <s v="not to be sneezed at"/>
    <s v="not to be sneezed"/>
    <s v="at"/>
    <s v="not to be sneezed at"/>
    <x v="2"/>
    <x v="4"/>
    <x v="2"/>
    <s v="ADP"/>
    <x v="0"/>
    <n v="3.1250018632269299E-5"/>
    <n v="2.8805786106457401E-5"/>
    <n v="6.3398164187162803E-3"/>
    <n v="3.61820442439616"/>
  </r>
  <r>
    <n v="259"/>
    <s v="straight from the horse's mouth"/>
    <s v="straight from the horse's"/>
    <s v="mouth"/>
    <s v="straight from the horse's mouth"/>
    <x v="2"/>
    <x v="3"/>
    <x v="1"/>
    <s v="NOUN"/>
    <x v="0"/>
    <n v="3.1250004937843497E-5"/>
    <n v="2.5073544386598001E-5"/>
    <n v="-2.3930656385289201E-3"/>
    <n v="3.5823328408486601"/>
  </r>
  <r>
    <n v="260"/>
    <s v="draw a bead on"/>
    <s v="draw a bead"/>
    <s v="on"/>
    <s v="draw a bead on"/>
    <x v="0"/>
    <x v="4"/>
    <x v="2"/>
    <s v="ADP"/>
    <x v="0"/>
    <n v="3.1250003235051001E-5"/>
    <n v="3.0591154996165901E-6"/>
    <n v="6.8776597381514596E-3"/>
    <n v="3.6301828115887602"/>
  </r>
  <r>
    <n v="261"/>
    <s v="dog in the manger"/>
    <s v="dog in the"/>
    <s v="manger"/>
    <s v="dog in the snowThe dog in"/>
    <x v="0"/>
    <x v="5"/>
    <x v="1"/>
    <s v="ADP"/>
    <x v="1"/>
    <n v="3.1250004436714702E-5"/>
    <n v="5.5085993901919197E-6"/>
    <n v="-2.4929712927992301E-2"/>
    <n v="3.4140343957586898"/>
  </r>
  <r>
    <n v="262"/>
    <s v="sweep someone off their feet"/>
    <s v="sweep someone off their"/>
    <s v="feet"/>
    <s v="sweep someone off their feet"/>
    <x v="2"/>
    <x v="0"/>
    <x v="1"/>
    <s v="NOUN"/>
    <x v="0"/>
    <n v="3.12500056678261E-5"/>
    <n v="3.0517896235923901E-5"/>
    <n v="-1.7742523454273801E-3"/>
    <n v="3.7047661425901701"/>
  </r>
  <r>
    <n v="263"/>
    <s v="jump down someone's throat"/>
    <s v="jump down someone's"/>
    <s v="throat"/>
    <s v="jump down someone's throat"/>
    <x v="0"/>
    <x v="5"/>
    <x v="1"/>
    <s v="NOUN"/>
    <x v="0"/>
    <n v="3.1249998716894102E-5"/>
    <n v="3.1151515753184098E-5"/>
    <n v="1.26902045249011E-2"/>
    <n v="2.6780668178921099"/>
  </r>
  <r>
    <n v="264"/>
    <s v="not just a pretty face"/>
    <s v="not just a pretty"/>
    <s v="face"/>
    <s v="not just a pretty face"/>
    <x v="2"/>
    <x v="0"/>
    <x v="1"/>
    <s v="NOUN"/>
    <x v="0"/>
    <n v="3.1250003580750301E-5"/>
    <n v="5.0363589504260603E-6"/>
    <n v="3.8692193086768902E-3"/>
    <n v="3.3258737287993498"/>
  </r>
  <r>
    <n v="265"/>
    <s v="do the right thing"/>
    <s v="do the right"/>
    <s v="thing"/>
    <s v="do the right thing"/>
    <x v="0"/>
    <x v="3"/>
    <x v="1"/>
    <s v="NOUN"/>
    <x v="0"/>
    <n v="3.1250009554904503E-5"/>
    <n v="2.44386380086344E-5"/>
    <n v="-2.0756175160514E-2"/>
    <n v="3.5980779463750601"/>
  </r>
  <r>
    <n v="266"/>
    <s v="beat the daylights out of"/>
    <s v="beat the daylights out"/>
    <s v="of"/>
    <s v="beat the daylights out of"/>
    <x v="2"/>
    <x v="4"/>
    <x v="2"/>
    <s v="ADP"/>
    <x v="0"/>
    <n v="3.1250000766769E-5"/>
    <n v="2.51229177017625E-5"/>
    <n v="-3.9981487221964998E-2"/>
    <n v="3.73232236906999"/>
  </r>
  <r>
    <n v="267"/>
    <s v="put the moves on"/>
    <s v="put the moves"/>
    <s v="on"/>
    <s v="put the moves on"/>
    <x v="0"/>
    <x v="4"/>
    <x v="2"/>
    <s v="ADP"/>
    <x v="0"/>
    <n v="3.1250002861526697E-5"/>
    <n v="2.3792122911271999E-5"/>
    <n v="2.52751617756601E-2"/>
    <n v="3.7740628902231799"/>
  </r>
  <r>
    <n v="268"/>
    <s v="let the genie out of the bottle"/>
    <s v="let the genie out of the"/>
    <s v="bottle"/>
    <s v="let the genie out of the bottle"/>
    <x v="4"/>
    <x v="5"/>
    <x v="1"/>
    <s v="NOUN"/>
    <x v="0"/>
    <n v="3.12500147972615E-5"/>
    <n v="3.1011043706464898E-5"/>
    <n v="5.1064360321646501E-3"/>
    <n v="3.0283134342239002"/>
  </r>
  <r>
    <n v="269"/>
    <s v="let the cat out of the bag"/>
    <s v="let the cat out of the"/>
    <s v="bag"/>
    <s v="let the cat out of the bag"/>
    <x v="4"/>
    <x v="1"/>
    <x v="1"/>
    <s v="NOUN"/>
    <x v="0"/>
    <n v="3.1250013650005097E-5"/>
    <n v="2.6639723697138702E-5"/>
    <n v="2.8026129843482201E-2"/>
    <n v="3.76721788549531"/>
  </r>
  <r>
    <n v="270"/>
    <s v="get your skates on"/>
    <s v="get your skates"/>
    <s v="on"/>
    <s v="get your skates on"/>
    <x v="0"/>
    <x v="4"/>
    <x v="2"/>
    <s v="ADP"/>
    <x v="0"/>
    <n v="3.1250010621236299E-5"/>
    <n v="2.46889138827602E-5"/>
    <n v="-1.1817201352840799E-2"/>
    <n v="3.5455936758878401"/>
  </r>
  <r>
    <n v="271"/>
    <s v="close but no cigar"/>
    <s v="close but no"/>
    <s v="cigar"/>
    <s v="close but no cigar"/>
    <x v="0"/>
    <x v="3"/>
    <x v="1"/>
    <s v="NOUN"/>
    <x v="0"/>
    <n v="3.1250003305304497E-5"/>
    <n v="2.9776116706115499E-5"/>
    <n v="1.29694309710011E-2"/>
    <n v="3.5656241676053702"/>
  </r>
  <r>
    <n v="272"/>
    <s v="snap someone's head off"/>
    <s v="snap someone's head"/>
    <s v="off"/>
    <s v="snap someone's head off"/>
    <x v="0"/>
    <x v="1"/>
    <x v="2"/>
    <s v="ADP"/>
    <x v="0"/>
    <n v="3.1250005349748701E-5"/>
    <n v="1.7764817512540801E-5"/>
    <n v="-1.4373522941620601E-2"/>
    <n v="3.7247578453302701"/>
  </r>
  <r>
    <n v="273"/>
    <s v="still waters run deep"/>
    <s v="still waters run"/>
    <s v="deep"/>
    <s v="still waters run deep"/>
    <x v="0"/>
    <x v="0"/>
    <x v="0"/>
    <s v="ADV"/>
    <x v="0"/>
    <n v="3.1250009423854703E-5"/>
    <n v="2.7289934441397299E-5"/>
    <n v="-8.3426056048310198E-3"/>
    <n v="3.4967696783768201"/>
  </r>
  <r>
    <n v="274"/>
    <s v="too many cooks spoil the broth"/>
    <s v="too many cooks spoil the"/>
    <s v="broth"/>
    <s v="too many cooks spoil the broth"/>
    <x v="1"/>
    <x v="3"/>
    <x v="1"/>
    <s v="NOUN"/>
    <x v="0"/>
    <n v="3.1250007019984102E-5"/>
    <n v="3.0928742378965199E-5"/>
    <n v="9.6231282120271492E-3"/>
    <n v="2.45646482451165"/>
  </r>
  <r>
    <n v="275"/>
    <s v="take the gilt off the gingerbread"/>
    <s v="take the gilt off the"/>
    <s v="gingerbread"/>
    <s v="take the gilt off the gingerbread"/>
    <x v="1"/>
    <x v="9"/>
    <x v="1"/>
    <s v="NOUN"/>
    <x v="0"/>
    <n v="3.1250012737700699E-5"/>
    <n v="3.1193462097881801E-5"/>
    <n v="-1.1327434739868599E-2"/>
    <n v="2.9711743171588898"/>
  </r>
  <r>
    <n v="276"/>
    <s v="shuffle off this mortal coil"/>
    <s v="shuffle off this mortal"/>
    <s v="coil"/>
    <s v="shuffle off this mortal coil"/>
    <x v="2"/>
    <x v="0"/>
    <x v="1"/>
    <s v="NOUN"/>
    <x v="0"/>
    <n v="3.1250001556000799E-5"/>
    <n v="3.0958973662601002E-5"/>
    <n v="-1.4949761605578199E-2"/>
    <n v="3.0491543310731899"/>
  </r>
  <r>
    <n v="277"/>
    <s v="throw the baby out with the bathwater"/>
    <s v="throw the baby out with the"/>
    <s v="bathwater"/>
    <s v="throw the baby out with the bath water."/>
    <x v="4"/>
    <x v="7"/>
    <x v="1"/>
    <s v="NOUN"/>
    <x v="1"/>
    <n v="3.12500045357765E-5"/>
    <n v="4.3092196255879701E-6"/>
    <n v="9.90356837064609E-4"/>
    <n v="3.7166000695768"/>
  </r>
  <r>
    <n v="278"/>
    <s v="in for a penny, in for a pound"/>
    <s v="in for a penny, in for a"/>
    <s v="pound"/>
    <s v="in for a penny, in for a pound"/>
    <x v="3"/>
    <x v="3"/>
    <x v="1"/>
    <s v="NOUN"/>
    <x v="0"/>
    <n v="3.1250023799831498E-5"/>
    <n v="3.0650702436453601E-5"/>
    <n v="-1.36487453060709E-2"/>
    <n v="2.81063571668389"/>
  </r>
  <r>
    <n v="279"/>
    <s v="not to put too fine a point on it"/>
    <s v="not to put too fine a point on"/>
    <s v="it"/>
    <s v="not to put too fine a point on it"/>
    <x v="5"/>
    <x v="4"/>
    <x v="3"/>
    <s v="PRON"/>
    <x v="0"/>
    <n v="3.1250011156787802E-5"/>
    <n v="2.6943825752793E-5"/>
    <n v="2.6493713718878098E-3"/>
    <n v="3.6661658714937801"/>
  </r>
  <r>
    <n v="280"/>
    <s v="give someone a piece of your mind"/>
    <s v="give someone a piece of your"/>
    <s v="mind"/>
    <s v="give someone a piece of your mind"/>
    <x v="4"/>
    <x v="0"/>
    <x v="1"/>
    <s v="NOUN"/>
    <x v="0"/>
    <n v="3.1250008801209599E-5"/>
    <n v="2.91507204661537E-5"/>
    <n v="-5.2913022326350704E-3"/>
    <n v="3.5659749531312799"/>
  </r>
  <r>
    <n v="281"/>
    <s v="from the horse's mouth"/>
    <s v="from the horse's"/>
    <s v="mouth"/>
    <s v="from the horse's mouth"/>
    <x v="0"/>
    <x v="3"/>
    <x v="1"/>
    <s v="NOUN"/>
    <x v="0"/>
    <n v="3.1250003736499399E-5"/>
    <n v="3.0031759814049702E-5"/>
    <n v="-7.8274519401446696E-3"/>
    <n v="3.6825773215527202"/>
  </r>
  <r>
    <n v="282"/>
    <s v="come down the pike"/>
    <s v="come down the"/>
    <s v="pike"/>
    <s v="come down the mountain,"/>
    <x v="0"/>
    <x v="0"/>
    <x v="1"/>
    <s v="NOUN"/>
    <x v="1"/>
    <n v="3.12499976936889E-5"/>
    <n v="1.77049502863505E-6"/>
    <n v="-4.9474081058775701E-3"/>
    <n v="3.6486234448538002"/>
  </r>
  <r>
    <n v="283"/>
    <s v="keep your nose to the grindstone"/>
    <s v="keep your nose to the"/>
    <s v="grindstone"/>
    <s v="keep your nose to the grindstone"/>
    <x v="1"/>
    <x v="10"/>
    <x v="1"/>
    <s v="NOUN"/>
    <x v="0"/>
    <n v="3.1249997193884702E-5"/>
    <n v="2.4876919979023399E-5"/>
    <n v="-4.3364251381689201E-2"/>
    <n v="3.8272372026052999"/>
  </r>
  <r>
    <n v="284"/>
    <s v="thumb your nose at"/>
    <s v="thumb your nose"/>
    <s v="at"/>
    <s v="thumb your nose at"/>
    <x v="0"/>
    <x v="4"/>
    <x v="2"/>
    <s v="ADP"/>
    <x v="0"/>
    <n v="3.1250005536586103E-5"/>
    <n v="1.0863029357517899E-5"/>
    <n v="1.1501468368848499E-3"/>
    <n v="3.7333876567008999"/>
  </r>
  <r>
    <n v="285"/>
    <s v="fish in troubled waters"/>
    <s v="fish in troubled"/>
    <s v="waters"/>
    <s v="fish in troubled waters"/>
    <x v="0"/>
    <x v="5"/>
    <x v="1"/>
    <s v="NOUN"/>
    <x v="0"/>
    <n v="3.1250007104730399E-5"/>
    <n v="1.6058939113536001E-5"/>
    <n v="-3.6794640882931103E-4"/>
    <n v="3.3239656788868399"/>
  </r>
  <r>
    <n v="286"/>
    <s v="a little bird told me"/>
    <s v="a little bird told"/>
    <s v="me"/>
    <s v="a little bird told me"/>
    <x v="2"/>
    <x v="4"/>
    <x v="3"/>
    <s v="PRON"/>
    <x v="0"/>
    <n v="3.12500148552917E-5"/>
    <n v="2.4384140848049599E-5"/>
    <n v="-3.1018992603151201E-3"/>
    <n v="3.7078827818573199"/>
  </r>
  <r>
    <n v="287"/>
    <s v="day in, day out"/>
    <s v="day in, day"/>
    <s v="out"/>
    <s v="day in, day out"/>
    <x v="0"/>
    <x v="1"/>
    <x v="2"/>
    <s v="ADP"/>
    <x v="0"/>
    <n v="3.1250009611313299E-5"/>
    <n v="3.0191034121865801E-5"/>
    <n v="-1.2296433327364201E-2"/>
    <n v="3.7258341418916299"/>
  </r>
  <r>
    <n v="288"/>
    <s v="dead as a dodo"/>
    <s v="dead as a"/>
    <s v="dodo"/>
    <s v="dead as a doornail meaning"/>
    <x v="0"/>
    <x v="0"/>
    <x v="1"/>
    <s v="NOUN"/>
    <x v="1"/>
    <n v="3.1250006471025898E-5"/>
    <n v="1.13960867032156E-5"/>
    <n v="-3.8530451426034E-2"/>
    <n v="3.5348932426028998"/>
  </r>
  <r>
    <n v="289"/>
    <s v="go the extra mile"/>
    <s v="go the extra"/>
    <s v="mile"/>
    <s v="go the extra mile"/>
    <x v="0"/>
    <x v="0"/>
    <x v="1"/>
    <s v="NOUN"/>
    <x v="0"/>
    <n v="3.1249997283676998E-5"/>
    <n v="2.3314177049263401E-5"/>
    <n v="9.1627959640057099E-3"/>
    <n v="3.0463170272056801"/>
  </r>
  <r>
    <n v="290"/>
    <s v="start off on the right foot"/>
    <s v="start off on the right"/>
    <s v="foot"/>
    <s v="start off on the right foot"/>
    <x v="1"/>
    <x v="0"/>
    <x v="1"/>
    <s v="NOUN"/>
    <x v="0"/>
    <n v="3.1250004229448301E-5"/>
    <n v="2.28641814465977E-5"/>
    <n v="-1.26402100896285E-2"/>
    <n v="3.4887118070300298"/>
  </r>
  <r>
    <n v="291"/>
    <s v="time and tide wait for no man"/>
    <s v="time and tide wait for no"/>
    <s v="man"/>
    <s v="time and tide wait for no man"/>
    <x v="4"/>
    <x v="1"/>
    <x v="1"/>
    <s v="NOUN"/>
    <x v="0"/>
    <n v="3.1250004810539297E-5"/>
    <n v="1.99839444075423E-5"/>
    <n v="4.39672907174326E-3"/>
    <n v="3.4606329648581799"/>
  </r>
  <r>
    <n v="292"/>
    <s v="warm the cockles of someone's heart"/>
    <s v="warm the cockles of someone's"/>
    <s v="heart"/>
    <s v="warm the cockles of someone's heart"/>
    <x v="1"/>
    <x v="3"/>
    <x v="1"/>
    <s v="NOUN"/>
    <x v="0"/>
    <n v="3.1250011038953403E-5"/>
    <n v="2.97851523374382E-5"/>
    <n v="-6.0503480295395198E-3"/>
    <n v="3.64461832099233"/>
  </r>
  <r>
    <n v="293"/>
    <s v="get your feet wet"/>
    <s v="get your feet"/>
    <s v="wet"/>
    <s v="get your feet wet"/>
    <x v="0"/>
    <x v="1"/>
    <x v="6"/>
    <s v="ADJ"/>
    <x v="0"/>
    <n v="3.1250008654589402E-5"/>
    <n v="1.0104964574275599E-5"/>
    <n v="-8.04151251102069E-3"/>
    <n v="3.3629150018415301"/>
  </r>
  <r>
    <n v="294"/>
    <s v="kick against the pricks"/>
    <s v="kick against the"/>
    <s v="pricks"/>
    <s v="kick against the canons of the church"/>
    <x v="0"/>
    <x v="5"/>
    <x v="1"/>
    <s v="NOUN"/>
    <x v="1"/>
    <n v="3.1249997995438303E-5"/>
    <n v="1.7056212749933099E-6"/>
    <n v="1.9726104625213702E-2"/>
    <n v="2.9435215039462101"/>
  </r>
  <r>
    <n v="295"/>
    <s v="by the skin of your teeth"/>
    <s v="by the skin of your"/>
    <s v="teeth"/>
    <s v="by the skin of your teeth"/>
    <x v="1"/>
    <x v="3"/>
    <x v="1"/>
    <s v="NOUN"/>
    <x v="0"/>
    <n v="3.1249994483036697E-5"/>
    <n v="2.8509814726778901E-5"/>
    <n v="-7.9539503030545602E-3"/>
    <n v="3.5180691738057801"/>
  </r>
  <r>
    <n v="296"/>
    <s v="not bat an eye"/>
    <s v="not bat an"/>
    <s v="eye"/>
    <s v="not bat an eye"/>
    <x v="0"/>
    <x v="1"/>
    <x v="1"/>
    <s v="NOUN"/>
    <x v="0"/>
    <n v="3.1250009921752602E-5"/>
    <n v="1.3756287793655599E-5"/>
    <n v="-8.6072801599072993E-3"/>
    <n v="3.6540328395723298"/>
  </r>
  <r>
    <n v="297"/>
    <s v="get a rise out of"/>
    <s v="get a rise out"/>
    <s v="of"/>
    <s v="get a rise out of"/>
    <x v="2"/>
    <x v="4"/>
    <x v="2"/>
    <s v="ADP"/>
    <x v="0"/>
    <n v="3.1250011194723297E-5"/>
    <n v="2.92260064731294E-5"/>
    <n v="-3.4042077847775597E-2"/>
    <n v="3.6299279561372599"/>
  </r>
  <r>
    <n v="298"/>
    <s v="keep your head above water"/>
    <s v="keep your head above"/>
    <s v="water"/>
    <s v="keep your head above water"/>
    <x v="2"/>
    <x v="3"/>
    <x v="1"/>
    <s v="NOUN"/>
    <x v="0"/>
    <n v="3.1249996285579099E-5"/>
    <n v="1.354936769279E-5"/>
    <n v="-3.27739020208071E-2"/>
    <n v="3.5837614817700598"/>
  </r>
  <r>
    <n v="299"/>
    <s v="make a night of it"/>
    <s v="make a night of"/>
    <s v="it"/>
    <s v="make a night of it"/>
    <x v="2"/>
    <x v="4"/>
    <x v="3"/>
    <s v="PRON"/>
    <x v="0"/>
    <n v="3.12500092397559E-5"/>
    <n v="2.49576931366086E-5"/>
    <n v="3.6605620754812601E-3"/>
    <n v="3.5705812283350902"/>
  </r>
  <r>
    <n v="300"/>
    <s v="draw a line in the sand"/>
    <s v="draw a line in the"/>
    <s v="sand"/>
    <s v="draw a line in the sand"/>
    <x v="1"/>
    <x v="0"/>
    <x v="1"/>
    <s v="NOUN"/>
    <x v="0"/>
    <n v="3.1250004840301602E-5"/>
    <n v="1.8709315928557498E-5"/>
    <n v="1.6946651362858601E-2"/>
    <n v="3.4212178877822899"/>
  </r>
  <r>
    <n v="301"/>
    <s v="blow the lid off"/>
    <s v="blow the lid"/>
    <s v="off"/>
    <s v="blow the lid off"/>
    <x v="0"/>
    <x v="1"/>
    <x v="2"/>
    <s v="ADP"/>
    <x v="0"/>
    <n v="3.1250004628090202E-5"/>
    <n v="2.0821091479903401E-5"/>
    <n v="-2.5888046647087201E-2"/>
    <n v="3.8847763891688198"/>
  </r>
  <r>
    <n v="302"/>
    <s v="it's all Greek to me"/>
    <s v="it's all Greek to"/>
    <s v="me"/>
    <s v="it's all Greek to me"/>
    <x v="2"/>
    <x v="4"/>
    <x v="3"/>
    <s v="PRON"/>
    <x v="0"/>
    <n v="3.1250009415916703E-5"/>
    <n v="1.88730961926531E-5"/>
    <n v="6.5608522071158798E-3"/>
    <n v="3.5835589933496501"/>
  </r>
  <r>
    <n v="303"/>
    <s v="dot the i's and cross the t's"/>
    <s v="dot the i's and cross the"/>
    <s v="t's"/>
    <s v="dot the i's and cross the t'"/>
    <x v="4"/>
    <x v="1"/>
    <x v="4"/>
    <s v="NOUN"/>
    <x v="1"/>
    <n v="3.1250002016435603E-5"/>
    <n v="3.0876879508073399E-5"/>
    <n v="7.5960999095876502E-3"/>
    <n v="3.3883737487747898"/>
  </r>
  <r>
    <n v="304"/>
    <s v="haul someone over the coals"/>
    <s v="haul someone over the"/>
    <s v="coals"/>
    <s v="haul someone over the coals"/>
    <x v="2"/>
    <x v="3"/>
    <x v="1"/>
    <s v="NOUN"/>
    <x v="0"/>
    <n v="3.12500104488415E-5"/>
    <n v="3.1244821913220197E-5"/>
    <n v="-1.88455371055056E-2"/>
    <n v="3.0288927021964098"/>
  </r>
  <r>
    <n v="305"/>
    <s v="separate the sheep from the goats"/>
    <s v="separate the sheep from the"/>
    <s v="goats"/>
    <s v="separate the sheep from the goats"/>
    <x v="1"/>
    <x v="3"/>
    <x v="1"/>
    <s v="NOUN"/>
    <x v="0"/>
    <n v="3.1250004477525197E-5"/>
    <n v="3.1058532107478901E-5"/>
    <n v="-3.0306911414115199E-3"/>
    <n v="3.6871587739985898"/>
  </r>
  <r>
    <n v="306"/>
    <s v="put your heads together"/>
    <s v="put your heads"/>
    <s v="together"/>
    <s v="put your heads together"/>
    <x v="0"/>
    <x v="6"/>
    <x v="0"/>
    <s v="ADV"/>
    <x v="0"/>
    <n v="3.1250010131862398E-5"/>
    <n v="1.75350386820723E-5"/>
    <n v="2.5044436537832799E-2"/>
    <n v="3.39935566970702"/>
  </r>
  <r>
    <n v="307"/>
    <s v="speak of the devil"/>
    <s v="speak of the"/>
    <s v="devil"/>
    <s v="speak of the devil"/>
    <x v="0"/>
    <x v="3"/>
    <x v="1"/>
    <s v="NOUN"/>
    <x v="0"/>
    <n v="3.1250000310842098E-5"/>
    <n v="4.0592035053254203E-7"/>
    <n v="4.1973307804918002E-2"/>
    <n v="3.22820967073184"/>
  </r>
  <r>
    <n v="308"/>
    <s v="have a tiger by the tail"/>
    <s v="have a tiger by the"/>
    <s v="tail"/>
    <s v="have a tiger by the tail"/>
    <x v="1"/>
    <x v="0"/>
    <x v="1"/>
    <s v="NOUN"/>
    <x v="0"/>
    <n v="3.1250004587459699E-5"/>
    <n v="2.98084211984874E-5"/>
    <n v="1.16581701913309E-2"/>
    <n v="3.5874863908955699"/>
  </r>
  <r>
    <n v="309"/>
    <s v="spare the rod and spoil the child"/>
    <s v="spare the rod and spoil the"/>
    <s v="child"/>
    <s v="spare the rod and spoil the child"/>
    <x v="4"/>
    <x v="3"/>
    <x v="1"/>
    <s v="NOUN"/>
    <x v="0"/>
    <n v="3.12500080981933E-5"/>
    <n v="2.47032459214203E-5"/>
    <n v="2.6335789546294498E-3"/>
    <n v="3.48309817166558"/>
  </r>
  <r>
    <n v="310"/>
    <s v="waste not, want not"/>
    <s v="waste not, want"/>
    <s v="not"/>
    <s v="waste not, want not"/>
    <x v="0"/>
    <x v="1"/>
    <x v="4"/>
    <s v="PART"/>
    <x v="0"/>
    <n v="3.1250007945215097E-5"/>
    <n v="2.53169080156112E-5"/>
    <n v="-1.6597609748657701E-2"/>
    <n v="3.6747773558591899"/>
  </r>
  <r>
    <n v="311"/>
    <s v="it never rains but it pours"/>
    <s v="it never rains but it"/>
    <s v="pours"/>
    <s v="it never rains but it pours"/>
    <x v="1"/>
    <x v="3"/>
    <x v="7"/>
    <s v="VERB"/>
    <x v="0"/>
    <n v="3.1250001331488597E-5"/>
    <n v="3.0907815478441698E-5"/>
    <n v="-1.1742767756920999E-2"/>
    <n v="3.77989525552817"/>
  </r>
  <r>
    <n v="312"/>
    <s v="rain cats and dogs"/>
    <s v="rain cats and"/>
    <s v="dogs"/>
    <s v="rain cats and dogs"/>
    <x v="0"/>
    <x v="0"/>
    <x v="1"/>
    <s v="NOUN"/>
    <x v="0"/>
    <n v="3.1250000228944597E-5"/>
    <n v="2.7906429897798498E-5"/>
    <n v="-1.14833425538094E-2"/>
    <n v="3.1830104806123698"/>
  </r>
  <r>
    <n v="313"/>
    <s v="bury your head in the sand"/>
    <s v="bury your head in the"/>
    <s v="sand"/>
    <s v="bury your head in the sand"/>
    <x v="1"/>
    <x v="0"/>
    <x v="1"/>
    <s v="NOUN"/>
    <x v="0"/>
    <n v="3.1250006108157499E-5"/>
    <n v="2.5906821445378101E-5"/>
    <n v="1.58371058853745E-2"/>
    <n v="3.4430030099897699"/>
  </r>
  <r>
    <n v="314"/>
    <s v="make money hand over fist"/>
    <s v="make money hand over"/>
    <s v="fist"/>
    <s v="make money hand over fist"/>
    <x v="2"/>
    <x v="0"/>
    <x v="1"/>
    <s v="NOUN"/>
    <x v="0"/>
    <n v="3.1250003467180299E-5"/>
    <n v="3.1158253874592202E-5"/>
    <n v="-1.19681475332811E-4"/>
    <n v="2.7881925230983402"/>
  </r>
  <r>
    <n v="315"/>
    <s v="have a bun in the oven"/>
    <s v="have a bun in the"/>
    <s v="oven"/>
    <s v="have a bun in the oven"/>
    <x v="1"/>
    <x v="0"/>
    <x v="9"/>
    <s v="PROPN"/>
    <x v="0"/>
    <n v="3.1249996367112397E-5"/>
    <n v="3.1036087816693098E-5"/>
    <n v="1.4019874771836501E-2"/>
    <n v="2.3005480530160298"/>
  </r>
  <r>
    <n v="316"/>
    <s v="throw your hat in the ring"/>
    <s v="throw your hat in the"/>
    <s v="ring"/>
    <s v="throw your hat in the ring"/>
    <x v="1"/>
    <x v="0"/>
    <x v="1"/>
    <s v="NOUN"/>
    <x v="0"/>
    <n v="3.1250010269496402E-5"/>
    <n v="2.3021373372525001E-5"/>
    <n v="1.0513676091299801E-2"/>
    <n v="3.40277522759003"/>
  </r>
  <r>
    <n v="317"/>
    <s v="put the screws on"/>
    <s v="put the screws"/>
    <s v="on"/>
    <s v="put the screws to ("/>
    <x v="0"/>
    <x v="4"/>
    <x v="2"/>
    <s v="ADP"/>
    <x v="1"/>
    <n v="3.1249996336715102E-5"/>
    <n v="2.4297652105218301E-6"/>
    <n v="4.1486898677538502E-3"/>
    <n v="3.27012845253148"/>
  </r>
  <r>
    <n v="318"/>
    <s v="kill the fatted calf"/>
    <s v="kill the fatted"/>
    <s v="calf"/>
    <s v="kill the fatted calf"/>
    <x v="0"/>
    <x v="0"/>
    <x v="1"/>
    <s v="NOUN"/>
    <x v="0"/>
    <n v="3.1250009746683103E-5"/>
    <n v="3.0852012353058201E-5"/>
    <n v="-1.7563742922179701E-2"/>
    <n v="2.2830118379225302"/>
  </r>
  <r>
    <n v="319"/>
    <s v="there's no fool like an old fool"/>
    <s v="there's no fool like an old"/>
    <s v="fool"/>
    <s v="there's no fool like an old fool"/>
    <x v="4"/>
    <x v="0"/>
    <x v="1"/>
    <s v="NOUN"/>
    <x v="0"/>
    <n v="3.1250006910430501E-5"/>
    <n v="2.71459329252044E-5"/>
    <n v="5.6952315220577497E-3"/>
    <n v="3.57787982526047"/>
  </r>
  <r>
    <n v="320"/>
    <s v="all dressed up and nowhere to go"/>
    <s v="all dressed up and nowhere to"/>
    <s v="go"/>
    <s v="all dressed up and nowhere to go"/>
    <x v="4"/>
    <x v="4"/>
    <x v="7"/>
    <s v="VERB"/>
    <x v="0"/>
    <n v="3.12499946492356E-5"/>
    <n v="2.3417537806887999E-5"/>
    <n v="1.0263757734207899E-2"/>
    <n v="3.5118092102038201"/>
  </r>
  <r>
    <n v="321"/>
    <s v="keep your nose clean"/>
    <s v="keep your nose"/>
    <s v="clean"/>
    <s v="keep your nose clean"/>
    <x v="0"/>
    <x v="3"/>
    <x v="6"/>
    <s v="ADJ"/>
    <x v="0"/>
    <n v="3.12499999007488E-5"/>
    <n v="4.4544024393195501E-6"/>
    <n v="-2.1139738094834801E-2"/>
    <n v="3.37074054554685"/>
  </r>
  <r>
    <n v="322"/>
    <s v="a dime a dozen"/>
    <s v="a dime a"/>
    <s v="dozen"/>
    <s v="a dime a dozen"/>
    <x v="0"/>
    <x v="3"/>
    <x v="1"/>
    <s v="NOUN"/>
    <x v="0"/>
    <n v="3.1249995489137099E-5"/>
    <n v="2.4000814074696401E-5"/>
    <n v="-1.7132211064790601E-2"/>
    <n v="3.2911617433611702"/>
  </r>
  <r>
    <n v="323"/>
    <s v="get your act together"/>
    <s v="get your act"/>
    <s v="together"/>
    <s v="get your act together"/>
    <x v="0"/>
    <x v="6"/>
    <x v="0"/>
    <s v="ADV"/>
    <x v="0"/>
    <n v="3.1250004151632001E-5"/>
    <n v="2.4475777071559601E-5"/>
    <n v="-1.77549118739221E-2"/>
    <n v="3.6982972247540502"/>
  </r>
  <r>
    <n v="324"/>
    <s v="give someone the benefit of the doubt"/>
    <s v="give someone the benefit of the"/>
    <s v="doubt"/>
    <s v="give someone the benefit of the doubt"/>
    <x v="4"/>
    <x v="3"/>
    <x v="1"/>
    <s v="NOUN"/>
    <x v="0"/>
    <n v="3.1250012892512498E-5"/>
    <n v="3.0262105662208901E-5"/>
    <n v="-1.9843360973254599E-2"/>
    <n v="3.8225120451422101"/>
  </r>
  <r>
    <n v="325"/>
    <s v="go back to the drawing board"/>
    <s v="go back to the drawing"/>
    <s v="board"/>
    <s v="go back to the drawing board"/>
    <x v="1"/>
    <x v="3"/>
    <x v="1"/>
    <s v="NOUN"/>
    <x v="0"/>
    <n v="3.1250006024287799E-5"/>
    <n v="2.7222185140485999E-5"/>
    <n v="1.21140858769592E-2"/>
    <n v="3.7090101902523598"/>
  </r>
  <r>
    <n v="326"/>
    <s v="it's not rocket science"/>
    <s v="it's not rocket"/>
    <s v="science"/>
    <s v="it's not rocket science"/>
    <x v="0"/>
    <x v="2"/>
    <x v="1"/>
    <s v="NOUN"/>
    <x v="0"/>
    <n v="3.1250008528930702E-5"/>
    <n v="2.49104201720783E-5"/>
    <n v="-9.9380482918824901E-3"/>
    <n v="3.5751441740054899"/>
  </r>
  <r>
    <n v="327"/>
    <s v="let someone off the hook"/>
    <s v="let someone off the"/>
    <s v="hook"/>
    <s v="let someone off the hook"/>
    <x v="2"/>
    <x v="0"/>
    <x v="1"/>
    <s v="NOUN"/>
    <x v="0"/>
    <n v="3.12500036126911E-5"/>
    <n v="2.84704272544562E-5"/>
    <n v="-1.10468742064995E-2"/>
    <n v="3.5336762042094398"/>
  </r>
  <r>
    <n v="328"/>
    <s v="make a long story short"/>
    <s v="make a long story"/>
    <s v="short"/>
    <s v="make a long story short"/>
    <x v="2"/>
    <x v="3"/>
    <x v="6"/>
    <s v="ADJ"/>
    <x v="0"/>
    <n v="3.1250025871124498E-5"/>
    <n v="2.7684244559975899E-5"/>
    <n v="-4.02226442986943E-2"/>
    <n v="3.64794413442125"/>
  </r>
  <r>
    <n v="329"/>
    <s v="no pain, no gain"/>
    <s v="no pain, no"/>
    <s v="gain"/>
    <s v="no pain, no gain"/>
    <x v="0"/>
    <x v="0"/>
    <x v="1"/>
    <s v="NOUN"/>
    <x v="0"/>
    <n v="3.1250010637442798E-5"/>
    <n v="8.8107492553379101E-6"/>
    <n v="2.7413384607786601E-2"/>
    <n v="3.09013349818128"/>
  </r>
  <r>
    <n v="330"/>
    <s v="so far so good"/>
    <s v="so far so"/>
    <s v="good"/>
    <s v="so far so good"/>
    <x v="0"/>
    <x v="0"/>
    <x v="6"/>
    <s v="ADJ"/>
    <x v="0"/>
    <n v="3.1250000281640902E-5"/>
    <n v="2.19519001098722E-5"/>
    <n v="1.6597767895202498E-2"/>
    <n v="3.43394591118635"/>
  </r>
  <r>
    <n v="331"/>
    <s v="the best of both worlds"/>
    <s v="the best of both"/>
    <s v="worlds"/>
    <s v="the best of both worlds"/>
    <x v="2"/>
    <x v="5"/>
    <x v="1"/>
    <s v="NOUN"/>
    <x v="0"/>
    <n v="3.1250001401910401E-5"/>
    <n v="2.9615747262041E-5"/>
    <n v="4.22743978969819E-3"/>
    <n v="3.83521026160735"/>
  </r>
  <r>
    <n v="332"/>
    <s v="to get bent out of shape"/>
    <s v="to get bent out of"/>
    <s v="shape"/>
    <s v="to get bent out of shape"/>
    <x v="1"/>
    <x v="3"/>
    <x v="1"/>
    <s v="NOUN"/>
    <x v="0"/>
    <n v="3.12500082476764E-5"/>
    <n v="2.8502483556159699E-5"/>
    <n v="5.8064732518649997E-3"/>
    <n v="3.42115366402356"/>
  </r>
  <r>
    <n v="333"/>
    <s v="to make matters worse"/>
    <s v="to make matters"/>
    <s v="worse"/>
    <s v="to make matters worse"/>
    <x v="0"/>
    <x v="3"/>
    <x v="0"/>
    <s v="ADV"/>
    <x v="0"/>
    <n v="3.1250002504566E-5"/>
    <n v="1.44708355529403E-5"/>
    <n v="3.04695998252952E-2"/>
    <n v="3.3092214068178398"/>
  </r>
  <r>
    <n v="334"/>
    <s v="we'll cross that bridge when we come to it"/>
    <s v="we'll cross that bridge when we come to"/>
    <s v="it"/>
    <s v="we'll cross that bridge when we come to it"/>
    <x v="5"/>
    <x v="4"/>
    <x v="3"/>
    <s v="PRON"/>
    <x v="0"/>
    <n v="3.1250015012220099E-5"/>
    <n v="3.0707270695680602E-5"/>
    <n v="-1.04130924769663E-2"/>
    <n v="3.66430491330813"/>
  </r>
  <r>
    <n v="335"/>
    <s v="a bird in the hand is worth two in the bush"/>
    <s v="a bird in the hand is worth two in the"/>
    <s v="bush"/>
    <s v="a bird in the hand is worth two in the bush"/>
    <x v="6"/>
    <x v="0"/>
    <x v="1"/>
    <s v="NOUN"/>
    <x v="0"/>
    <n v="3.1250000921600701E-5"/>
    <n v="2.3899371333454998E-5"/>
    <n v="4.3092767972794301E-2"/>
    <n v="3.3193520417343301"/>
  </r>
  <r>
    <n v="336"/>
    <s v="a penny saved is a penny earned"/>
    <s v="a penny saved is a penny"/>
    <s v="earned"/>
    <s v="a penny saved is a penny earned"/>
    <x v="4"/>
    <x v="5"/>
    <x v="7"/>
    <s v="VERB"/>
    <x v="0"/>
    <n v="3.1250004379053998E-5"/>
    <n v="1.5372313133686601E-5"/>
    <n v="-1.90341323006215E-3"/>
    <n v="3.2124586585356298"/>
  </r>
  <r>
    <n v="337"/>
    <s v="a picture is worth 1000 words"/>
    <s v="a picture is worth 1000"/>
    <s v="words"/>
    <s v="a picture is worth 1000 words"/>
    <x v="1"/>
    <x v="3"/>
    <x v="1"/>
    <s v="NOUN"/>
    <x v="0"/>
    <n v="3.1250016730816603E-5"/>
    <n v="2.3713937262849199E-5"/>
    <n v="3.7476037661370698E-2"/>
    <n v="3.65784828443631"/>
  </r>
  <r>
    <n v="338"/>
    <s v="actions speak louder than words"/>
    <s v="actions speak louder than"/>
    <s v="words"/>
    <s v="actions speak louder than words"/>
    <x v="2"/>
    <x v="3"/>
    <x v="1"/>
    <s v="NOUN"/>
    <x v="0"/>
    <n v="3.1250012590277203E-5"/>
    <n v="2.35614536350641E-5"/>
    <n v="3.4020400938565801E-2"/>
    <n v="3.3347271019629199"/>
  </r>
  <r>
    <n v="339"/>
    <s v="barking up the wrong tree"/>
    <s v="barking up the wrong"/>
    <s v="tree"/>
    <s v="barking up the wrong tree"/>
    <x v="2"/>
    <x v="0"/>
    <x v="1"/>
    <s v="NOUN"/>
    <x v="0"/>
    <n v="3.1250022454440299E-5"/>
    <n v="2.2900556188399299E-5"/>
    <n v="1.07310665769091E-2"/>
    <n v="3.3548308700228699"/>
  </r>
  <r>
    <n v="340"/>
    <s v="birds of a feather flock together"/>
    <s v="birds of a feather flock"/>
    <s v="together"/>
    <s v="birds of a feather flock together"/>
    <x v="1"/>
    <x v="6"/>
    <x v="0"/>
    <s v="ADV"/>
    <x v="0"/>
    <n v="3.1250014682193897E-5"/>
    <n v="2.69488523435567E-5"/>
    <n v="1.35666433190273E-3"/>
    <n v="3.8059117597463401"/>
  </r>
  <r>
    <n v="341"/>
    <s v="comparing apples to oranges"/>
    <s v="comparing apples to"/>
    <s v="oranges"/>
    <s v="comparing apples to oranges"/>
    <x v="0"/>
    <x v="2"/>
    <x v="1"/>
    <s v="NOUN"/>
    <x v="0"/>
    <n v="3.12500054573488E-5"/>
    <n v="3.0924657075359899E-5"/>
    <n v="1.35786288385872E-2"/>
    <n v="2.2259577391960801"/>
  </r>
  <r>
    <n v="342"/>
    <s v="costs an arm and a leg"/>
    <s v="costs an arm and a"/>
    <s v="leg"/>
    <s v="costs an arm and a leg"/>
    <x v="1"/>
    <x v="1"/>
    <x v="1"/>
    <s v="NOUN"/>
    <x v="0"/>
    <n v="3.1249994166208902E-5"/>
    <n v="3.0542265446401899E-5"/>
    <n v="-2.4398879262420702E-2"/>
    <n v="3.70010171727718"/>
  </r>
  <r>
    <n v="343"/>
    <s v="do something at the drop of a hat"/>
    <s v="do something at the drop of a"/>
    <s v="hat"/>
    <s v="do something at the drop of a hat"/>
    <x v="3"/>
    <x v="1"/>
    <x v="1"/>
    <s v="NOUN"/>
    <x v="0"/>
    <n v="3.1250000430192998E-5"/>
    <n v="2.5229612843028602E-5"/>
    <n v="-3.2014095451415799E-4"/>
    <n v="3.5626596588361199"/>
  </r>
  <r>
    <n v="344"/>
    <s v="do unto others as you would have them do unto you"/>
    <s v="do unto others as you would have them do unto"/>
    <s v="you"/>
    <s v="do unto others as you would have them do unto you"/>
    <x v="6"/>
    <x v="1"/>
    <x v="3"/>
    <s v="PRON"/>
    <x v="0"/>
    <n v="3.1250006534117899E-5"/>
    <n v="2.5214750894709499E-5"/>
    <n v="1.4799390961549299E-2"/>
    <n v="3.6920708231230499"/>
  </r>
  <r>
    <n v="345"/>
    <s v="don't count your chickens before they hatch"/>
    <s v="don't count your chickens before they"/>
    <s v="hatch"/>
    <s v="don't count your chickens before they hatch"/>
    <x v="4"/>
    <x v="3"/>
    <x v="7"/>
    <s v="VERB"/>
    <x v="0"/>
    <n v="3.1249997292473998E-5"/>
    <n v="3.1119308725592601E-5"/>
    <n v="-1.0088079676597399E-2"/>
    <n v="2.8002478089060299"/>
  </r>
  <r>
    <n v="346"/>
    <s v="don't cry over spilt milk"/>
    <s v="don't cry over spilt"/>
    <s v="milk"/>
    <s v="don't cry over spilt milk"/>
    <x v="2"/>
    <x v="0"/>
    <x v="1"/>
    <s v="NOUN"/>
    <x v="0"/>
    <n v="3.12500036848257E-5"/>
    <n v="1.4534050375895101E-5"/>
    <n v="1.3602250380451101E-3"/>
    <n v="3.2832676518278401"/>
  </r>
  <r>
    <n v="347"/>
    <s v="don't give up your day job"/>
    <s v="don't give up your day"/>
    <s v="job"/>
    <s v="don't give up your day job"/>
    <x v="1"/>
    <x v="1"/>
    <x v="1"/>
    <s v="NOUN"/>
    <x v="0"/>
    <n v="3.12500062365817E-5"/>
    <n v="1.6533402850357801E-5"/>
    <n v="-2.8171723885678901E-2"/>
    <n v="3.7341246278982201"/>
  </r>
  <r>
    <n v="348"/>
    <s v="don't put all your eggs in one basket"/>
    <s v="don't put all your eggs in one"/>
    <s v="basket"/>
    <s v="don't put all your eggs in one basket"/>
    <x v="3"/>
    <x v="5"/>
    <x v="1"/>
    <s v="NOUN"/>
    <x v="0"/>
    <n v="3.1250005893514098E-5"/>
    <n v="1.50761814417979E-5"/>
    <n v="1.73623230735344E-2"/>
    <n v="3.5515780994661799"/>
  </r>
  <r>
    <n v="349"/>
    <s v="every cloud has a silver lining"/>
    <s v="every cloud has a silver"/>
    <s v="lining"/>
    <s v="every cloud has a silver lining"/>
    <x v="1"/>
    <x v="5"/>
    <x v="1"/>
    <s v="NOUN"/>
    <x v="0"/>
    <n v="3.1249997101124898E-5"/>
    <n v="3.11037021544654E-5"/>
    <n v="-2.5439045042993699E-2"/>
    <n v="2.8156524142312498"/>
  </r>
  <r>
    <n v="350"/>
    <s v="get a taste of your own medicine"/>
    <s v="get a taste of your own"/>
    <s v="medicine"/>
    <s v="get a taste of your own medicine"/>
    <x v="4"/>
    <x v="6"/>
    <x v="1"/>
    <s v="NOUN"/>
    <x v="0"/>
    <n v="3.1249999409316703E-5"/>
    <n v="1.6433021935298501E-5"/>
    <n v="1.2510795046210801E-2"/>
    <n v="2.9909010299701499"/>
  </r>
  <r>
    <n v="351"/>
    <s v="give someone the cold shoulder"/>
    <s v="give someone the cold"/>
    <s v="shoulder"/>
    <s v="give someone the cold shoulder"/>
    <x v="2"/>
    <x v="6"/>
    <x v="1"/>
    <s v="NOUN"/>
    <x v="0"/>
    <n v="3.1250000985079599E-5"/>
    <n v="2.7671190434152801E-5"/>
    <n v="-2.7650167066447202E-2"/>
    <n v="3.3402339456128498"/>
  </r>
  <r>
    <n v="352"/>
    <s v="go on a wild goose chase"/>
    <s v="go on a wild goose"/>
    <s v="chase"/>
    <s v="go on a wild goose chase"/>
    <x v="1"/>
    <x v="3"/>
    <x v="1"/>
    <s v="NOUN"/>
    <x v="0"/>
    <n v="3.1250008848778197E-5"/>
    <n v="3.1060950035769201E-5"/>
    <n v="1.63220318350818E-2"/>
    <n v="2.6095297941108702"/>
  </r>
  <r>
    <n v="353"/>
    <s v="good things come to those who wait"/>
    <s v="good things come to those who"/>
    <s v="wait"/>
    <s v="good things come to those who wait"/>
    <x v="4"/>
    <x v="0"/>
    <x v="7"/>
    <s v="VERB"/>
    <x v="0"/>
    <n v="3.1250006445950497E-5"/>
    <n v="1.02306794990454E-5"/>
    <n v="1.9561468922978598E-2"/>
    <n v="3.3890404599208899"/>
  </r>
  <r>
    <n v="354"/>
    <s v="he has bigger fish to fry"/>
    <s v="he has bigger fish to"/>
    <s v="fry"/>
    <s v="he has bigger fish to fry"/>
    <x v="1"/>
    <x v="1"/>
    <x v="7"/>
    <s v="VERB"/>
    <x v="0"/>
    <n v="3.1250004619694202E-5"/>
    <n v="3.11683413203847E-5"/>
    <n v="-8.3044117130022192E-3"/>
    <n v="2.4792503959410102"/>
  </r>
  <r>
    <n v="355"/>
    <s v="he's a chip off the old block"/>
    <s v="he's a chip off the old"/>
    <s v="block"/>
    <s v="he's a chip off the old block"/>
    <x v="4"/>
    <x v="3"/>
    <x v="1"/>
    <s v="NOUN"/>
    <x v="0"/>
    <n v="3.12500104873597E-5"/>
    <n v="2.2550382246336599E-5"/>
    <n v="-2.3707177265954699E-2"/>
    <n v="3.5254550426906102"/>
  </r>
  <r>
    <n v="356"/>
    <s v="it ain't over till the fat lady sings"/>
    <s v="it ain't over till the fat lady"/>
    <s v="sings"/>
    <s v="it ain't over till the fat lady sings"/>
    <x v="3"/>
    <x v="3"/>
    <x v="1"/>
    <s v="NOUN"/>
    <x v="0"/>
    <n v="3.1250010631766498E-5"/>
    <n v="3.03017558050851E-5"/>
    <n v="-2.08832554201876E-3"/>
    <n v="2.7065114524854801"/>
  </r>
  <r>
    <n v="357"/>
    <s v="it takes one to know one"/>
    <s v="it takes one to know"/>
    <s v="one"/>
    <s v="it takes one to know one"/>
    <x v="1"/>
    <x v="1"/>
    <x v="8"/>
    <s v="NUM"/>
    <x v="0"/>
    <n v="3.1250011024926402E-5"/>
    <n v="2.4777340346698399E-5"/>
    <n v="1.3863813088974501E-2"/>
    <n v="3.7416091600189501"/>
  </r>
  <r>
    <n v="358"/>
    <s v="it's a piece of cake"/>
    <s v="it's a piece of"/>
    <s v="cake"/>
    <s v="it's a piece of cake"/>
    <x v="2"/>
    <x v="0"/>
    <x v="1"/>
    <s v="NOUN"/>
    <x v="0"/>
    <n v="3.1250006812481203E-5"/>
    <n v="2.2874939055395799E-5"/>
    <n v="-3.3117412959580997E-2"/>
    <n v="2.7769057173687499"/>
  </r>
  <r>
    <n v="359"/>
    <s v="it's raining cats and dogs"/>
    <s v="it's raining cats and"/>
    <s v="dogs"/>
    <s v="it's raining cats and dogs"/>
    <x v="2"/>
    <x v="0"/>
    <x v="1"/>
    <s v="NOUN"/>
    <x v="0"/>
    <n v="3.12500042847625E-5"/>
    <n v="2.0689465158566601E-5"/>
    <n v="-1.1969504731531799E-2"/>
    <n v="3.6142842694127801"/>
  </r>
  <r>
    <n v="360"/>
    <s v="saving for a rainy day"/>
    <s v="saving for a rainy"/>
    <s v="day"/>
    <s v="saving for a rainy day"/>
    <x v="2"/>
    <x v="1"/>
    <x v="1"/>
    <s v="NOUN"/>
    <x v="0"/>
    <n v="3.1250005192450501E-5"/>
    <n v="2.9191945555228702E-5"/>
    <n v="-2.0475309407794899E-2"/>
    <n v="3.6840005823286601"/>
  </r>
  <r>
    <n v="361"/>
    <s v="slow and steady wins the race"/>
    <s v="slow and steady wins the"/>
    <s v="race"/>
    <s v="slow and steady wins the race"/>
    <x v="1"/>
    <x v="0"/>
    <x v="1"/>
    <s v="NOUN"/>
    <x v="0"/>
    <n v="3.1250004241824103E-5"/>
    <n v="2.4779886665802E-5"/>
    <n v="7.4073735104640496E-3"/>
    <n v="3.4558770171502999"/>
  </r>
  <r>
    <n v="362"/>
    <s v="take a rain check"/>
    <s v="take a rain"/>
    <s v="check"/>
    <s v="take a rain check"/>
    <x v="0"/>
    <x v="3"/>
    <x v="1"/>
    <s v="NOUN"/>
    <x v="0"/>
    <n v="3.1250010444874201E-5"/>
    <n v="1.4945074016896301E-5"/>
    <n v="-8.2714568004202908E-3"/>
    <n v="2.8270826432745899"/>
  </r>
  <r>
    <n v="363"/>
    <s v="take it with a grain of salt"/>
    <s v="take it with a grain of"/>
    <s v="salt"/>
    <s v="take it with a grain of salt"/>
    <x v="4"/>
    <x v="0"/>
    <x v="1"/>
    <s v="NOUN"/>
    <x v="0"/>
    <n v="3.1249999451175797E-5"/>
    <n v="2.4623442693077401E-5"/>
    <n v="-2.3945741301076798E-3"/>
    <n v="3.5048678435530198"/>
  </r>
  <r>
    <n v="364"/>
    <s v="the ball is in your court"/>
    <s v="the ball is in your"/>
    <s v="court"/>
    <s v="the ball is in your court"/>
    <x v="1"/>
    <x v="3"/>
    <x v="1"/>
    <s v="NOUN"/>
    <x v="0"/>
    <n v="3.1250004641276899E-5"/>
    <n v="2.3118722269673199E-5"/>
    <n v="4.6894665007243902E-2"/>
    <n v="3.2973136807607499"/>
  </r>
  <r>
    <n v="365"/>
    <s v="the best thing since sliced bread"/>
    <s v="the best thing since sliced"/>
    <s v="bread"/>
    <s v="the best thing since sliced bread"/>
    <x v="1"/>
    <x v="3"/>
    <x v="1"/>
    <s v="NOUN"/>
    <x v="0"/>
    <n v="3.1250001177679598E-5"/>
    <n v="2.06788463593117E-5"/>
    <n v="1.07885172955093E-2"/>
    <n v="3.1871507011547102"/>
  </r>
  <r>
    <n v="366"/>
    <s v="the devil is in the details"/>
    <s v="the devil is in the"/>
    <s v="details"/>
    <s v="the devil is in the details"/>
    <x v="1"/>
    <x v="2"/>
    <x v="1"/>
    <s v="NOUN"/>
    <x v="0"/>
    <n v="3.1250008724693399E-5"/>
    <n v="1.2127951489603699E-5"/>
    <n v="1.9690989011043099E-2"/>
    <n v="3.26486814908196"/>
  </r>
  <r>
    <n v="367"/>
    <s v="the early bird gets the worm"/>
    <s v="the early bird gets the"/>
    <s v="worm"/>
    <s v="the early bird gets the worm"/>
    <x v="1"/>
    <x v="0"/>
    <x v="1"/>
    <s v="NOUN"/>
    <x v="0"/>
    <n v="3.1250009505356301E-5"/>
    <n v="3.1238374134480898E-5"/>
    <n v="-1.06680778072349E-2"/>
    <n v="3.36636568233373"/>
  </r>
  <r>
    <n v="368"/>
    <s v="the elephant in the room"/>
    <s v="the elephant in the"/>
    <s v="room"/>
    <s v="the elephant in the room"/>
    <x v="2"/>
    <x v="0"/>
    <x v="1"/>
    <s v="NOUN"/>
    <x v="0"/>
    <n v="3.12500073117474E-5"/>
    <n v="1.42972186267795E-5"/>
    <n v="4.2547086723573102E-2"/>
    <n v="3.0853256340909501"/>
  </r>
  <r>
    <n v="369"/>
    <s v="the whole nine yards"/>
    <s v="the whole nine"/>
    <s v="yards"/>
    <s v="the whole nine yards"/>
    <x v="0"/>
    <x v="3"/>
    <x v="1"/>
    <s v="NOUN"/>
    <x v="0"/>
    <n v="3.1250004842730499E-5"/>
    <n v="2.4954892211166502E-5"/>
    <n v="2.3177100389492701E-2"/>
    <n v="3.0375006386497501"/>
  </r>
  <r>
    <n v="370"/>
    <s v="there are other fish in the sea"/>
    <s v="there are other fish in the"/>
    <s v="sea"/>
    <s v="there are other fish in the sea"/>
    <x v="4"/>
    <x v="1"/>
    <x v="1"/>
    <s v="NOUN"/>
    <x v="0"/>
    <n v="3.1250007796260003E-5"/>
    <n v="2.4295889061697601E-5"/>
    <n v="2.4338959039762399E-2"/>
    <n v="3.5219758844343598"/>
  </r>
  <r>
    <n v="371"/>
    <s v="there's a method to his madness"/>
    <s v="there's a method to his"/>
    <s v="madness"/>
    <s v="there's a method to his madness"/>
    <x v="1"/>
    <x v="2"/>
    <x v="1"/>
    <s v="NOUN"/>
    <x v="0"/>
    <n v="3.1250026839916297E-5"/>
    <n v="3.07094699687315E-5"/>
    <n v="-1.5424281357852E-2"/>
    <n v="3.64650952183628"/>
  </r>
  <r>
    <n v="372"/>
    <s v="you can't have your cake and eat it too"/>
    <s v="you can't have your cake and eat it"/>
    <s v="too"/>
    <s v="you can't have your cake and eat it too"/>
    <x v="5"/>
    <x v="1"/>
    <x v="0"/>
    <s v="ADV"/>
    <x v="0"/>
    <n v="3.1250007723348701E-5"/>
    <n v="9.9838257623079592E-6"/>
    <n v="-1.30704902037237E-2"/>
    <n v="3.82796021090493"/>
  </r>
  <r>
    <n v="373"/>
    <s v="you can't judge a book by its cover"/>
    <s v="you can't judge a book by its"/>
    <s v="cover"/>
    <s v="you can't judge a book by its cover"/>
    <x v="3"/>
    <x v="3"/>
    <x v="1"/>
    <s v="NOUN"/>
    <x v="0"/>
    <n v="3.12499980653222E-5"/>
    <n v="2.3529925998586201E-5"/>
    <n v="1.51199339440921E-3"/>
    <n v="3.40318139840879"/>
  </r>
  <r>
    <n v="374"/>
    <s v="a little learning is a dangerous thing"/>
    <s v="a little learning is a dangerous"/>
    <s v="thing"/>
    <s v="a little learning is a dangerous thing"/>
    <x v="4"/>
    <x v="3"/>
    <x v="1"/>
    <s v="NOUN"/>
    <x v="0"/>
    <n v="3.12500185924647E-5"/>
    <n v="2.9363385996062699E-5"/>
    <n v="-4.0257545483378003E-2"/>
    <n v="3.4670182064274702"/>
  </r>
  <r>
    <n v="375"/>
    <s v="a snowball's chance in hell"/>
    <s v="a snowball's chance in"/>
    <s v="hell"/>
    <s v="a snowball's chance in hell"/>
    <x v="2"/>
    <x v="0"/>
    <x v="1"/>
    <s v="NOUN"/>
    <x v="0"/>
    <n v="3.1249999948840803E-5"/>
    <n v="8.2707814297217694E-6"/>
    <n v="1.9323313792755301E-2"/>
    <n v="3.3526955747492302"/>
  </r>
  <r>
    <n v="376"/>
    <s v="a storm in a teacup"/>
    <s v="a storm in a"/>
    <s v="teacup"/>
    <s v="a storm in a teacup"/>
    <x v="2"/>
    <x v="5"/>
    <x v="1"/>
    <s v="NOUN"/>
    <x v="0"/>
    <n v="3.1250019104928198E-5"/>
    <n v="3.0851128649075503E-5"/>
    <n v="-4.7944531770696096E-3"/>
    <n v="2.1318871248247602"/>
  </r>
  <r>
    <n v="377"/>
    <s v="an apple a day keeps the doctor away"/>
    <s v="an apple a day keeps the doctor"/>
    <s v="away"/>
    <s v="an apple a day keeps the doctor away"/>
    <x v="3"/>
    <x v="0"/>
    <x v="0"/>
    <s v="ADV"/>
    <x v="0"/>
    <n v="3.1249999525749703E-5"/>
    <n v="2.90227270371456E-5"/>
    <n v="-1.68836272881982E-2"/>
    <n v="3.65419657736564"/>
  </r>
  <r>
    <n v="378"/>
    <s v="an ounce of prevention is worth a pound of cure"/>
    <s v="an ounce of prevention is worth a pound of"/>
    <s v="cure"/>
    <s v="an ounce of prevention is worth a pound of cure"/>
    <x v="7"/>
    <x v="0"/>
    <x v="1"/>
    <s v="NOUN"/>
    <x v="0"/>
    <n v="3.1250016741022503E-5"/>
    <n v="3.1028545279735198E-5"/>
    <n v="-2.5200460193730099E-2"/>
    <n v="2.7259937079411398"/>
  </r>
  <r>
    <n v="379"/>
    <s v="calm before the storm"/>
    <s v="calm before the"/>
    <s v="storm"/>
    <s v="calm before the storm"/>
    <x v="0"/>
    <x v="3"/>
    <x v="1"/>
    <s v="NOUN"/>
    <x v="0"/>
    <n v="3.1250006217214603E-5"/>
    <n v="1.4771668255700501E-5"/>
    <n v="2.6322659796250002E-2"/>
    <n v="3.0359070209522301"/>
  </r>
  <r>
    <n v="380"/>
    <s v="don't beat a dead horse"/>
    <s v="don't beat a dead"/>
    <s v="horse"/>
    <s v="don't beat a dead horse"/>
    <x v="2"/>
    <x v="3"/>
    <x v="1"/>
    <s v="NOUN"/>
    <x v="0"/>
    <n v="3.1250009499271298E-5"/>
    <n v="2.0654969608418501E-5"/>
    <n v="-1.0623291625933E-2"/>
    <n v="3.2564412780699601"/>
  </r>
  <r>
    <n v="381"/>
    <s v="every dog has his day"/>
    <s v="every dog has his"/>
    <s v="day"/>
    <s v="every dog has his day"/>
    <x v="2"/>
    <x v="1"/>
    <x v="1"/>
    <s v="NOUN"/>
    <x v="0"/>
    <n v="3.1249997862105003E-5"/>
    <n v="2.6897496738821399E-5"/>
    <n v="1.5613249000125499E-2"/>
    <n v="3.3308623748138801"/>
  </r>
  <r>
    <n v="382"/>
    <s v="have your head in the clouds"/>
    <s v="have your head in the"/>
    <s v="clouds"/>
    <s v="have your head in the clouds"/>
    <x v="1"/>
    <x v="5"/>
    <x v="1"/>
    <s v="NOUN"/>
    <x v="0"/>
    <n v="3.1250002886724301E-5"/>
    <n v="1.42761380105732E-5"/>
    <n v="3.30787815306368E-2"/>
    <n v="3.3956882677961899"/>
  </r>
  <r>
    <n v="383"/>
    <s v="he who laughs last laughs loudest"/>
    <s v="he who laughs last laughs"/>
    <s v="loudest"/>
    <s v="he who laughs last laughs bestI'"/>
    <x v="1"/>
    <x v="2"/>
    <x v="6"/>
    <s v="PROPN"/>
    <x v="1"/>
    <n v="3.1249997728772402E-5"/>
    <n v="1.09913126454794E-6"/>
    <n v="-1.9409136795829299E-2"/>
    <n v="3.4673184131067498"/>
  </r>
  <r>
    <n v="384"/>
    <s v="hear something straight from the horse's mouth"/>
    <s v="hear something straight from the horse's"/>
    <s v="mouth"/>
    <s v="hear something straight from the horse's mouth"/>
    <x v="4"/>
    <x v="3"/>
    <x v="1"/>
    <s v="NOUN"/>
    <x v="0"/>
    <n v="3.1250009817365502E-5"/>
    <n v="2.9274786036527701E-5"/>
    <n v="3.1032822474088501E-3"/>
    <n v="3.6069975657429501"/>
  </r>
  <r>
    <n v="385"/>
    <s v="he's off his rocker"/>
    <s v="he's off his"/>
    <s v="rocker"/>
    <s v="he's off his meds againI"/>
    <x v="0"/>
    <x v="5"/>
    <x v="1"/>
    <s v="PROPN"/>
    <x v="1"/>
    <n v="3.1249996075545699E-5"/>
    <n v="2.6613422972105702E-7"/>
    <n v="-2.18487498141435E-2"/>
    <n v="3.5525047049970402"/>
  </r>
  <r>
    <n v="386"/>
    <s v="it is always darkest before the dawn"/>
    <s v="it is always darkest before the"/>
    <s v="dawn"/>
    <s v="it is always darkest before the dawn"/>
    <x v="4"/>
    <x v="0"/>
    <x v="1"/>
    <s v="NOUN"/>
    <x v="0"/>
    <n v="3.12500047901339E-5"/>
    <n v="2.27672400274706E-5"/>
    <n v="1.6198502776767001E-2"/>
    <n v="3.4459085704228301"/>
  </r>
  <r>
    <n v="387"/>
    <s v="know which way the wind is blowing"/>
    <s v="know which way the wind is"/>
    <s v="blowing"/>
    <s v="know which way the wind is blowing"/>
    <x v="4"/>
    <x v="2"/>
    <x v="7"/>
    <s v="VERB"/>
    <x v="0"/>
    <n v="3.1250006366896499E-5"/>
    <n v="2.94230657861268E-5"/>
    <n v="5.5846019719325499E-3"/>
    <n v="3.7574334689729101"/>
  </r>
  <r>
    <n v="388"/>
    <s v="like two peas in a pod"/>
    <s v="like two peas in a"/>
    <s v="pod"/>
    <s v="like two peas in a pod"/>
    <x v="1"/>
    <x v="1"/>
    <x v="1"/>
    <s v="NOUN"/>
    <x v="0"/>
    <n v="3.1250015406819301E-5"/>
    <n v="2.8488349644806799E-5"/>
    <n v="-2.09272700901483E-2"/>
    <n v="3.51324643882193"/>
  </r>
  <r>
    <n v="389"/>
    <s v="make hay while the sun shines"/>
    <s v="make hay while the sun"/>
    <s v="shines"/>
    <s v="make hay while the sun shines"/>
    <x v="1"/>
    <x v="5"/>
    <x v="7"/>
    <s v="VERB"/>
    <x v="0"/>
    <n v="3.1250009383885102E-5"/>
    <n v="2.8965631221716801E-5"/>
    <n v="-9.9131959631790691E-3"/>
    <n v="4.3369607698493802"/>
  </r>
  <r>
    <n v="390"/>
    <s v="shape up or ship out"/>
    <s v="shape up or ship"/>
    <s v="out"/>
    <s v="shape up or ship out"/>
    <x v="2"/>
    <x v="1"/>
    <x v="2"/>
    <s v="ADP"/>
    <x v="0"/>
    <n v="3.1250008138871603E-5"/>
    <n v="3.0220888436093301E-5"/>
    <n v="-4.1236415841225896E-3"/>
    <n v="3.5842759998703602"/>
  </r>
  <r>
    <n v="391"/>
    <s v="that ship has sailed"/>
    <s v="that ship has"/>
    <s v="sailed"/>
    <s v="that ship has sailed"/>
    <x v="0"/>
    <x v="5"/>
    <x v="7"/>
    <s v="VERB"/>
    <x v="0"/>
    <n v="3.1249989588574603E-5"/>
    <n v="3.1223634292868401E-5"/>
    <n v="1.03197868811637E-2"/>
    <n v="3.0393481817177799"/>
  </r>
  <r>
    <n v="392"/>
    <s v="the pot calling the kettle black"/>
    <s v="the pot calling the kettle"/>
    <s v="black"/>
    <s v="the pot calling the kettle black"/>
    <x v="1"/>
    <x v="3"/>
    <x v="6"/>
    <s v="ADJ"/>
    <x v="0"/>
    <n v="3.1250004059644501E-5"/>
    <n v="1.98162182984475E-5"/>
    <n v="-2.4000406855350299E-2"/>
    <n v="3.2000447161688501"/>
  </r>
  <r>
    <n v="393"/>
    <s v="there are clouds on the horizon"/>
    <s v="there are clouds on the"/>
    <s v="horizon"/>
    <s v="there are clouds on the horizon"/>
    <x v="1"/>
    <x v="2"/>
    <x v="1"/>
    <s v="NOUN"/>
    <x v="0"/>
    <n v="3.1249997736539301E-5"/>
    <n v="8.5896163957287602E-6"/>
    <n v="4.12129784065427E-2"/>
    <n v="2.1984657868617399"/>
  </r>
  <r>
    <n v="394"/>
    <s v="those who live in glass houses shouldn't throw stones"/>
    <s v="those who live in glass houses shouldn't throw"/>
    <s v="stones"/>
    <s v="those who live in glass houses shouldn't throw stones"/>
    <x v="5"/>
    <x v="5"/>
    <x v="1"/>
    <s v="NOUN"/>
    <x v="0"/>
    <n v="3.12499965293963E-5"/>
    <n v="2.1140636230691701E-5"/>
    <n v="-1.852623380978E-2"/>
    <n v="3.5698684436437298"/>
  </r>
  <r>
    <n v="395"/>
    <s v="we see eye to eye"/>
    <s v="we see eye to"/>
    <s v="eye"/>
    <s v="we see eye to eye"/>
    <x v="2"/>
    <x v="1"/>
    <x v="1"/>
    <s v="NOUN"/>
    <x v="0"/>
    <n v="3.12500083600035E-5"/>
    <n v="3.02759458572799E-5"/>
    <n v="-2.4217103566130001E-2"/>
    <n v="3.7684381908076299"/>
  </r>
  <r>
    <n v="396"/>
    <s v="when it rains it pours"/>
    <s v="when it rains it"/>
    <s v="pours"/>
    <s v="when it rains it pours"/>
    <x v="2"/>
    <x v="3"/>
    <x v="7"/>
    <s v="VERB"/>
    <x v="0"/>
    <n v="3.1249992965226202E-5"/>
    <n v="3.0840042027739703E-5"/>
    <n v="-2.30436322022455E-2"/>
    <n v="3.8410654064922198"/>
  </r>
  <r>
    <n v="397"/>
    <s v="you can catch more flies with honey than you can with vinegar"/>
    <s v="you can catch more flies with honey than you can with"/>
    <s v="vinegar"/>
    <s v="you can catch more flies with honey than you can with vinegar"/>
    <x v="8"/>
    <x v="2"/>
    <x v="1"/>
    <s v="NOUN"/>
    <x v="0"/>
    <n v="3.1250006303257599E-5"/>
    <n v="3.1207740567111698E-5"/>
    <n v="-1.07859262868785E-2"/>
    <n v="3.4034289758087"/>
  </r>
  <r>
    <n v="398"/>
    <s v="you can lead a horse to water, but you can't make him drink"/>
    <s v="you can lead a horse to water, but you can't make him"/>
    <s v="drink"/>
    <s v="you can lead a horse to water, but you can't make him drink"/>
    <x v="9"/>
    <x v="3"/>
    <x v="7"/>
    <s v="VERB"/>
    <x v="0"/>
    <n v="3.1250004168490498E-5"/>
    <n v="2.0404876962570501E-5"/>
    <n v="-2.77264531375998E-3"/>
    <n v="3.4222797239063998"/>
  </r>
  <r>
    <n v="399"/>
    <s v="you can't make an omelet without breaking some eggs"/>
    <s v="you can't make an omelet without breaking some"/>
    <s v="eggs"/>
    <s v="you can't make an omelet without breaking some eggs"/>
    <x v="5"/>
    <x v="0"/>
    <x v="1"/>
    <s v="NOUN"/>
    <x v="0"/>
    <n v="3.1249992808579602E-5"/>
    <n v="1.7335725616381999E-5"/>
    <n v="1.6802950656686001E-2"/>
    <n v="2.8783490158977001"/>
  </r>
  <r>
    <n v="400"/>
    <s v="keep up the good work"/>
    <s v="keep up the good"/>
    <s v="work"/>
    <s v="keep up the good work"/>
    <x v="2"/>
    <x v="0"/>
    <x v="1"/>
    <s v="NOUN"/>
    <x v="0"/>
    <n v="3.1249988792304998E-5"/>
    <n v="2.0051314324054999E-5"/>
    <n v="1.2279986433554701E-2"/>
    <n v="3.3390699508952402"/>
  </r>
  <r>
    <n v="401"/>
    <s v="not in a million years"/>
    <s v="not in a million"/>
    <s v="years"/>
    <s v="not in a million years"/>
    <x v="2"/>
    <x v="3"/>
    <x v="1"/>
    <s v="NOUN"/>
    <x v="0"/>
    <n v="3.1250008303020598E-5"/>
    <n v="2.5180992775583001E-5"/>
    <n v="3.5593892634672303E-2"/>
    <n v="3.3758142563244502"/>
  </r>
  <r>
    <n v="402"/>
    <s v="between life and death"/>
    <s v="between life and"/>
    <s v="death"/>
    <s v="between life and death"/>
    <x v="0"/>
    <x v="3"/>
    <x v="1"/>
    <s v="NOUN"/>
    <x v="0"/>
    <n v="3.1249996530465899E-5"/>
    <n v="1.37301804703176E-5"/>
    <n v="2.0856985173184101E-2"/>
    <n v="3.38623827532227"/>
  </r>
  <r>
    <n v="403"/>
    <s v="for love nor money"/>
    <s v="for love nor"/>
    <s v="money"/>
    <s v="for love nor money"/>
    <x v="0"/>
    <x v="3"/>
    <x v="1"/>
    <s v="NOUN"/>
    <x v="0"/>
    <n v="3.12500083247058E-5"/>
    <n v="2.31905315701598E-5"/>
    <n v="9.3935725024607494E-3"/>
    <n v="3.30454441624072"/>
  </r>
  <r>
    <n v="404"/>
    <s v="just what the doctor ordered"/>
    <s v="just what the doctor"/>
    <s v="ordered"/>
    <s v="just what the doctor ordered"/>
    <x v="2"/>
    <x v="2"/>
    <x v="7"/>
    <s v="VERB"/>
    <x v="0"/>
    <n v="3.1250012112827499E-5"/>
    <n v="2.51833249287138E-5"/>
    <n v="-8.7962787794282297E-3"/>
    <n v="3.5528420632235398"/>
  </r>
  <r>
    <n v="405"/>
    <s v="in the cold light of day"/>
    <s v="in the cold light of"/>
    <s v="day"/>
    <s v="in the cold light of day"/>
    <x v="1"/>
    <x v="1"/>
    <x v="1"/>
    <s v="NOUN"/>
    <x v="0"/>
    <n v="3.1250014287433399E-5"/>
    <n v="1.06259025987076E-5"/>
    <n v="1.95081837607702E-3"/>
    <n v="3.3510716094509698"/>
  </r>
  <r>
    <n v="406"/>
    <s v="in the wake of"/>
    <s v="in the wake"/>
    <s v="of"/>
    <s v="in the wake of"/>
    <x v="0"/>
    <x v="4"/>
    <x v="2"/>
    <s v="ADP"/>
    <x v="0"/>
    <n v="3.12500048613728E-5"/>
    <n v="2.96578709563106E-5"/>
    <n v="-5.6306935069976296E-3"/>
    <n v="3.67694172563573"/>
  </r>
  <r>
    <n v="407"/>
    <s v="the letter of the law"/>
    <s v="the letter of the"/>
    <s v="law"/>
    <s v="the letter of the law"/>
    <x v="2"/>
    <x v="1"/>
    <x v="1"/>
    <s v="NOUN"/>
    <x v="0"/>
    <n v="3.1250002837847003E-5"/>
    <n v="1.3916156489043899E-6"/>
    <n v="3.42715749125517E-2"/>
    <n v="3.0936381537213999"/>
  </r>
  <r>
    <n v="408"/>
    <s v="the men in grey suits"/>
    <s v="the men in grey"/>
    <s v="suits"/>
    <s v="the men in grey suits"/>
    <x v="2"/>
    <x v="3"/>
    <x v="1"/>
    <s v="NOUN"/>
    <x v="0"/>
    <n v="3.1249999270432302E-5"/>
    <n v="3.0900348090738199E-5"/>
    <n v="2.8166234709370699E-2"/>
    <n v="3.3173813566267398"/>
  </r>
  <r>
    <n v="409"/>
    <s v="the spirit of the law"/>
    <s v="the spirit of the"/>
    <s v="law"/>
    <s v="the spirit of the law"/>
    <x v="2"/>
    <x v="1"/>
    <x v="1"/>
    <s v="NOUN"/>
    <x v="0"/>
    <n v="3.1250003138764402E-5"/>
    <n v="1.49261836961659E-7"/>
    <n v="4.0333503996706099E-2"/>
    <n v="2.502480717778"/>
  </r>
  <r>
    <n v="410"/>
    <s v="middle of the road"/>
    <s v="middle of the"/>
    <s v="road"/>
    <s v="middle of the night,"/>
    <x v="0"/>
    <x v="0"/>
    <x v="1"/>
    <s v="NOUN"/>
    <x v="1"/>
    <n v="3.1250002665560298E-5"/>
    <n v="1.1370074316383499E-6"/>
    <n v="-1.1800598020244E-2"/>
    <n v="3.0321145138003001"/>
  </r>
  <r>
    <n v="411"/>
    <s v="caught in the crossfire"/>
    <s v="caught in the"/>
    <s v="crossfire"/>
    <s v="caught in the act of doing something wrong"/>
    <x v="0"/>
    <x v="7"/>
    <x v="1"/>
    <s v="ADJ"/>
    <x v="1"/>
    <n v="3.1250008159839199E-5"/>
    <n v="4.0519205448921198E-6"/>
    <n v="-2.96766594727557E-2"/>
    <n v="3.1185651932854301"/>
  </r>
  <r>
    <n v="412"/>
    <s v="a breath of fresh air"/>
    <s v="a breath of fresh"/>
    <s v="air"/>
    <s v="a breath of fresh air"/>
    <x v="2"/>
    <x v="1"/>
    <x v="1"/>
    <s v="NOUN"/>
    <x v="0"/>
    <n v="3.1250007911172199E-5"/>
    <n v="2.2208510867299701E-5"/>
    <n v="8.1939870517260208E-3"/>
    <n v="3.2064622623539698"/>
  </r>
  <r>
    <n v="413"/>
    <s v="a clean bill of health"/>
    <s v="a clean bill of"/>
    <s v="health"/>
    <s v="a clean bill of health"/>
    <x v="2"/>
    <x v="5"/>
    <x v="1"/>
    <s v="NOUN"/>
    <x v="0"/>
    <n v="3.1250004804378399E-5"/>
    <n v="2.2324220798970001E-5"/>
    <n v="8.0722207459302808E-3"/>
    <n v="3.40642353975193"/>
  </r>
  <r>
    <n v="414"/>
    <s v="a new lease of life"/>
    <s v="a new lease of"/>
    <s v="life"/>
    <s v="a new lease of life"/>
    <x v="2"/>
    <x v="0"/>
    <x v="1"/>
    <s v="NOUN"/>
    <x v="0"/>
    <n v="3.125000918187E-5"/>
    <n v="2.4112960421491901E-5"/>
    <n v="4.5160208772969598E-3"/>
    <n v="3.3859580496875301"/>
  </r>
  <r>
    <n v="415"/>
    <s v="in the heat of the moment"/>
    <s v="in the heat of the"/>
    <s v="moment"/>
    <s v="in the heat of the day,"/>
    <x v="1"/>
    <x v="5"/>
    <x v="1"/>
    <s v="NOUN"/>
    <x v="1"/>
    <n v="3.1250004052209401E-5"/>
    <n v="3.7867584548055802E-6"/>
    <n v="-1.8811183235051401E-2"/>
    <n v="3.6968484197155398"/>
  </r>
  <r>
    <n v="416"/>
    <s v="a fate worse than death"/>
    <s v="a fate worse than"/>
    <s v="death"/>
    <s v="a fate worse than death"/>
    <x v="2"/>
    <x v="3"/>
    <x v="1"/>
    <s v="NOUN"/>
    <x v="0"/>
    <n v="3.1250006053765901E-5"/>
    <n v="6.6367788754836696E-6"/>
    <n v="9.5623530044797091E-3"/>
    <n v="3.3544222098407999"/>
  </r>
  <r>
    <n v="417"/>
    <s v="a fish out of water"/>
    <s v="a fish out of"/>
    <s v="water"/>
    <s v="a fish out of water"/>
    <x v="2"/>
    <x v="3"/>
    <x v="1"/>
    <s v="NOUN"/>
    <x v="0"/>
    <n v="3.1250006010763902E-5"/>
    <n v="2.47758039724227E-5"/>
    <n v="-1.874294342322E-3"/>
    <n v="3.4638128077633001"/>
  </r>
  <r>
    <n v="418"/>
    <s v="a flash in the pan"/>
    <s v="a flash in the"/>
    <s v="pan"/>
    <s v="a flash in the pan"/>
    <x v="2"/>
    <x v="1"/>
    <x v="1"/>
    <s v="NOUN"/>
    <x v="0"/>
    <n v="3.1250010686012602E-5"/>
    <n v="1.23627612862102E-5"/>
    <n v="3.1960969720102997E-2"/>
    <n v="3.00221536761984"/>
  </r>
  <r>
    <n v="419"/>
    <s v="a fly on the wall"/>
    <s v="a fly on the"/>
    <s v="wall"/>
    <s v="a fly on the wall"/>
    <x v="2"/>
    <x v="0"/>
    <x v="1"/>
    <s v="NOUN"/>
    <x v="0"/>
    <n v="3.1250004098139797E-5"/>
    <n v="1.7051667269112299E-5"/>
    <n v="1.53889047576853E-2"/>
    <n v="3.1761305173504"/>
  </r>
  <r>
    <n v="420"/>
    <s v="a foot in the door"/>
    <s v="a foot in the"/>
    <s v="door"/>
    <s v="a foot in the door"/>
    <x v="2"/>
    <x v="0"/>
    <x v="1"/>
    <s v="NOUN"/>
    <x v="0"/>
    <n v="3.1250004689782702E-5"/>
    <n v="5.99657824750675E-6"/>
    <n v="4.8434668426523303E-2"/>
    <n v="2.9532472094762499"/>
  </r>
  <r>
    <n v="421"/>
    <s v="a safe pair of hands"/>
    <s v="a safe pair of"/>
    <s v="hands"/>
    <s v="a safe pair of hands"/>
    <x v="2"/>
    <x v="3"/>
    <x v="1"/>
    <s v="NOUN"/>
    <x v="0"/>
    <n v="3.1250018494486901E-5"/>
    <n v="2.2825809076937601E-5"/>
    <n v="1.9122927542678501E-2"/>
    <n v="3.5679262090100101"/>
  </r>
  <r>
    <n v="422"/>
    <s v="a sight for sore eyes"/>
    <s v="a sight for sore"/>
    <s v="eyes"/>
    <s v="a sight for sore eyes"/>
    <x v="2"/>
    <x v="0"/>
    <x v="1"/>
    <s v="NOUN"/>
    <x v="0"/>
    <n v="3.1250010761637303E-5"/>
    <n v="2.65758030330493E-5"/>
    <n v="2.3630232992246599E-3"/>
    <n v="3.5194571259042302"/>
  </r>
  <r>
    <n v="423"/>
    <s v="a slap on the wrist"/>
    <s v="a slap on the"/>
    <s v="wrist"/>
    <s v="a slap on the wrist"/>
    <x v="2"/>
    <x v="3"/>
    <x v="1"/>
    <s v="NOUN"/>
    <x v="0"/>
    <n v="3.1250005255627402E-5"/>
    <n v="3.1184204500931398E-5"/>
    <n v="-2.3334064268993801E-3"/>
    <n v="2.5106731067833401"/>
  </r>
  <r>
    <n v="424"/>
    <s v="absence makes the heart grow fonder"/>
    <s v="absence makes the heart grow"/>
    <s v="fonder"/>
    <s v="absence makes the heart grow fonder"/>
    <x v="1"/>
    <x v="5"/>
    <x v="1"/>
    <s v="NOUN"/>
    <x v="0"/>
    <n v="3.1250000479773597E-5"/>
    <n v="3.1197265560111803E-5"/>
    <n v="-2.6769189028641401E-3"/>
    <n v="2.8630073029327301"/>
  </r>
  <r>
    <n v="425"/>
    <s v="as high as a kite"/>
    <s v="as high as a"/>
    <s v="kite"/>
    <s v="as high as a kite"/>
    <x v="2"/>
    <x v="0"/>
    <x v="1"/>
    <s v="NOUN"/>
    <x v="0"/>
    <n v="3.1249986689388497E-5"/>
    <n v="3.1141761069203799E-5"/>
    <n v="-1.46960187762203E-2"/>
    <n v="2.9529961529562598"/>
  </r>
  <r>
    <n v="426"/>
    <s v="stranger things have happened"/>
    <s v="stranger things have"/>
    <s v="happened"/>
    <s v="stranger things have happened"/>
    <x v="0"/>
    <x v="6"/>
    <x v="7"/>
    <s v="VERB"/>
    <x v="0"/>
    <n v="3.1250004265968201E-5"/>
    <n v="1.1122665941278301E-5"/>
    <n v="-1.1833594494177599E-2"/>
    <n v="3.3559718788189801"/>
  </r>
  <r>
    <n v="427"/>
    <s v="it's a small world"/>
    <s v="it's a small"/>
    <s v="world"/>
    <s v="it's a small world"/>
    <x v="0"/>
    <x v="3"/>
    <x v="1"/>
    <s v="NOUN"/>
    <x v="0"/>
    <n v="3.1250010536474498E-5"/>
    <n v="4.6959099419398599E-6"/>
    <n v="4.2351956214830002E-3"/>
    <n v="3.6036614734510901"/>
  </r>
  <r>
    <n v="428"/>
    <s v="give credit where credit is due"/>
    <s v="give credit where credit is"/>
    <s v="due"/>
    <s v="give credit where credit is due"/>
    <x v="1"/>
    <x v="1"/>
    <x v="6"/>
    <s v="ADJ"/>
    <x v="0"/>
    <n v="3.12500218257556E-5"/>
    <n v="2.90482067456E-5"/>
    <n v="-1.96393997976755E-2"/>
    <n v="3.5223746873053901"/>
  </r>
  <r>
    <n v="429"/>
    <s v="the straw that broke the camel's back"/>
    <s v="the straw that broke the camel's"/>
    <s v="back"/>
    <s v="the straw that broke the camel's back"/>
    <x v="4"/>
    <x v="0"/>
    <x v="1"/>
    <s v="NOUN"/>
    <x v="0"/>
    <n v="3.1250015455689897E-5"/>
    <n v="2.8013269502506999E-5"/>
    <n v="-3.86737404477344E-3"/>
    <n v="3.7377738271688998"/>
  </r>
  <r>
    <n v="430"/>
    <s v="you reap what you sow"/>
    <s v="you reap what you"/>
    <s v="sow"/>
    <s v="you reap what you sow"/>
    <x v="2"/>
    <x v="1"/>
    <x v="7"/>
    <s v="VERB"/>
    <x v="0"/>
    <n v="3.1249999506072301E-5"/>
    <n v="2.4938792547252501E-5"/>
    <n v="1.2646183325728E-2"/>
    <n v="3.69787344598755"/>
  </r>
  <r>
    <n v="431"/>
    <s v="turn a deaf ear"/>
    <s v="turn a deaf"/>
    <s v="ear"/>
    <s v="turn a deaf ear"/>
    <x v="0"/>
    <x v="1"/>
    <x v="1"/>
    <s v="NOUN"/>
    <x v="0"/>
    <n v="3.1250012462834903E-5"/>
    <n v="2.77674923875691E-5"/>
    <n v="-2.5808516965284401E-2"/>
    <n v="3.65188200248283"/>
  </r>
  <r>
    <n v="432"/>
    <s v="finding a needle in a haystack"/>
    <s v="finding a needle in a"/>
    <s v="haystack"/>
    <s v="finding a needle in a haystack"/>
    <x v="1"/>
    <x v="6"/>
    <x v="1"/>
    <s v="NOUN"/>
    <x v="0"/>
    <n v="3.12500117892106E-5"/>
    <n v="3.02180963600179E-5"/>
    <n v="-3.1875765132806301E-2"/>
    <n v="3.1267577580340702"/>
  </r>
  <r>
    <n v="433"/>
    <s v="see light at the end of the tunnel"/>
    <s v="see light at the end of the"/>
    <s v="tunnel"/>
    <s v="see light at the end of the tunnel"/>
    <x v="3"/>
    <x v="5"/>
    <x v="1"/>
    <s v="NOUN"/>
    <x v="0"/>
    <n v="3.1250001727632598E-5"/>
    <n v="2.3111818229240699E-5"/>
    <n v="-3.1231089814411899E-3"/>
    <n v="3.3564956012266598"/>
  </r>
  <r>
    <n v="434"/>
    <s v="don't look a gift horse in the mouth"/>
    <s v="don't look a gift horse in the"/>
    <s v="mouth"/>
    <s v="don't look a gift horse in the mouth"/>
    <x v="3"/>
    <x v="3"/>
    <x v="1"/>
    <s v="NOUN"/>
    <x v="0"/>
    <n v="3.1250000626724103E-5"/>
    <n v="2.7390767281022701E-5"/>
    <n v="1.51667556274901E-2"/>
    <n v="3.6347110709774499"/>
  </r>
  <r>
    <n v="435"/>
    <s v="make hair stand on end"/>
    <s v="make hair stand on"/>
    <s v="end"/>
    <s v="make hair stand on end"/>
    <x v="2"/>
    <x v="1"/>
    <x v="1"/>
    <s v="NOUN"/>
    <x v="0"/>
    <n v="3.1250009100295598E-5"/>
    <n v="2.6822002698876101E-5"/>
    <n v="2.3490954455276301E-2"/>
    <n v="3.5337647755443302"/>
  </r>
  <r>
    <n v="436"/>
    <s v="taste of your own medicine"/>
    <s v="taste of your own"/>
    <s v="medicine"/>
    <s v="taste of your own medicine"/>
    <x v="2"/>
    <x v="6"/>
    <x v="1"/>
    <s v="NOUN"/>
    <x v="0"/>
    <n v="3.1250003763316502E-5"/>
    <n v="2.07333627752161E-5"/>
    <n v="-5.2548506326388598E-3"/>
    <n v="2.8303341224863701"/>
  </r>
  <r>
    <n v="437"/>
    <s v="a fish rots from the head down"/>
    <s v="a fish rots from the head"/>
    <s v="down"/>
    <s v="a fish rots from the head down"/>
    <x v="4"/>
    <x v="0"/>
    <x v="0"/>
    <s v="ADV"/>
    <x v="0"/>
    <n v="3.1250007373242798E-5"/>
    <n v="5.9387974995472698E-6"/>
    <n v="-7.6281224319965004E-3"/>
    <n v="3.7212677332842299"/>
  </r>
  <r>
    <n v="438"/>
    <s v="know like the back of your hand"/>
    <s v="know like the back of your"/>
    <s v="hand"/>
    <s v="know like the back of your hand"/>
    <x v="4"/>
    <x v="0"/>
    <x v="1"/>
    <s v="NOUN"/>
    <x v="0"/>
    <n v="3.1250009947471897E-5"/>
    <n v="2.8494253538268398E-5"/>
    <n v="1.1149393221077501E-2"/>
    <n v="3.6708840781558498"/>
  </r>
  <r>
    <n v="439"/>
    <s v="have finger in too many pies"/>
    <s v="have finger in too many"/>
    <s v="pies"/>
    <s v="have finger in too many pies"/>
    <x v="1"/>
    <x v="0"/>
    <x v="1"/>
    <s v="NOUN"/>
    <x v="0"/>
    <n v="3.12500002237965E-5"/>
    <n v="3.09858893795886E-5"/>
    <n v="-1.61705447259805E-2"/>
    <n v="2.93197397366044"/>
  </r>
  <r>
    <n v="440"/>
    <s v="no pain no gain"/>
    <s v="no pain no"/>
    <s v="gain"/>
    <s v="no pain no gain"/>
    <x v="0"/>
    <x v="0"/>
    <x v="1"/>
    <s v="NOUN"/>
    <x v="0"/>
    <n v="3.1250011180130702E-5"/>
    <n v="1.1448110030231099E-5"/>
    <n v="1.8830558369074799E-2"/>
    <n v="3.3282305015943998"/>
  </r>
  <r>
    <n v="441"/>
    <s v="there's no smoke without fire"/>
    <s v="there's no smoke without"/>
    <s v="fire"/>
    <s v="there's no smoke without fire"/>
    <x v="2"/>
    <x v="0"/>
    <x v="1"/>
    <s v="NOUN"/>
    <x v="0"/>
    <n v="3.1250010390459903E-5"/>
    <n v="2.0088064026001099E-5"/>
    <n v="-6.2559307945662104E-3"/>
    <n v="3.5685220294411901"/>
  </r>
  <r>
    <n v="442"/>
    <s v="its raining cats and dogs"/>
    <s v="its raining cats and"/>
    <s v="dogs"/>
    <s v="its raining cats and dogs"/>
    <x v="2"/>
    <x v="0"/>
    <x v="1"/>
    <s v="NOUN"/>
    <x v="0"/>
    <n v="3.1249997962418397E-5"/>
    <n v="2.59318056838004E-5"/>
    <n v="-9.1584468192991101E-3"/>
    <n v="3.6602037700067598"/>
  </r>
  <r>
    <n v="443"/>
    <s v="have two pennies to rub together"/>
    <s v="have two pennies to rub"/>
    <s v="together"/>
    <s v="have two pennies to rub together"/>
    <x v="1"/>
    <x v="6"/>
    <x v="0"/>
    <s v="ADV"/>
    <x v="0"/>
    <n v="3.1250008745319499E-5"/>
    <n v="2.6338647210944801E-5"/>
    <n v="-5.1108997627263598E-2"/>
    <n v="3.7867515646810102"/>
  </r>
  <r>
    <n v="444"/>
    <s v="be glad to see the back of"/>
    <s v="be glad to see the back"/>
    <s v="of"/>
    <s v="be glad to see the back of"/>
    <x v="4"/>
    <x v="4"/>
    <x v="2"/>
    <s v="ADP"/>
    <x v="0"/>
    <n v="3.1250023658471599E-5"/>
    <n v="2.8927333385626999E-5"/>
    <n v="4.0214843869108502E-3"/>
    <n v="3.7030094981737198"/>
  </r>
  <r>
    <n v="445"/>
    <s v="to rub salt in the wound"/>
    <s v="to rub salt in the"/>
    <s v="wound"/>
    <s v="to rub salt in the wound"/>
    <x v="1"/>
    <x v="3"/>
    <x v="1"/>
    <s v="NOUN"/>
    <x v="0"/>
    <n v="3.1250007100069401E-5"/>
    <n v="2.08819913088767E-5"/>
    <n v="-2.55240919203885E-2"/>
    <n v="2.84082834942462"/>
  </r>
  <r>
    <n v="446"/>
    <s v="crème de la crème"/>
    <s v="crème de la"/>
    <s v="crème"/>
    <s v="crème de la crème"/>
    <x v="0"/>
    <x v="3"/>
    <x v="6"/>
    <s v="ADJ"/>
    <x v="0"/>
    <n v="3.12500163124524E-5"/>
    <n v="3.0068205512113801E-5"/>
    <n v="-8.3107843203293896E-3"/>
    <n v="2.44384952771096"/>
  </r>
  <r>
    <n v="447"/>
    <s v="in an extremely blissful state"/>
    <s v="in an extremely blissful"/>
    <s v="state"/>
    <s v="in an extremely blissful state"/>
    <x v="2"/>
    <x v="3"/>
    <x v="1"/>
    <s v="NOUN"/>
    <x v="0"/>
    <n v="3.1250008853073697E-5"/>
    <n v="2.99231876001345E-6"/>
    <n v="-1.55788727210577E-2"/>
    <n v="3.53540146401751"/>
  </r>
  <r>
    <n v="448"/>
    <s v="don't count your chickens before they've hatched"/>
    <s v="don't count your chickens before they've"/>
    <s v="hatched"/>
    <s v="don't count your chickens before they've hatched"/>
    <x v="4"/>
    <x v="2"/>
    <x v="7"/>
    <s v="VERB"/>
    <x v="0"/>
    <n v="3.12499987250484E-5"/>
    <n v="3.0649372434983499E-5"/>
    <n v="-2.7055756744744901E-2"/>
    <n v="3.8057732309160999"/>
  </r>
  <r>
    <n v="449"/>
    <s v="feeling a bit under the weather"/>
    <s v="feeling a bit under the"/>
    <s v="weather"/>
    <s v="feeling a bit under the weather"/>
    <x v="1"/>
    <x v="2"/>
    <x v="1"/>
    <s v="NOUN"/>
    <x v="0"/>
    <n v="3.1249999423420201E-5"/>
    <n v="2.9779046563163401E-5"/>
    <n v="-4.0223608276690401E-2"/>
    <n v="3.6805815435397"/>
  </r>
  <r>
    <n v="450"/>
    <s v="talking to a brick wall"/>
    <s v="talking to a brick"/>
    <s v="wall"/>
    <s v="talking to a brick wall"/>
    <x v="2"/>
    <x v="0"/>
    <x v="1"/>
    <s v="NOUN"/>
    <x v="0"/>
    <n v="3.1250011199303902E-5"/>
    <n v="2.5083725569696502E-5"/>
    <n v="-1.6572957924765298E-2"/>
    <n v="3.6010382802820402"/>
  </r>
  <r>
    <n v="451"/>
    <s v="packed (in) like sardines"/>
    <s v="packed (in) like"/>
    <s v="sardines"/>
    <s v="packed (in) like sardines"/>
    <x v="0"/>
    <x v="6"/>
    <x v="1"/>
    <s v="NOUN"/>
    <x v="0"/>
    <n v="3.1250002786687297E-5"/>
    <n v="3.10126555715301E-5"/>
    <n v="7.49279702295524E-3"/>
    <n v="2.9011668049135699"/>
  </r>
  <r>
    <n v="452"/>
    <s v="to be at the end of one's rope"/>
    <s v="to be at the end of one's"/>
    <s v="rope"/>
    <s v="to be at the end of one's tetherto be"/>
    <x v="3"/>
    <x v="0"/>
    <x v="1"/>
    <s v="AUX"/>
    <x v="1"/>
    <n v="3.1250005452204498E-5"/>
    <n v="1.32042501600341E-5"/>
    <n v="-4.3361332397608898E-3"/>
    <n v="3.4329421967521898"/>
  </r>
  <r>
    <n v="453"/>
    <s v="hard work never hurt anyone"/>
    <s v="hard work never hurt"/>
    <s v="anyone"/>
    <s v="hard work never hurt anyone"/>
    <x v="2"/>
    <x v="5"/>
    <x v="3"/>
    <s v="PRON"/>
    <x v="0"/>
    <n v="3.1250007531896101E-5"/>
    <n v="1.01813716521327E-5"/>
    <n v="-5.0695940831573597E-2"/>
    <n v="3.65666526523166"/>
  </r>
  <r>
    <n v="454"/>
    <s v="the odd one out"/>
    <s v="the odd one"/>
    <s v="out"/>
    <s v="the odd one out"/>
    <x v="0"/>
    <x v="1"/>
    <x v="2"/>
    <s v="ADP"/>
    <x v="0"/>
    <n v="3.1250006111083299E-5"/>
    <n v="1.9799994923783301E-5"/>
    <n v="-1.2904438710634699E-2"/>
    <n v="3.5274019225791302"/>
  </r>
  <r>
    <n v="455"/>
    <s v="having to start all over again"/>
    <s v="having to start all over"/>
    <s v="again"/>
    <s v="having to start all over again"/>
    <x v="1"/>
    <x v="3"/>
    <x v="0"/>
    <s v="ADV"/>
    <x v="0"/>
    <n v="3.1249999937841098E-5"/>
    <n v="1.47393369144057E-5"/>
    <n v="7.9465094481463404E-3"/>
    <n v="3.8102066631934202"/>
  </r>
  <r>
    <n v="456"/>
    <s v="that's the heart of the matter"/>
    <s v="that's the heart of the"/>
    <s v="matter"/>
    <s v="that's the heart of the matter"/>
    <x v="1"/>
    <x v="5"/>
    <x v="1"/>
    <s v="NOUN"/>
    <x v="0"/>
    <n v="3.1250007303677398E-5"/>
    <n v="4.8037910158654904E-6"/>
    <n v="3.1767740286056702E-2"/>
    <n v="3.4317578988838999"/>
  </r>
  <r>
    <n v="457"/>
    <s v="to have your cake and eat it, too"/>
    <s v="to have your cake and eat it,"/>
    <s v="too"/>
    <s v="to have your cake and eat it, too"/>
    <x v="3"/>
    <x v="1"/>
    <x v="0"/>
    <s v="ADV"/>
    <x v="0"/>
    <n v="3.1250005488744801E-5"/>
    <n v="2.5189513942129901E-5"/>
    <n v="-2.1346883075807399E-2"/>
    <n v="3.5547238040003299"/>
  </r>
  <r>
    <n v="458"/>
    <s v="hear it on the grapevine"/>
    <s v="hear it on the"/>
    <s v="grapevine"/>
    <s v="hear it on the radioThe "/>
    <x v="2"/>
    <x v="7"/>
    <x v="1"/>
    <s v="NOUN"/>
    <x v="1"/>
    <n v="3.1250001508345702E-5"/>
    <n v="9.2364912197483805E-8"/>
    <n v="5.1316258456862898E-2"/>
    <n v="2.98326377276749"/>
  </r>
  <r>
    <n v="459"/>
    <s v="to place the cherry on top"/>
    <s v="to place the cherry on"/>
    <s v="top"/>
    <s v="to place the cherry on top"/>
    <x v="1"/>
    <x v="1"/>
    <x v="1"/>
    <s v="NOUN"/>
    <x v="0"/>
    <n v="3.12500027789143E-5"/>
    <n v="1.5865652798779799E-5"/>
    <n v="-1.1922156048719001E-2"/>
    <n v="3.8065953690843002"/>
  </r>
  <r>
    <n v="460"/>
    <s v="make a bad situation even worse"/>
    <s v="make a bad situation even"/>
    <s v="worse"/>
    <s v="make a bad situation even worse"/>
    <x v="1"/>
    <x v="3"/>
    <x v="0"/>
    <s v="ADV"/>
    <x v="0"/>
    <n v="3.1250008157204899E-5"/>
    <n v="2.7696012219183599E-5"/>
    <n v="2.0533368231156101E-2"/>
    <n v="3.65355083852804"/>
  </r>
  <r>
    <n v="461"/>
    <s v="caught with one's hand in the cookie jar"/>
    <s v="caught with one's hand in the cookie"/>
    <s v="jar"/>
    <s v="caught with one's hand in the cookie jar"/>
    <x v="3"/>
    <x v="1"/>
    <x v="1"/>
    <s v="NOUN"/>
    <x v="0"/>
    <n v="3.1250005778428497E-5"/>
    <n v="2.9553687178810999E-5"/>
    <n v="3.8142816335593401E-3"/>
    <n v="3.6914591703934101"/>
  </r>
  <r>
    <n v="462"/>
    <s v="by hook or crook"/>
    <s v="by hook or"/>
    <s v="crook"/>
    <s v="by hook or by crook"/>
    <x v="0"/>
    <x v="3"/>
    <x v="1"/>
    <s v="PROPN"/>
    <x v="0"/>
    <n v="3.1250003014865098E-5"/>
    <n v="3.0828442811943902E-5"/>
    <n v="1.13720533752541E-2"/>
    <n v="2.7713899745280499"/>
  </r>
  <r>
    <n v="463"/>
    <s v="wouldn't be caught dead"/>
    <s v="wouldn't be caught"/>
    <s v="dead"/>
    <s v="wouldn't be caught dead"/>
    <x v="0"/>
    <x v="0"/>
    <x v="6"/>
    <s v="ADJ"/>
    <x v="0"/>
    <n v="3.1250013011442097E-5"/>
    <n v="1.7107090436967499E-5"/>
    <n v="-1.7157134785222999E-2"/>
    <n v="3.3805427794976399"/>
  </r>
  <r>
    <n v="464"/>
    <s v="don't toot your own horn"/>
    <s v="don't toot your own"/>
    <s v="horn"/>
    <s v="don't toot your own horn"/>
    <x v="2"/>
    <x v="0"/>
    <x v="1"/>
    <s v="NOUN"/>
    <x v="0"/>
    <n v="3.1250000770344001E-5"/>
    <n v="2.74896825296766E-5"/>
    <n v="3.2203212945617503E-2"/>
    <n v="3.6133123804891998"/>
  </r>
  <r>
    <n v="465"/>
    <s v="snake in the grass"/>
    <s v="snake in the"/>
    <s v="grass"/>
    <s v="snake in the grass"/>
    <x v="0"/>
    <x v="3"/>
    <x v="1"/>
    <s v="NOUN"/>
    <x v="0"/>
    <n v="3.1250007242091503E-5"/>
    <n v="4.32085994131616E-6"/>
    <n v="3.0851335670989799E-2"/>
    <n v="2.4236360235155798"/>
  </r>
  <r>
    <n v="466"/>
    <s v="rome wasn't built in a day"/>
    <s v="rome wasn't built in a"/>
    <s v="day"/>
    <s v="rome wasn't built in a day"/>
    <x v="1"/>
    <x v="1"/>
    <x v="1"/>
    <s v="NOUN"/>
    <x v="0"/>
    <n v="3.1250018380960898E-5"/>
    <n v="3.02683660885502E-5"/>
    <n v="-9.7436671941295502E-3"/>
    <n v="3.7295536864312901"/>
  </r>
  <r>
    <n v="467"/>
    <s v="to paint the town red"/>
    <s v="to paint the town"/>
    <s v="red"/>
    <s v="to paint the town red"/>
    <x v="2"/>
    <x v="1"/>
    <x v="7"/>
    <s v="VERB"/>
    <x v="0"/>
    <n v="3.12500089454076E-5"/>
    <n v="6.1865181129412802E-6"/>
    <n v="-6.8436471022827999E-3"/>
    <n v="3.4309938788203498"/>
  </r>
  <r>
    <n v="468"/>
    <s v="the shoemaker's son always goes barefoot"/>
    <s v="the shoemaker's son always goes"/>
    <s v="barefoot"/>
    <s v="the shoemaker's son always goes barefoot"/>
    <x v="1"/>
    <x v="6"/>
    <x v="0"/>
    <s v="ADV"/>
    <x v="0"/>
    <n v="3.1250018953375498E-5"/>
    <n v="2.8932341113761098E-5"/>
    <n v="-2.19486764426584E-2"/>
    <n v="3.7690910771298101"/>
  </r>
  <r>
    <n v="469"/>
    <s v="savings set aside for future use"/>
    <s v="savings set aside for future"/>
    <s v="use"/>
    <s v="savings set aside for future use"/>
    <x v="1"/>
    <x v="1"/>
    <x v="1"/>
    <s v="NOUN"/>
    <x v="0"/>
    <n v="3.1250011973486798E-5"/>
    <n v="1.3183844277512699E-5"/>
    <n v="2.15053521371402E-2"/>
    <n v="3.3838169527144601"/>
  </r>
  <r>
    <n v="470"/>
    <s v="misfortunes never come singly"/>
    <s v="misfortunes never come"/>
    <s v="singly"/>
    <s v="misfortunes never come singly"/>
    <x v="0"/>
    <x v="5"/>
    <x v="0"/>
    <s v="ADV"/>
    <x v="0"/>
    <n v="3.1250000654441298E-5"/>
    <n v="3.10031152758976E-5"/>
    <n v="7.5532385000336398E-3"/>
    <n v="2.8403775703009302"/>
  </r>
  <r>
    <n v="471"/>
    <s v="tough nut to crack"/>
    <s v="tough nut to"/>
    <s v="crack"/>
    <s v="tough nut to crack"/>
    <x v="0"/>
    <x v="3"/>
    <x v="7"/>
    <s v="VERB"/>
    <x v="0"/>
    <n v="3.1249994930964301E-5"/>
    <n v="2.8707996363212501E-5"/>
    <n v="-8.4155054951224797E-3"/>
    <n v="3.7563761046205801"/>
  </r>
  <r>
    <n v="472"/>
    <s v="cross that bridge when you come to it"/>
    <s v="cross that bridge when you come to"/>
    <s v="it"/>
    <s v="cross that bridge when you come to it"/>
    <x v="3"/>
    <x v="4"/>
    <x v="3"/>
    <s v="PRON"/>
    <x v="0"/>
    <n v="3.1249997642781502E-5"/>
    <n v="2.9872013073606099E-5"/>
    <n v="-5.9149438482677397E-3"/>
    <n v="3.61089266704013"/>
  </r>
  <r>
    <n v="473"/>
    <s v="not playing with a full deck"/>
    <s v="not playing with a full"/>
    <s v="deck"/>
    <s v="not playing with a full deck"/>
    <x v="1"/>
    <x v="0"/>
    <x v="1"/>
    <s v="NOUN"/>
    <x v="0"/>
    <n v="3.12499992169126E-5"/>
    <n v="2.45025679300714E-5"/>
    <n v="4.20145135100824E-3"/>
    <n v="3.3289608165139"/>
  </r>
  <r>
    <n v="474"/>
    <s v="a person who really talks too much"/>
    <s v="a person who really talks too"/>
    <s v="much"/>
    <s v="a person who really talks too much"/>
    <x v="4"/>
    <x v="0"/>
    <x v="0"/>
    <s v="ADV"/>
    <x v="0"/>
    <n v="3.1250014525856999E-5"/>
    <n v="2.7296587700902901E-5"/>
    <n v="-1.6856917097733501E-2"/>
    <n v="3.5312563959259502"/>
  </r>
  <r>
    <n v="475"/>
    <s v="the apple doesn't fall far from the tree"/>
    <s v="the apple doesn't fall far from the"/>
    <s v="tree"/>
    <s v="the apple doesn't fall far from the tree"/>
    <x v="3"/>
    <x v="0"/>
    <x v="1"/>
    <s v="NOUN"/>
    <x v="0"/>
    <n v="3.1250009721250098E-5"/>
    <n v="2.5439808596566401E-5"/>
    <n v="1.1544133933785601E-2"/>
    <n v="3.6693971333454498"/>
  </r>
  <r>
    <n v="476"/>
    <s v="for a very long time"/>
    <s v="for a very long"/>
    <s v="time"/>
    <s v="for a very long time"/>
    <x v="2"/>
    <x v="0"/>
    <x v="1"/>
    <s v="NOUN"/>
    <x v="0"/>
    <n v="3.1250003800387299E-5"/>
    <n v="2.56432733641925E-5"/>
    <n v="-3.3570289436809703E-2"/>
    <n v="3.6049085782303099"/>
  </r>
  <r>
    <n v="477"/>
    <s v="it's greek to me"/>
    <s v="it's greek to"/>
    <s v="me"/>
    <s v="it's greek to me"/>
    <x v="0"/>
    <x v="4"/>
    <x v="3"/>
    <s v="PRON"/>
    <x v="0"/>
    <n v="3.1250015347579003E-5"/>
    <n v="2.3337345117038599E-5"/>
    <n v="-8.4660519894209606E-3"/>
    <n v="3.6251233269973899"/>
  </r>
  <r>
    <n v="478"/>
    <s v="to be green with envy"/>
    <s v="to be green with"/>
    <s v="envy"/>
    <s v="to be green with envy"/>
    <x v="2"/>
    <x v="0"/>
    <x v="1"/>
    <s v="NOUN"/>
    <x v="0"/>
    <n v="3.12499947265964E-5"/>
    <n v="3.11463956927814E-5"/>
    <n v="-3.5635541609238403E-2"/>
    <n v="2.2815246695340901"/>
  </r>
  <r>
    <n v="479"/>
    <s v="the ends justifies the means"/>
    <s v="the ends justifies the"/>
    <s v="means"/>
    <s v="the ends justifies the means"/>
    <x v="2"/>
    <x v="3"/>
    <x v="1"/>
    <s v="NOUN"/>
    <x v="0"/>
    <n v="3.1250003217395399E-5"/>
    <n v="2.8822182095597501E-5"/>
    <n v="-8.8833537812220698E-3"/>
    <n v="3.6397636459042402"/>
  </r>
  <r>
    <n v="480"/>
    <s v="walk on thin ice"/>
    <s v="walk on thin"/>
    <s v="ice"/>
    <s v="walk on thin ice"/>
    <x v="0"/>
    <x v="1"/>
    <x v="1"/>
    <s v="NOUN"/>
    <x v="0"/>
    <n v="3.1250000866305001E-5"/>
    <n v="2.3785118949614298E-5"/>
    <n v="-2.8767119713165801E-2"/>
    <n v="3.35391380693338"/>
  </r>
  <r>
    <n v="481"/>
    <s v="beat a dead horse"/>
    <s v="beat a dead"/>
    <s v="horse"/>
    <s v="beat a dead horse"/>
    <x v="0"/>
    <x v="3"/>
    <x v="1"/>
    <s v="NOUN"/>
    <x v="0"/>
    <n v="3.1249995167744603E-5"/>
    <n v="2.2274509239656202E-5"/>
    <n v="-6.3237415876642401E-3"/>
    <n v="3.2475235374858"/>
  </r>
  <r>
    <n v="482"/>
    <s v="three sheets to the wind"/>
    <s v="three sheets to the"/>
    <s v="wind"/>
    <s v="three sheets to the wind"/>
    <x v="2"/>
    <x v="0"/>
    <x v="1"/>
    <s v="NOUN"/>
    <x v="0"/>
    <n v="3.1249994827580101E-5"/>
    <n v="2.92871606126302E-5"/>
    <n v="1.9689907665565401E-2"/>
    <n v="3.4578730506971902"/>
  </r>
  <r>
    <n v="483"/>
    <s v="to bite the dust"/>
    <s v="to bite the"/>
    <s v="dust"/>
    <s v="to bite the bullet and get a new"/>
    <x v="0"/>
    <x v="0"/>
    <x v="1"/>
    <s v="ADJ"/>
    <x v="1"/>
    <n v="3.1250000501593098E-5"/>
    <n v="4.2515487743135097E-7"/>
    <n v="2.6636352021071698E-2"/>
    <n v="2.6127489482434001"/>
  </r>
  <r>
    <n v="484"/>
    <s v="lose one's train of thought"/>
    <s v="lose one's train of"/>
    <s v="thought"/>
    <s v="lose one's train of thought"/>
    <x v="2"/>
    <x v="2"/>
    <x v="1"/>
    <s v="NOUN"/>
    <x v="0"/>
    <n v="3.1250005907157502E-5"/>
    <n v="2.9740578382843501E-5"/>
    <n v="-2.51913449560561E-2"/>
    <n v="3.51838598029045"/>
  </r>
  <r>
    <n v="485"/>
    <s v="throw a spanner in the works"/>
    <s v="throw a spanner in the"/>
    <s v="works"/>
    <s v="throw a spanner in the works"/>
    <x v="1"/>
    <x v="3"/>
    <x v="1"/>
    <s v="NOUN"/>
    <x v="0"/>
    <n v="3.1249995659860303E-5"/>
    <n v="2.8722327896103699E-5"/>
    <n v="3.35350711517179E-3"/>
    <n v="3.5921566898892099"/>
  </r>
  <r>
    <n v="486"/>
    <s v="can't judge a book by its cover"/>
    <s v="can't judge a book by its"/>
    <s v="cover"/>
    <s v="can't judge a book by its cover"/>
    <x v="4"/>
    <x v="3"/>
    <x v="1"/>
    <s v="NOUN"/>
    <x v="0"/>
    <n v="3.1250000244580398E-5"/>
    <n v="2.4602455075635401E-5"/>
    <n v="2.6097582222277499E-3"/>
    <n v="3.4879415817323398"/>
  </r>
  <r>
    <n v="487"/>
    <s v="on the pig's back"/>
    <s v="on the pig's"/>
    <s v="back"/>
    <s v="on the pig's back"/>
    <x v="0"/>
    <x v="0"/>
    <x v="1"/>
    <s v="NOUN"/>
    <x v="0"/>
    <n v="3.1250005238335902E-5"/>
    <n v="5.2788131793412101E-6"/>
    <n v="5.11343781400341E-3"/>
    <n v="3.1474245075912699"/>
  </r>
  <r>
    <n v="488"/>
    <s v="have an ax to grind"/>
    <s v="have an ax to"/>
    <s v="grind"/>
    <s v="have an ax to grind"/>
    <x v="2"/>
    <x v="3"/>
    <x v="7"/>
    <s v="VERB"/>
    <x v="0"/>
    <n v="3.1250005951708602E-5"/>
    <n v="3.1144848539533199E-5"/>
    <n v="2.1275053404323701E-4"/>
    <n v="2.6026581392228398"/>
  </r>
  <r>
    <n v="489"/>
    <s v="pull the wool over one's eyes"/>
    <s v="pull the wool over one's"/>
    <s v="eyes"/>
    <s v="pull the wool over one's eyes"/>
    <x v="1"/>
    <x v="0"/>
    <x v="1"/>
    <s v="NOUN"/>
    <x v="0"/>
    <n v="3.1249999196674699E-5"/>
    <n v="3.0826736328530903E-5"/>
    <n v="1.53093112381288E-2"/>
    <n v="3.6273346856938899"/>
  </r>
  <r>
    <n v="490"/>
    <s v="come a long way"/>
    <s v="come a long"/>
    <s v="way"/>
    <s v="come a long way"/>
    <x v="0"/>
    <x v="1"/>
    <x v="1"/>
    <s v="NOUN"/>
    <x v="0"/>
    <n v="3.1249999478483699E-5"/>
    <n v="1.5577316239839301E-5"/>
    <n v="-6.5621205432790904E-3"/>
    <n v="3.5060296866279499"/>
  </r>
  <r>
    <n v="491"/>
    <s v="a bitter pill to swallow"/>
    <s v="a bitter pill to"/>
    <s v="swallow"/>
    <s v="a bitter pill to swallow"/>
    <x v="2"/>
    <x v="2"/>
    <x v="7"/>
    <s v="VERB"/>
    <x v="0"/>
    <n v="3.1250002190341103E-5"/>
    <n v="3.1063800344726898E-5"/>
    <n v="-3.91514403722936E-3"/>
    <n v="2.5234571361527198"/>
  </r>
  <r>
    <n v="492"/>
    <s v="cry over spilt milk"/>
    <s v="cry over spilt"/>
    <s v="milk"/>
    <s v="cry over spilt milk"/>
    <x v="0"/>
    <x v="0"/>
    <x v="1"/>
    <s v="NOUN"/>
    <x v="0"/>
    <n v="3.1250019300932198E-5"/>
    <n v="2.70896964102825E-5"/>
    <n v="-1.47235942664991E-2"/>
    <n v="3.3816541271258802"/>
  </r>
  <r>
    <n v="493"/>
    <s v="virtually impossible to find"/>
    <s v="virtually impossible to"/>
    <s v="find"/>
    <s v="virtually impossible to get a good night’"/>
    <x v="0"/>
    <x v="0"/>
    <x v="7"/>
    <s v="PUNCT"/>
    <x v="1"/>
    <n v="3.1250002174924399E-5"/>
    <n v="1.1136989784123201E-5"/>
    <n v="-1.0204865353568199E-2"/>
    <n v="3.6911862761912002"/>
  </r>
  <r>
    <n v="494"/>
    <s v="united we stand, divided we fall"/>
    <s v="united we stand, divided we"/>
    <s v="fall"/>
    <s v="united we stand, divided we fall"/>
    <x v="1"/>
    <x v="0"/>
    <x v="7"/>
    <s v="VERB"/>
    <x v="0"/>
    <n v="3.12500029688941E-5"/>
    <n v="2.15587350214928E-5"/>
    <n v="-9.4453053960243897E-3"/>
    <n v="3.2012850454109301"/>
  </r>
  <r>
    <n v="495"/>
    <s v="pull the cat's tail"/>
    <s v="pull the cat's"/>
    <s v="tail"/>
    <s v="pull the cat's tail"/>
    <x v="0"/>
    <x v="0"/>
    <x v="1"/>
    <s v="NOUN"/>
    <x v="0"/>
    <n v="3.1250007826974299E-5"/>
    <n v="2.7117517962680201E-5"/>
    <n v="1.7195662427837901E-3"/>
    <n v="3.6262030453043499"/>
  </r>
  <r>
    <n v="496"/>
    <s v="tomorrow is another day"/>
    <s v="tomorrow is another"/>
    <s v="day"/>
    <s v="tomorrow is another day"/>
    <x v="0"/>
    <x v="1"/>
    <x v="1"/>
    <s v="NOUN"/>
    <x v="0"/>
    <n v="3.1250005709244201E-5"/>
    <n v="1.92491614099993E-5"/>
    <n v="5.3220438257994803E-3"/>
    <n v="3.3766729657881198"/>
  </r>
  <r>
    <n v="497"/>
    <s v="all that glitters is not gold"/>
    <s v="all that glitters is not"/>
    <s v="gold"/>
    <s v="all that glitters is not gold"/>
    <x v="1"/>
    <x v="0"/>
    <x v="6"/>
    <s v="ADJ"/>
    <x v="0"/>
    <n v="3.12500010533005E-5"/>
    <n v="2.3829217519514999E-5"/>
    <n v="-9.6628775525999799E-3"/>
    <n v="3.4696178589909201"/>
  </r>
  <r>
    <n v="498"/>
    <s v="off the beaten track"/>
    <s v="off the beaten"/>
    <s v="track"/>
    <s v="off the beaten path,"/>
    <x v="0"/>
    <x v="3"/>
    <x v="1"/>
    <s v="NOUN"/>
    <x v="1"/>
    <n v="3.12499984177613E-5"/>
    <n v="9.7628909147256201E-7"/>
    <n v="-7.4849125249443205E-4"/>
    <n v="2.8691704655139501"/>
  </r>
  <r>
    <n v="499"/>
    <s v="head for the hills"/>
    <s v="head for the"/>
    <s v="hills"/>
    <s v="head for the hills"/>
    <x v="0"/>
    <x v="3"/>
    <x v="1"/>
    <s v="NOUN"/>
    <x v="0"/>
    <n v="3.1249997775012601E-5"/>
    <n v="4.4213316916262303E-6"/>
    <n v="3.6319157249536702E-2"/>
    <n v="2.36554801338858"/>
  </r>
  <r>
    <n v="500"/>
    <s v="bring up the rear"/>
    <s v="bring up the"/>
    <s v="rear"/>
    <s v="bring up the rear"/>
    <x v="0"/>
    <x v="0"/>
    <x v="1"/>
    <s v="NOUN"/>
    <x v="0"/>
    <n v="3.1250003289065899E-5"/>
    <n v="3.89265988223643E-7"/>
    <n v="3.6786587075439997E-2"/>
    <n v="3.3019945407527098"/>
  </r>
  <r>
    <n v="501"/>
    <s v="make your blood boil"/>
    <s v="make your blood"/>
    <s v="boil"/>
    <s v="make your blood boil"/>
    <x v="0"/>
    <x v="0"/>
    <x v="7"/>
    <s v="VERB"/>
    <x v="0"/>
    <n v="3.1250004643658302E-5"/>
    <n v="3.0446409401680301E-5"/>
    <n v="-2.6933577262816699E-2"/>
    <n v="3.2599318259253298"/>
  </r>
  <r>
    <n v="502"/>
    <s v="put the boot in"/>
    <s v="put the boot"/>
    <s v="in"/>
    <s v="put the boot in"/>
    <x v="0"/>
    <x v="4"/>
    <x v="2"/>
    <s v="ADP"/>
    <x v="0"/>
    <n v="3.1250009187677502E-5"/>
    <n v="8.2329875030572093E-6"/>
    <n v="-9.847219773533309E-4"/>
    <n v="3.65854215463456"/>
  </r>
  <r>
    <n v="503"/>
    <s v="paint the town red"/>
    <s v="paint the town"/>
    <s v="red"/>
    <s v="paint the town red"/>
    <x v="0"/>
    <x v="1"/>
    <x v="7"/>
    <s v="VERB"/>
    <x v="0"/>
    <n v="3.1250001546879501E-5"/>
    <n v="2.6779215284383599E-6"/>
    <n v="-4.5085239839863702E-3"/>
    <n v="3.2437959372981102"/>
  </r>
  <r>
    <n v="504"/>
    <s v="in the short run"/>
    <s v="in the short"/>
    <s v="run"/>
    <s v="in the short term,"/>
    <x v="0"/>
    <x v="1"/>
    <x v="1"/>
    <s v="NOUN"/>
    <x v="1"/>
    <n v="3.1249998702198101E-5"/>
    <n v="5.2011235436215303E-6"/>
    <n v="-4.5879932929224704E-3"/>
    <n v="3.68005235968924"/>
  </r>
  <r>
    <n v="505"/>
    <s v="lay down the law"/>
    <s v="lay down the"/>
    <s v="law"/>
    <s v="lay down the law"/>
    <x v="0"/>
    <x v="1"/>
    <x v="1"/>
    <s v="NOUN"/>
    <x v="0"/>
    <n v="3.1250003476317799E-5"/>
    <n v="4.8704175211441196E-6"/>
    <n v="1.5358050396755999E-2"/>
    <n v="3.0754456990191499"/>
  </r>
  <r>
    <n v="506"/>
    <s v="put the wind up"/>
    <s v="put the wind"/>
    <s v="up"/>
    <s v="put the wind in your sails"/>
    <x v="0"/>
    <x v="4"/>
    <x v="2"/>
    <s v="NOUN"/>
    <x v="1"/>
    <n v="3.1250005297858602E-5"/>
    <n v="3.50716353045181E-6"/>
    <n v="1.6567447535027899E-2"/>
    <n v="3.7134378795202401"/>
  </r>
  <r>
    <n v="507"/>
    <s v="cog in the machine"/>
    <s v="cog in the"/>
    <s v="machine"/>
    <s v="cog in the wheelcog in"/>
    <x v="0"/>
    <x v="2"/>
    <x v="1"/>
    <s v="ADP"/>
    <x v="1"/>
    <n v="3.12499903369988E-5"/>
    <n v="1.3823944679546001E-5"/>
    <n v="-3.7814893071917703E-2"/>
    <n v="3.28700745296074"/>
  </r>
  <r>
    <n v="508"/>
    <s v="quick as a flash"/>
    <s v="quick as a"/>
    <s v="flash"/>
    <s v="quick as a flash"/>
    <x v="0"/>
    <x v="3"/>
    <x v="1"/>
    <s v="NOUN"/>
    <x v="0"/>
    <n v="3.1250005218046197E-5"/>
    <n v="5.4794163577117901E-6"/>
    <n v="-1.1538943301081499E-2"/>
    <n v="3.1464115981091698"/>
  </r>
  <r>
    <n v="509"/>
    <s v="in the final analysis"/>
    <s v="in the final"/>
    <s v="analysis"/>
    <s v="in the final analysis"/>
    <x v="0"/>
    <x v="6"/>
    <x v="1"/>
    <s v="NOUN"/>
    <x v="0"/>
    <n v="3.1250002503848902E-5"/>
    <n v="8.4366132227029198E-7"/>
    <n v="2.2593770713399401E-2"/>
    <n v="3.02967712508178"/>
  </r>
  <r>
    <n v="510"/>
    <s v="beat about the bush"/>
    <s v="beat about the"/>
    <s v="bush"/>
    <s v="beat about the bush"/>
    <x v="0"/>
    <x v="0"/>
    <x v="1"/>
    <s v="NOUN"/>
    <x v="0"/>
    <n v="3.12500077506729E-5"/>
    <n v="2.4616313526732299E-5"/>
    <n v="3.4094887944981098E-2"/>
    <n v="3.0626960900625102"/>
  </r>
  <r>
    <n v="511"/>
    <s v="foam at the mouth"/>
    <s v="foam at the"/>
    <s v="mouth"/>
    <s v="foam at the mouth"/>
    <x v="0"/>
    <x v="3"/>
    <x v="1"/>
    <s v="NOUN"/>
    <x v="0"/>
    <n v="3.1250002923766197E-5"/>
    <n v="8.6007504037484803E-6"/>
    <n v="1.37592963423429E-2"/>
    <n v="3.0359957781051201"/>
  </r>
  <r>
    <n v="512"/>
    <s v="sit on the fence"/>
    <s v="sit on the"/>
    <s v="fence"/>
    <s v="sit on the floor,"/>
    <x v="0"/>
    <x v="3"/>
    <x v="1"/>
    <s v="NOUN"/>
    <x v="1"/>
    <n v="3.1249999087414903E-5"/>
    <n v="1.7787052422818599E-6"/>
    <n v="-1.3972406501608199E-2"/>
    <n v="3.5304482345607502"/>
  </r>
  <r>
    <n v="513"/>
    <s v="stand someone in good stead"/>
    <s v="stand someone in good"/>
    <s v="stead"/>
    <s v="stand someone in good stead"/>
    <x v="2"/>
    <x v="3"/>
    <x v="1"/>
    <s v="NOUN"/>
    <x v="0"/>
    <n v="3.1249998838887501E-5"/>
    <n v="2.5144583857532602E-5"/>
    <n v="3.3135456099721197E-2"/>
    <n v="3.4385153016569099"/>
  </r>
  <r>
    <n v="514"/>
    <s v="on the face of it"/>
    <s v="on the face of"/>
    <s v="it"/>
    <s v="on the face of it"/>
    <x v="2"/>
    <x v="4"/>
    <x v="3"/>
    <s v="PRON"/>
    <x v="0"/>
    <n v="3.1250002036818699E-5"/>
    <n v="1.3140132648079899E-5"/>
    <n v="2.84881641963963E-3"/>
    <n v="3.51624204627623"/>
  </r>
  <r>
    <n v="515"/>
    <s v="pick up the pieces"/>
    <s v="pick up the"/>
    <s v="pieces"/>
    <s v="pick up the phone and call me,"/>
    <x v="0"/>
    <x v="5"/>
    <x v="1"/>
    <s v="PRON"/>
    <x v="1"/>
    <n v="3.1250005064751103E-5"/>
    <n v="2.3309968926597802E-6"/>
    <n v="-1.4080551075229699E-2"/>
    <n v="3.5204222947731099"/>
  </r>
  <r>
    <n v="516"/>
    <s v="economical with the truth"/>
    <s v="economical with the"/>
    <s v="truth"/>
    <s v="economical with the truth"/>
    <x v="0"/>
    <x v="3"/>
    <x v="1"/>
    <s v="NOUN"/>
    <x v="0"/>
    <n v="3.1249997515516597E-5"/>
    <n v="2.4422692111938799E-5"/>
    <n v="2.66556592771891E-2"/>
    <n v="3.3480102083349799"/>
  </r>
  <r>
    <n v="517"/>
    <s v="blow hot and cold"/>
    <s v="blow hot and"/>
    <s v="cold"/>
    <s v="blow hot and cold"/>
    <x v="0"/>
    <x v="0"/>
    <x v="6"/>
    <s v="ADJ"/>
    <x v="0"/>
    <n v="3.1249997852002001E-5"/>
    <n v="2.9004222301343598E-5"/>
    <n v="3.59458002814783E-3"/>
    <n v="3.5658422654822499"/>
  </r>
  <r>
    <n v="518"/>
    <s v="ahead of the curve"/>
    <s v="ahead of the"/>
    <s v="curve"/>
    <s v="ahead of the curve"/>
    <x v="0"/>
    <x v="3"/>
    <x v="1"/>
    <s v="NOUN"/>
    <x v="0"/>
    <n v="3.12500025699613E-5"/>
    <n v="8.9772335494103699E-7"/>
    <n v="4.9227799301391401E-2"/>
    <n v="2.6786955949132998"/>
  </r>
  <r>
    <n v="519"/>
    <s v="dyed in the wool"/>
    <s v="dyed in the"/>
    <s v="wool"/>
    <s v="dyed in the wool"/>
    <x v="0"/>
    <x v="0"/>
    <x v="1"/>
    <s v="NOUN"/>
    <x v="0"/>
    <n v="3.1250006325777E-5"/>
    <n v="3.1233153658479397E-5"/>
    <n v="-5.5204100524530704E-3"/>
    <n v="3.06120699623829"/>
  </r>
  <r>
    <n v="520"/>
    <s v="licence to print money"/>
    <s v="licence to print"/>
    <s v="money"/>
    <s v="licence to print money"/>
    <x v="0"/>
    <x v="3"/>
    <x v="1"/>
    <s v="NOUN"/>
    <x v="0"/>
    <n v="3.1250005987596202E-5"/>
    <n v="2.2237148023605499E-5"/>
    <n v="2.5720052066276301E-2"/>
    <n v="3.3764400969427899"/>
  </r>
  <r>
    <n v="521"/>
    <s v="water under the bridge"/>
    <s v="water under the"/>
    <s v="bridge"/>
    <s v="water under the bridge"/>
    <x v="0"/>
    <x v="5"/>
    <x v="1"/>
    <s v="NOUN"/>
    <x v="0"/>
    <n v="3.12500021804182E-5"/>
    <n v="2.1249141107309102E-5"/>
    <n v="2.1643162547232701E-2"/>
    <n v="2.3783783845819699"/>
  </r>
  <r>
    <n v="522"/>
    <s v="the joke is on someone"/>
    <s v="the joke is on"/>
    <s v="someone"/>
    <s v="the joke is on you,"/>
    <x v="2"/>
    <x v="2"/>
    <x v="3"/>
    <s v="PRON"/>
    <x v="1"/>
    <n v="3.1250002041000202E-5"/>
    <n v="2.0827508819861202E-6"/>
    <n v="2.9090974135733898E-2"/>
    <n v="3.44738749365998"/>
  </r>
  <r>
    <n v="523"/>
    <s v="state of the art"/>
    <s v="state of the"/>
    <s v="art"/>
    <s v="state of the art"/>
    <x v="0"/>
    <x v="1"/>
    <x v="1"/>
    <s v="NOUN"/>
    <x v="0"/>
    <n v="3.1250005342657998E-5"/>
    <n v="1.5945157794392401E-6"/>
    <n v="3.6713997548403599E-2"/>
    <n v="2.9977488955491198"/>
  </r>
  <r>
    <n v="524"/>
    <s v="wet behind the ears"/>
    <s v="wet behind the"/>
    <s v="ears"/>
    <s v="wet behind the ears"/>
    <x v="0"/>
    <x v="0"/>
    <x v="1"/>
    <s v="NOUN"/>
    <x v="0"/>
    <n v="3.1249997334510799E-5"/>
    <n v="2.9121795230222799E-5"/>
    <n v="-1.7326384797071201E-2"/>
    <n v="3.37861350736787"/>
  </r>
  <r>
    <n v="525"/>
    <s v="rise to the occasion"/>
    <s v="rise to the"/>
    <s v="occasion"/>
    <s v="rise to the challenge."/>
    <x v="0"/>
    <x v="6"/>
    <x v="1"/>
    <s v="NOUN"/>
    <x v="1"/>
    <n v="3.1249996899641103E-5"/>
    <n v="1.8423910524872901E-6"/>
    <n v="9.6910024750656003E-3"/>
    <n v="3.7123945707844301"/>
  </r>
  <r>
    <n v="526"/>
    <s v="keep your pecker up"/>
    <s v="keep your pecker"/>
    <s v="up"/>
    <s v="keep your pecker up"/>
    <x v="0"/>
    <x v="4"/>
    <x v="2"/>
    <s v="ADP"/>
    <x v="0"/>
    <n v="3.1250010919904501E-5"/>
    <n v="1.3185721923408299E-5"/>
    <n v="-4.8761461128455197E-2"/>
    <n v="3.4164995038188199"/>
  </r>
  <r>
    <n v="527"/>
    <s v="turn something on its head"/>
    <s v="turn something on its"/>
    <s v="head"/>
    <s v="turn something on its head"/>
    <x v="2"/>
    <x v="0"/>
    <x v="1"/>
    <s v="NOUN"/>
    <x v="0"/>
    <n v="3.1250002629278503E-5"/>
    <n v="1.2161755893697799E-5"/>
    <n v="1.32120966175861E-2"/>
    <n v="3.4157441695830499"/>
  </r>
  <r>
    <n v="528"/>
    <s v="as the actress said to the bishop"/>
    <s v="as the actress said to the"/>
    <s v="bishop"/>
    <s v="as the actress said to the bishop"/>
    <x v="4"/>
    <x v="5"/>
    <x v="1"/>
    <s v="NOUN"/>
    <x v="0"/>
    <n v="3.1250002066245403E-5"/>
    <n v="1.6962349391403401E-5"/>
    <n v="4.89799919060427E-2"/>
    <n v="2.7939215284220702"/>
  </r>
  <r>
    <n v="529"/>
    <s v="hair of the dog"/>
    <s v="hair of the"/>
    <s v="dog"/>
    <s v="hair of the dog"/>
    <x v="0"/>
    <x v="1"/>
    <x v="1"/>
    <s v="NOUN"/>
    <x v="0"/>
    <n v="3.1250007627971497E-5"/>
    <n v="1.5836227375987202E-5"/>
    <n v="2.8328733090681102E-3"/>
    <n v="3.01197662992496"/>
  </r>
  <r>
    <n v="530"/>
    <s v="step on someone's toes"/>
    <s v="step on someone's"/>
    <s v="toes"/>
    <s v="step on someone's toes"/>
    <x v="0"/>
    <x v="0"/>
    <x v="1"/>
    <s v="NOUN"/>
    <x v="0"/>
    <n v="3.1250006473973702E-5"/>
    <n v="3.1110168853940303E-5"/>
    <n v="3.26615936848213E-2"/>
    <n v="3.0270829245366899"/>
  </r>
  <r>
    <n v="531"/>
    <s v="eat like a horse"/>
    <s v="eat like a"/>
    <s v="horse"/>
    <s v="eat like a local in the city of"/>
    <x v="0"/>
    <x v="3"/>
    <x v="1"/>
    <s v="ADP"/>
    <x v="1"/>
    <n v="3.1249999105386299E-5"/>
    <n v="1.0453996458543599E-5"/>
    <n v="-1.0021182781373201E-2"/>
    <n v="3.6339826223374199"/>
  </r>
  <r>
    <n v="532"/>
    <s v="wide of the mark"/>
    <s v="wide of the"/>
    <s v="mark"/>
    <s v="wide of the mark"/>
    <x v="0"/>
    <x v="0"/>
    <x v="1"/>
    <s v="NOUN"/>
    <x v="0"/>
    <n v="3.1250002382201499E-5"/>
    <n v="3.28061137232542E-6"/>
    <n v="3.5702034315498503E-2"/>
    <n v="2.7792956601789101"/>
  </r>
  <r>
    <n v="533"/>
    <s v="pie in the sky"/>
    <s v="pie in the"/>
    <s v="sky"/>
    <s v="pie in the sky"/>
    <x v="0"/>
    <x v="1"/>
    <x v="1"/>
    <s v="NOUN"/>
    <x v="0"/>
    <n v="3.1250011777153201E-5"/>
    <n v="1.7228799578967901E-5"/>
    <n v="4.2869789466663998E-2"/>
    <n v="3.0563481856141999"/>
  </r>
  <r>
    <n v="534"/>
    <s v="do a number on"/>
    <s v="do a number"/>
    <s v="on"/>
    <s v="do a number on"/>
    <x v="0"/>
    <x v="4"/>
    <x v="2"/>
    <s v="ADP"/>
    <x v="0"/>
    <n v="3.1250009143323997E-5"/>
    <n v="1.2120210021813099E-5"/>
    <n v="9.8009092011324093E-3"/>
    <n v="3.7169106393231801"/>
  </r>
  <r>
    <n v="535"/>
    <s v="from the word go"/>
    <s v="from the word"/>
    <s v="go"/>
    <s v="from the word &quot;"/>
    <x v="0"/>
    <x v="4"/>
    <x v="7"/>
    <s v="NOUN"/>
    <x v="1"/>
    <n v="3.12500034599975E-5"/>
    <n v="7.5566228034529297E-7"/>
    <n v="1.44218320058215E-2"/>
    <n v="3.8665684128983902"/>
  </r>
  <r>
    <n v="536"/>
    <s v="too big for your boots"/>
    <s v="too big for your"/>
    <s v="boots"/>
    <s v="too big for your britchesI'"/>
    <x v="2"/>
    <x v="3"/>
    <x v="1"/>
    <s v="NOUN"/>
    <x v="1"/>
    <n v="3.1250002586967797E-5"/>
    <n v="1.4979659245569E-6"/>
    <n v="-2.1548308225845799E-2"/>
    <n v="3.4302567151415801"/>
  </r>
  <r>
    <n v="537"/>
    <s v="cast your mind back"/>
    <s v="cast your mind"/>
    <s v="back"/>
    <s v="cast your mind back"/>
    <x v="0"/>
    <x v="0"/>
    <x v="0"/>
    <s v="ADV"/>
    <x v="0"/>
    <n v="3.1250001558788398E-5"/>
    <n v="2.7598714482170099E-5"/>
    <n v="2.9689740414671202E-3"/>
    <n v="3.7073581517876901"/>
  </r>
  <r>
    <n v="538"/>
    <s v="sure as eggs is eggs"/>
    <s v="sure as eggs is"/>
    <s v="eggs"/>
    <s v="sure as eggs is eggs"/>
    <x v="2"/>
    <x v="0"/>
    <x v="1"/>
    <s v="NOUN"/>
    <x v="0"/>
    <n v="3.1250000139744601E-5"/>
    <n v="2.82751268527574E-5"/>
    <n v="5.6863588452053103E-2"/>
    <n v="3.28495372290149"/>
  </r>
  <r>
    <n v="539"/>
    <s v="boys will be boys"/>
    <s v="boys will be"/>
    <s v="boys"/>
    <s v="boys will be boys"/>
    <x v="0"/>
    <x v="0"/>
    <x v="1"/>
    <s v="NOUN"/>
    <x v="0"/>
    <n v="3.1250003126674599E-5"/>
    <n v="2.4645668042032E-5"/>
    <n v="-8.9591379358182604E-3"/>
    <n v="3.5280118766081698"/>
  </r>
  <r>
    <n v="540"/>
    <s v="jump on the bandwagon"/>
    <s v="jump on the"/>
    <s v="bandwagon"/>
    <s v="jump on the bandwagon"/>
    <x v="0"/>
    <x v="7"/>
    <x v="1"/>
    <s v="NOUN"/>
    <x v="0"/>
    <n v="3.1250000672653401E-5"/>
    <n v="3.0777640060805301E-5"/>
    <n v="-1.07598529073524E-2"/>
    <n v="2.3716451171035802"/>
  </r>
  <r>
    <n v="541"/>
    <s v="kick up a fuss"/>
    <s v="kick up a"/>
    <s v="fuss"/>
    <s v="kick up a fuss"/>
    <x v="0"/>
    <x v="0"/>
    <x v="1"/>
    <s v="NOUN"/>
    <x v="0"/>
    <n v="3.1249997678950601E-5"/>
    <n v="2.9981394911312401E-5"/>
    <n v="1.1981956965946901E-2"/>
    <n v="2.7945420001378798"/>
  </r>
  <r>
    <n v="542"/>
    <s v="any port in a storm"/>
    <s v="any port in a"/>
    <s v="storm"/>
    <s v="any port in a storm"/>
    <x v="2"/>
    <x v="3"/>
    <x v="1"/>
    <s v="NOUN"/>
    <x v="0"/>
    <n v="3.1250005148015397E-5"/>
    <n v="2.5612616690182601E-5"/>
    <n v="-1.51871356091248E-2"/>
    <n v="3.4543539128727199"/>
  </r>
  <r>
    <n v="543"/>
    <s v="nine times out of ten"/>
    <s v="nine times out of"/>
    <s v="ten"/>
    <s v="nine times out of ten"/>
    <x v="2"/>
    <x v="1"/>
    <x v="8"/>
    <s v="NUM"/>
    <x v="0"/>
    <n v="3.1250013244233002E-5"/>
    <n v="2.72826487334628E-5"/>
    <n v="1.48101769781305E-5"/>
    <n v="3.7694769802631201"/>
  </r>
  <r>
    <n v="544"/>
    <s v="stick your neck out"/>
    <s v="stick your neck"/>
    <s v="out"/>
    <s v="stick your neck out"/>
    <x v="0"/>
    <x v="1"/>
    <x v="2"/>
    <s v="ADP"/>
    <x v="0"/>
    <n v="3.1250008630969299E-5"/>
    <n v="2.4550098481486201E-5"/>
    <n v="-5.5958401131164202E-3"/>
    <n v="3.6507001476216798"/>
  </r>
  <r>
    <n v="545"/>
    <s v="go down the wrong way"/>
    <s v="go down the wrong"/>
    <s v="way"/>
    <s v="go down the wrong pathI'"/>
    <x v="2"/>
    <x v="1"/>
    <x v="1"/>
    <s v="PROPN"/>
    <x v="1"/>
    <n v="3.1250003929519999E-5"/>
    <n v="1.35523022268475E-6"/>
    <n v="-2.55331090600678E-2"/>
    <n v="3.4556063228455498"/>
  </r>
  <r>
    <n v="546"/>
    <s v="talk out of turn"/>
    <s v="talk out of"/>
    <s v="turn"/>
    <s v="talk out of schoolI'"/>
    <x v="0"/>
    <x v="0"/>
    <x v="1"/>
    <s v="NOUN"/>
    <x v="1"/>
    <n v="3.1249998339033999E-5"/>
    <n v="1.30770652079304E-6"/>
    <n v="-1.8730299277788E-2"/>
    <n v="3.4394762878737399"/>
  </r>
  <r>
    <n v="547"/>
    <s v="in the family way"/>
    <s v="in the family"/>
    <s v="way"/>
    <s v="in the family of the "/>
    <x v="0"/>
    <x v="1"/>
    <x v="1"/>
    <s v="PRON"/>
    <x v="1"/>
    <n v="3.1249999856355498E-5"/>
    <n v="5.15938195908177E-8"/>
    <n v="3.0312599302259699E-2"/>
    <n v="2.5753243175125702"/>
  </r>
  <r>
    <n v="548"/>
    <s v="work like a charm"/>
    <s v="work like a"/>
    <s v="charm"/>
    <s v="work like a charm"/>
    <x v="0"/>
    <x v="3"/>
    <x v="1"/>
    <s v="NOUN"/>
    <x v="0"/>
    <n v="3.1249996424336499E-5"/>
    <n v="1.4412866470336399E-6"/>
    <n v="6.9559299147670096E-4"/>
    <n v="3.1610068772500899"/>
  </r>
  <r>
    <n v="549"/>
    <s v="come to a head"/>
    <s v="come to a"/>
    <s v="head"/>
    <s v="come to a head"/>
    <x v="0"/>
    <x v="0"/>
    <x v="1"/>
    <s v="NOUN"/>
    <x v="0"/>
    <n v="3.1249996287532398E-5"/>
    <n v="4.4582965736040298E-7"/>
    <n v="-2.5826535705419901E-2"/>
    <n v="3.1461979244068501"/>
  </r>
  <r>
    <n v="550"/>
    <s v="saved by the bell"/>
    <s v="saved by the"/>
    <s v="bell"/>
    <s v="saved by the bell"/>
    <x v="0"/>
    <x v="0"/>
    <x v="1"/>
    <s v="NOUN"/>
    <x v="0"/>
    <n v="3.1250000968529402E-5"/>
    <n v="7.7300548058259107E-6"/>
    <n v="9.1915596388219001E-3"/>
    <n v="2.3664347168148701"/>
  </r>
  <r>
    <n v="551"/>
    <s v="deaf as a post"/>
    <s v="deaf as a"/>
    <s v="post"/>
    <s v="deaf as a post"/>
    <x v="0"/>
    <x v="0"/>
    <x v="1"/>
    <s v="NOUN"/>
    <x v="0"/>
    <n v="3.1250007251310298E-5"/>
    <n v="7.6047221080536904E-6"/>
    <n v="-1.9653389332020699E-2"/>
    <n v="3.1017418287840499"/>
  </r>
  <r>
    <n v="552"/>
    <s v="put a foot wrong"/>
    <s v="put a foot"/>
    <s v="wrong"/>
    <s v="put a foot in the doorThe"/>
    <x v="0"/>
    <x v="3"/>
    <x v="6"/>
    <s v="NOUN"/>
    <x v="1"/>
    <n v="3.1249999220030901E-5"/>
    <n v="1.80004635901635E-7"/>
    <n v="-1.7173390671993902E-2"/>
    <n v="3.3527322036704299"/>
  </r>
  <r>
    <n v="553"/>
    <s v="fit as a fiddle"/>
    <s v="fit as a"/>
    <s v="fiddle"/>
    <s v="fit as a fiddle"/>
    <x v="0"/>
    <x v="5"/>
    <x v="1"/>
    <s v="NOUN"/>
    <x v="0"/>
    <n v="3.1250006339438801E-5"/>
    <n v="2.12735699350604E-5"/>
    <n v="2.4490028744423801E-3"/>
    <n v="3.2319493816468898"/>
  </r>
  <r>
    <n v="554"/>
    <s v="the ayes have it"/>
    <s v="the ayes have"/>
    <s v="it"/>
    <s v="the ayes have it"/>
    <x v="0"/>
    <x v="4"/>
    <x v="3"/>
    <s v="PRON"/>
    <x v="0"/>
    <n v="3.1250005859750403E-5"/>
    <n v="2.9194681167713799E-5"/>
    <n v="-6.0782350706460797E-3"/>
    <n v="3.6781115503549602"/>
  </r>
  <r>
    <n v="555"/>
    <s v="that makes two of us"/>
    <s v="that makes two of"/>
    <s v="us"/>
    <s v="that makes two of us"/>
    <x v="2"/>
    <x v="4"/>
    <x v="3"/>
    <s v="PRON"/>
    <x v="0"/>
    <n v="3.1250015674566897E-5"/>
    <n v="2.4144262209887E-5"/>
    <n v="1.4413650034167599E-2"/>
    <n v="3.6938871944828402"/>
  </r>
  <r>
    <n v="556"/>
    <s v="strike while the iron is hot"/>
    <s v="strike while the iron is"/>
    <s v="hot"/>
    <s v="strike while the iron is hot"/>
    <x v="1"/>
    <x v="1"/>
    <x v="6"/>
    <s v="ADJ"/>
    <x v="0"/>
    <n v="3.1250006644643E-5"/>
    <n v="2.50525708814688E-5"/>
    <n v="-1.1834754947440001E-2"/>
    <n v="3.6444164207384002"/>
  </r>
  <r>
    <n v="557"/>
    <s v="flash in the pan"/>
    <s v="flash in the"/>
    <s v="pan"/>
    <s v="flash in the pan"/>
    <x v="0"/>
    <x v="1"/>
    <x v="1"/>
    <s v="NOUN"/>
    <x v="0"/>
    <n v="3.1250004423614999E-5"/>
    <n v="1.6939597649817299E-5"/>
    <n v="2.5684857631638601E-2"/>
    <n v="3.17700486491225"/>
  </r>
  <r>
    <n v="558"/>
    <s v="rise from the ashes"/>
    <s v="rise from the"/>
    <s v="ashes"/>
    <s v="rise from the ashes"/>
    <x v="0"/>
    <x v="3"/>
    <x v="1"/>
    <s v="NOUN"/>
    <x v="0"/>
    <n v="3.1249998956100598E-5"/>
    <n v="3.1127390637276401E-5"/>
    <n v="-8.1242178564675492E-3"/>
    <n v="3.3263323018686801"/>
  </r>
  <r>
    <n v="559"/>
    <s v="have a screw loose"/>
    <s v="have a screw"/>
    <s v="loose"/>
    <s v="have a screw loose"/>
    <x v="0"/>
    <x v="3"/>
    <x v="6"/>
    <s v="ADJ"/>
    <x v="0"/>
    <n v="3.1249998579444399E-5"/>
    <n v="3.8107657514141101E-6"/>
    <n v="-1.6203323350847301E-3"/>
    <n v="3.47826120620471"/>
  </r>
  <r>
    <n v="560"/>
    <s v="get away with murder"/>
    <s v="get away with"/>
    <s v="murder"/>
    <s v="get away with it."/>
    <x v="0"/>
    <x v="5"/>
    <x v="1"/>
    <s v="PRON"/>
    <x v="1"/>
    <n v="3.1250001271965498E-5"/>
    <n v="2.4731222186128199E-6"/>
    <n v="1.2935380024188699E-2"/>
    <n v="3.5774092436283502"/>
  </r>
  <r>
    <n v="561"/>
    <s v="breathe down someone's neck"/>
    <s v="breathe down someone's"/>
    <s v="neck"/>
    <s v="breathe down someone's neck"/>
    <x v="0"/>
    <x v="0"/>
    <x v="1"/>
    <s v="NOUN"/>
    <x v="0"/>
    <n v="3.12499967384396E-5"/>
    <n v="2.2250860998289699E-5"/>
    <n v="-5.3378828037686701E-3"/>
    <n v="3.6206401917736302"/>
  </r>
  <r>
    <n v="562"/>
    <s v="easy on the eye"/>
    <s v="easy on the"/>
    <s v="eye"/>
    <s v="easy on the eyes which makes it much"/>
    <x v="0"/>
    <x v="1"/>
    <x v="1"/>
    <s v="ADV"/>
    <x v="1"/>
    <n v="3.12500116877184E-5"/>
    <n v="2.3246797930107399E-5"/>
    <n v="-1.0154320363454801E-2"/>
    <n v="3.63387584775661"/>
  </r>
  <r>
    <n v="563"/>
    <s v="slip through the net"/>
    <s v="slip through the"/>
    <s v="net"/>
    <s v="slip through the cracks."/>
    <x v="0"/>
    <x v="1"/>
    <x v="1"/>
    <s v="NOUN"/>
    <x v="1"/>
    <n v="3.1250004393493897E-5"/>
    <n v="2.2590421924954199E-6"/>
    <n v="-1.2620524669610901E-2"/>
    <n v="3.63429101807868"/>
  </r>
  <r>
    <n v="564"/>
    <s v="neck of the woods"/>
    <s v="neck of the"/>
    <s v="woods"/>
    <s v="neck of the woods"/>
    <x v="0"/>
    <x v="3"/>
    <x v="1"/>
    <s v="NOUN"/>
    <x v="0"/>
    <n v="3.1250000104196302E-5"/>
    <n v="1.05517820422311E-5"/>
    <n v="6.8787683057482899E-3"/>
    <n v="2.8919512090825501"/>
  </r>
  <r>
    <n v="565"/>
    <s v="hot under the collar"/>
    <s v="hot under the"/>
    <s v="collar"/>
    <s v="hot under the collar"/>
    <x v="0"/>
    <x v="5"/>
    <x v="1"/>
    <s v="NOUN"/>
    <x v="0"/>
    <n v="3.12500099492029E-5"/>
    <n v="3.11193961913713E-5"/>
    <n v="9.1331657731359393E-3"/>
    <n v="2.5046514276882199"/>
  </r>
  <r>
    <n v="566"/>
    <s v="play into someone's hands"/>
    <s v="play into someone's"/>
    <s v="hands"/>
    <s v="play into someone's hands"/>
    <x v="0"/>
    <x v="3"/>
    <x v="1"/>
    <s v="NOUN"/>
    <x v="0"/>
    <n v="3.1250007014250401E-5"/>
    <n v="2.0871408325340402E-5"/>
    <n v="3.48343054754423E-2"/>
    <n v="3.3715940379795502"/>
  </r>
  <r>
    <n v="567"/>
    <s v="come out in the wash"/>
    <s v="come out in the"/>
    <s v="wash"/>
    <s v="come out in the open."/>
    <x v="2"/>
    <x v="0"/>
    <x v="1"/>
    <s v="NOUN"/>
    <x v="1"/>
    <n v="3.12499976797345E-5"/>
    <n v="2.2788490359872099E-6"/>
    <n v="-1.32554141537166E-3"/>
    <n v="3.69090318591932"/>
  </r>
  <r>
    <n v="568"/>
    <s v="light at the end of the tunnel"/>
    <s v="light at the end of the"/>
    <s v="tunnel"/>
    <s v="light at the end of the tunnel"/>
    <x v="4"/>
    <x v="5"/>
    <x v="1"/>
    <s v="NOUN"/>
    <x v="0"/>
    <n v="3.1249999694378797E-5"/>
    <n v="1.3600506968299399E-5"/>
    <n v="-1.9471957733259099E-3"/>
    <n v="2.8033733884287999"/>
  </r>
  <r>
    <n v="569"/>
    <s v="weak at the knees"/>
    <s v="weak at the"/>
    <s v="knees"/>
    <s v="weak at the knees"/>
    <x v="0"/>
    <x v="3"/>
    <x v="1"/>
    <s v="NOUN"/>
    <x v="0"/>
    <n v="3.1249999213715301E-5"/>
    <n v="2.9120622938935799E-5"/>
    <n v="1.0203427174928901E-2"/>
    <n v="3.2897664973304401"/>
  </r>
  <r>
    <n v="570"/>
    <s v="power behind the throne"/>
    <s v="power behind the"/>
    <s v="throne"/>
    <s v="power behind the throne"/>
    <x v="0"/>
    <x v="5"/>
    <x v="1"/>
    <s v="NOUN"/>
    <x v="0"/>
    <n v="3.1250001001485401E-5"/>
    <n v="4.8742855060334898E-6"/>
    <n v="4.3644481161436398E-2"/>
    <n v="3.2863054074962399"/>
  </r>
  <r>
    <n v="571"/>
    <s v="as good as new"/>
    <s v="as good as"/>
    <s v="new"/>
    <s v="as good as new"/>
    <x v="0"/>
    <x v="1"/>
    <x v="6"/>
    <s v="ADJ"/>
    <x v="0"/>
    <n v="3.1250003224632001E-5"/>
    <n v="1.85736165421335E-6"/>
    <n v="-1.8438252093297001E-2"/>
    <n v="3.5400277449547999"/>
  </r>
  <r>
    <n v="572"/>
    <s v="bang for the buck"/>
    <s v="bang for the"/>
    <s v="buck"/>
    <s v="bang for the buck"/>
    <x v="0"/>
    <x v="0"/>
    <x v="1"/>
    <s v="NOUN"/>
    <x v="0"/>
    <n v="3.1250003954175502E-5"/>
    <n v="3.0118755282424299E-5"/>
    <n v="2.53315894945744E-2"/>
    <n v="2.1273788510777698"/>
  </r>
  <r>
    <n v="573"/>
    <s v="let's be having you"/>
    <s v="let's be having"/>
    <s v="you"/>
    <s v="let's be having you"/>
    <x v="0"/>
    <x v="1"/>
    <x v="3"/>
    <s v="PRON"/>
    <x v="0"/>
    <n v="3.1250016243805902E-5"/>
    <n v="1.60421331127556E-5"/>
    <n v="1.06602048006898E-3"/>
    <n v="3.5449774142975898"/>
  </r>
  <r>
    <n v="574"/>
    <s v="at a loss for words"/>
    <s v="at a loss for"/>
    <s v="words"/>
    <s v="at a loss for words"/>
    <x v="2"/>
    <x v="3"/>
    <x v="1"/>
    <s v="NOUN"/>
    <x v="0"/>
    <n v="3.1250010147163302E-5"/>
    <n v="1.6789068352139302E-5"/>
    <n v="2.93002933621355E-2"/>
    <n v="3.3986400849760798"/>
  </r>
  <r>
    <n v="575"/>
    <s v="run out of gas"/>
    <s v="run out of"/>
    <s v="gas"/>
    <s v="run out of timerun out of"/>
    <x v="0"/>
    <x v="1"/>
    <x v="1"/>
    <s v="ADP"/>
    <x v="1"/>
    <n v="3.12500113931883E-5"/>
    <n v="1.37850288306053E-5"/>
    <n v="-4.5556683706280403E-2"/>
    <n v="3.6223004070949498"/>
  </r>
  <r>
    <n v="576"/>
    <s v="place in the sun"/>
    <s v="place in the"/>
    <s v="sun"/>
    <s v="place in the world."/>
    <x v="0"/>
    <x v="1"/>
    <x v="1"/>
    <s v="NOUN"/>
    <x v="1"/>
    <n v="3.1249998604577601E-5"/>
    <n v="3.32514298260232E-6"/>
    <n v="2.7527758456411498E-3"/>
    <n v="3.6833567516166901"/>
  </r>
  <r>
    <n v="577"/>
    <s v="drive someone up the wall"/>
    <s v="drive someone up the"/>
    <s v="wall"/>
    <s v="drive someone up the wall"/>
    <x v="2"/>
    <x v="0"/>
    <x v="1"/>
    <s v="NOUN"/>
    <x v="0"/>
    <n v="3.1250003840917202E-5"/>
    <n v="2.94250517682037E-5"/>
    <n v="-2.1672936932759499E-4"/>
    <n v="3.5340303269073998"/>
  </r>
  <r>
    <n v="578"/>
    <s v="have an eye for"/>
    <s v="have an eye"/>
    <s v="for"/>
    <s v="have an eye for"/>
    <x v="0"/>
    <x v="1"/>
    <x v="2"/>
    <s v="ADP"/>
    <x v="0"/>
    <n v="3.1250006469064597E-5"/>
    <n v="5.0484789238532899E-6"/>
    <n v="-2.5237540997736101E-2"/>
    <n v="3.44289791873859"/>
  </r>
  <r>
    <n v="579"/>
    <s v="do someone's head in"/>
    <s v="do someone's head"/>
    <s v="in"/>
    <s v="do someone's head in"/>
    <x v="0"/>
    <x v="4"/>
    <x v="2"/>
    <s v="ADP"/>
    <x v="0"/>
    <n v="3.1250012312958698E-5"/>
    <n v="2.17101712501302E-5"/>
    <n v="-2.1263076983590399E-2"/>
    <n v="3.7666223667640399"/>
  </r>
  <r>
    <n v="580"/>
    <s v="grist to the mill"/>
    <s v="grist to the"/>
    <s v="mill"/>
    <s v="grist to the mill"/>
    <x v="0"/>
    <x v="0"/>
    <x v="1"/>
    <s v="NOUN"/>
    <x v="0"/>
    <n v="3.1250006810484198E-5"/>
    <n v="1.5010823489224401E-5"/>
    <n v="7.3799999454751096E-3"/>
    <n v="3.2782356616535901"/>
  </r>
  <r>
    <n v="581"/>
    <s v="dead in the water"/>
    <s v="dead in the"/>
    <s v="water"/>
    <s v="dead in the water"/>
    <x v="0"/>
    <x v="3"/>
    <x v="1"/>
    <s v="NOUN"/>
    <x v="0"/>
    <n v="3.1250003922533401E-5"/>
    <n v="1.2415275780639801E-5"/>
    <n v="6.1171246235431902E-2"/>
    <n v="3.1028650453092199"/>
  </r>
  <r>
    <n v="582"/>
    <s v="sleep like a log"/>
    <s v="sleep like a"/>
    <s v="log"/>
    <s v="sleep like a baby,"/>
    <x v="0"/>
    <x v="1"/>
    <x v="1"/>
    <s v="NOUN"/>
    <x v="1"/>
    <n v="3.1249999409372397E-5"/>
    <n v="7.5622334054413505E-7"/>
    <n v="8.0304130286208402E-3"/>
    <n v="3.3931089220983099"/>
  </r>
  <r>
    <n v="583"/>
    <s v="slip of the pen"/>
    <s v="slip of the"/>
    <s v="pen"/>
    <s v="slip of the tongue meaning in urdu"/>
    <x v="0"/>
    <x v="1"/>
    <x v="1"/>
    <s v="NOUN"/>
    <x v="1"/>
    <n v="3.1250000696671799E-5"/>
    <n v="3.1215048172112497E-5"/>
    <n v="-8.1275572057251094E-3"/>
    <n v="3.0959147161418699"/>
  </r>
  <r>
    <n v="584"/>
    <s v="not a pretty sight"/>
    <s v="not a pretty"/>
    <s v="sight"/>
    <s v="not a pretty sight"/>
    <x v="0"/>
    <x v="3"/>
    <x v="1"/>
    <s v="NOUN"/>
    <x v="0"/>
    <n v="3.1250003740283501E-5"/>
    <n v="3.16889511054133E-6"/>
    <n v="-1.1158975165130799E-3"/>
    <n v="3.2121803057329199"/>
  </r>
  <r>
    <n v="585"/>
    <s v="paper over the cracks"/>
    <s v="paper over the"/>
    <s v="cracks"/>
    <s v="paper over the window."/>
    <x v="0"/>
    <x v="5"/>
    <x v="1"/>
    <s v="NOUN"/>
    <x v="1"/>
    <n v="3.1249999468853903E-5"/>
    <n v="2.3504877273358802E-6"/>
    <n v="6.8173753506925996E-3"/>
    <n v="3.6561035492539302"/>
  </r>
  <r>
    <n v="586"/>
    <s v="swear like a trooper"/>
    <s v="swear like a"/>
    <s v="trooper"/>
    <s v="swear like a sailorI'"/>
    <x v="0"/>
    <x v="2"/>
    <x v="1"/>
    <s v="NOUN"/>
    <x v="1"/>
    <n v="3.1250002054271501E-5"/>
    <n v="1.3856627693361599E-6"/>
    <n v="-9.3110159720062296E-3"/>
    <n v="3.4192380261002899"/>
  </r>
  <r>
    <n v="587"/>
    <s v="bounce off the walls"/>
    <s v="bounce off the"/>
    <s v="walls"/>
    <s v="bounce off the walls"/>
    <x v="0"/>
    <x v="3"/>
    <x v="1"/>
    <s v="NOUN"/>
    <x v="0"/>
    <n v="3.1249998666061602E-5"/>
    <n v="7.2938237557137399E-7"/>
    <n v="2.7606170552047601E-2"/>
    <n v="2.52421860955925"/>
  </r>
  <r>
    <n v="588"/>
    <s v="think the world of"/>
    <s v="think the world"/>
    <s v="of"/>
    <s v="think the world is a better place because"/>
    <x v="0"/>
    <x v="4"/>
    <x v="2"/>
    <s v="SCONJ"/>
    <x v="1"/>
    <n v="3.1250004005667299E-5"/>
    <n v="2.46777885289774E-6"/>
    <n v="-2.3794905036993402E-3"/>
    <n v="3.8265511777146699"/>
  </r>
  <r>
    <n v="589"/>
    <s v="broad in the beam"/>
    <s v="broad in the"/>
    <s v="beam"/>
    <s v="broad in the beam"/>
    <x v="0"/>
    <x v="0"/>
    <x v="1"/>
    <s v="NOUN"/>
    <x v="0"/>
    <n v="3.1250002261242301E-5"/>
    <n v="2.5090789364579201E-6"/>
    <n v="3.8577412624761102E-2"/>
    <n v="2.8500984814028798"/>
  </r>
  <r>
    <n v="590"/>
    <s v="different strokes for different folks"/>
    <s v="different strokes for different"/>
    <s v="folks"/>
    <s v="different strokes for different folks"/>
    <x v="2"/>
    <x v="3"/>
    <x v="1"/>
    <s v="NOUN"/>
    <x v="0"/>
    <n v="3.1250003776864598E-5"/>
    <n v="3.0800549356206802E-5"/>
    <n v="7.9618419897684502E-3"/>
    <n v="2.1464173200800101"/>
  </r>
  <r>
    <n v="591"/>
    <s v="ride for a fall"/>
    <s v="ride for a"/>
    <s v="fall"/>
    <s v="ride for a causeRide for"/>
    <x v="0"/>
    <x v="0"/>
    <x v="1"/>
    <s v="ADP"/>
    <x v="1"/>
    <n v="3.1250007702056597E-5"/>
    <n v="1.1092484899494901E-5"/>
    <n v="1.26983109401841E-2"/>
    <n v="3.65826771691746"/>
  </r>
  <r>
    <n v="592"/>
    <s v="reach for the stars"/>
    <s v="reach for the"/>
    <s v="stars"/>
    <s v="reach for the stars"/>
    <x v="0"/>
    <x v="3"/>
    <x v="1"/>
    <s v="NOUN"/>
    <x v="0"/>
    <n v="3.12500070984643E-5"/>
    <n v="8.9389581884253408E-6"/>
    <n v="2.5731465544112E-2"/>
    <n v="3.25875335589153"/>
  </r>
  <r>
    <n v="593"/>
    <s v="armed to the teeth"/>
    <s v="armed to the"/>
    <s v="teeth"/>
    <s v="armed to the teeth"/>
    <x v="0"/>
    <x v="3"/>
    <x v="1"/>
    <s v="NOUN"/>
    <x v="0"/>
    <n v="3.12500058992936E-5"/>
    <n v="2.52087586002096E-5"/>
    <n v="1.0134965602965401E-2"/>
    <n v="3.5858670232763599"/>
  </r>
  <r>
    <n v="594"/>
    <s v="throw in the towel"/>
    <s v="throw in the"/>
    <s v="towel"/>
    <s v="throw in the towel"/>
    <x v="0"/>
    <x v="3"/>
    <x v="1"/>
    <s v="NOUN"/>
    <x v="0"/>
    <n v="3.1250000742563902E-5"/>
    <n v="3.0741853638097901E-5"/>
    <n v="2.43546474269749E-2"/>
    <n v="1.98149655688756"/>
  </r>
  <r>
    <n v="595"/>
    <s v="see the light of day"/>
    <s v="see the light of"/>
    <s v="day"/>
    <s v="see the light of day"/>
    <x v="2"/>
    <x v="1"/>
    <x v="1"/>
    <s v="NOUN"/>
    <x v="0"/>
    <n v="3.12499993033957E-5"/>
    <n v="1.6314906535486801E-5"/>
    <n v="-1.01772331694149E-2"/>
    <n v="3.35283364847951"/>
  </r>
  <r>
    <n v="596"/>
    <s v="easy as falling off a log"/>
    <s v="easy as falling off a"/>
    <s v="log"/>
    <s v="easy as falling off a log"/>
    <x v="1"/>
    <x v="1"/>
    <x v="1"/>
    <s v="NOUN"/>
    <x v="0"/>
    <n v="3.1250004814915401E-5"/>
    <n v="1.02361753795811E-5"/>
    <n v="-7.6879973594898799E-3"/>
    <n v="3.4264590530213601"/>
  </r>
  <r>
    <n v="597"/>
    <s v="shut the door on"/>
    <s v="shut the door"/>
    <s v="on"/>
    <s v="shut the door,"/>
    <x v="0"/>
    <x v="4"/>
    <x v="2"/>
    <s v="NOUN"/>
    <x v="1"/>
    <n v="3.1250003160560701E-5"/>
    <n v="1.50599824755328E-6"/>
    <n v="2.2401106028137701E-2"/>
    <n v="3.5701076348103098"/>
  </r>
  <r>
    <n v="598"/>
    <s v="cock of the walk"/>
    <s v="cock of the"/>
    <s v="walk"/>
    <s v="cock of the walk"/>
    <x v="0"/>
    <x v="0"/>
    <x v="1"/>
    <s v="NOUN"/>
    <x v="0"/>
    <n v="3.1249997527849498E-5"/>
    <n v="1.38789654974572E-5"/>
    <n v="2.2354718050706799E-2"/>
    <n v="3.1394465148028301"/>
  </r>
  <r>
    <n v="599"/>
    <s v="straight from the shoulder"/>
    <s v="straight from the"/>
    <s v="shoulder"/>
    <s v="straight from the heart of the city"/>
    <x v="0"/>
    <x v="6"/>
    <x v="1"/>
    <s v="NOUN"/>
    <x v="1"/>
    <n v="3.1249999424438802E-5"/>
    <n v="4.26996866978103E-6"/>
    <n v="1.9143309121264399E-2"/>
    <n v="3.7028991653941401"/>
  </r>
  <r>
    <n v="600"/>
    <s v="make a pig's ear of"/>
    <s v="make a pig's ear"/>
    <s v="of"/>
    <s v="make a pig's ear of"/>
    <x v="2"/>
    <x v="4"/>
    <x v="2"/>
    <s v="ADP"/>
    <x v="0"/>
    <n v="3.12500102495742E-5"/>
    <n v="8.9998413081066594E-6"/>
    <n v="-2.0503472381681001E-2"/>
    <n v="3.5282185750456501"/>
  </r>
  <r>
    <n v="601"/>
    <s v="share and share alike"/>
    <s v="share and share"/>
    <s v="alike"/>
    <s v="share and share alike"/>
    <x v="0"/>
    <x v="3"/>
    <x v="0"/>
    <s v="ADV"/>
    <x v="0"/>
    <n v="3.1250006558296197E-5"/>
    <n v="3.123167820539E-5"/>
    <n v="4.1898464864765103E-2"/>
    <n v="3.1922148274497801"/>
  </r>
  <r>
    <n v="602"/>
    <s v="laugh all the way to the bank"/>
    <s v="laugh all the way to the"/>
    <s v="bank"/>
    <s v="laugh all the way to the bank"/>
    <x v="4"/>
    <x v="0"/>
    <x v="1"/>
    <s v="NOUN"/>
    <x v="0"/>
    <n v="3.1250009947287203E-5"/>
    <n v="1.05171088992355E-5"/>
    <n v="4.1132491598830201E-2"/>
    <n v="3.1147602101455401"/>
  </r>
  <r>
    <n v="603"/>
    <s v="have a foot in both camps"/>
    <s v="have a foot in both"/>
    <s v="camps"/>
    <s v="have a foot in both worlds."/>
    <x v="1"/>
    <x v="3"/>
    <x v="1"/>
    <s v="NOUN"/>
    <x v="1"/>
    <n v="3.1249999660523202E-5"/>
    <n v="5.9740767805180997E-6"/>
    <n v="1.6097496502453599E-2"/>
    <n v="3.87612943783332"/>
  </r>
  <r>
    <n v="604"/>
    <s v="swim against the tide"/>
    <s v="swim against the"/>
    <s v="tide"/>
    <s v="swim against the current meaningswim"/>
    <x v="0"/>
    <x v="0"/>
    <x v="1"/>
    <s v="NOUN"/>
    <x v="1"/>
    <n v="3.1250003644265202E-5"/>
    <n v="2.0683749750617302E-5"/>
    <n v="-2.4149891867281701E-2"/>
    <n v="3.3958565539887502"/>
  </r>
  <r>
    <n v="605"/>
    <s v="let sleeping dogs lie"/>
    <s v="let sleeping dogs"/>
    <s v="lie"/>
    <s v="let sleeping dogs lie"/>
    <x v="0"/>
    <x v="1"/>
    <x v="7"/>
    <s v="VERB"/>
    <x v="0"/>
    <n v="3.1250003153595902E-5"/>
    <n v="2.68000487393294E-5"/>
    <n v="-3.0924782145987699E-2"/>
    <n v="3.5920828878514"/>
  </r>
  <r>
    <n v="606"/>
    <s v="sail under false colours"/>
    <s v="sail under false"/>
    <s v="colours"/>
    <s v="sail under false colorsSail Under"/>
    <x v="0"/>
    <x v="2"/>
    <x v="1"/>
    <s v="ADP"/>
    <x v="1"/>
    <n v="3.1250003185373203E-5"/>
    <n v="7.8132410127730998E-6"/>
    <n v="3.3582095262108397E-2"/>
    <n v="3.6309816228261398"/>
  </r>
  <r>
    <n v="607"/>
    <s v="laugh like a drain"/>
    <s v="laugh like a"/>
    <s v="drain"/>
    <s v="laugh like a clownI"/>
    <x v="0"/>
    <x v="3"/>
    <x v="1"/>
    <s v="NOUN"/>
    <x v="1"/>
    <n v="3.12499981531251E-5"/>
    <n v="3.3372066080592502E-7"/>
    <n v="-2.42161409443362E-2"/>
    <n v="3.1595100274710299"/>
  </r>
  <r>
    <n v="608"/>
    <s v="slap on the wrist"/>
    <s v="slap on the"/>
    <s v="wrist"/>
    <s v="slap on the wrist"/>
    <x v="0"/>
    <x v="3"/>
    <x v="1"/>
    <s v="NOUN"/>
    <x v="0"/>
    <n v="3.1250005044650801E-5"/>
    <n v="3.1080862894499602E-5"/>
    <n v="-1.5260772821676399E-2"/>
    <n v="2.9983017223523198"/>
  </r>
  <r>
    <n v="609"/>
    <s v="fight fire with fire"/>
    <s v="fight fire with"/>
    <s v="fire"/>
    <s v="fight fire with fire"/>
    <x v="0"/>
    <x v="0"/>
    <x v="1"/>
    <s v="NOUN"/>
    <x v="0"/>
    <n v="3.1250008975922599E-5"/>
    <n v="1.5600552365893002E-5"/>
    <n v="3.0496849531118598E-3"/>
    <n v="3.3021324517257402"/>
  </r>
  <r>
    <n v="610"/>
    <s v="make a meal of"/>
    <s v="make a meal"/>
    <s v="of"/>
    <s v="make a meal plan for the week"/>
    <x v="0"/>
    <x v="4"/>
    <x v="2"/>
    <s v="NOUN"/>
    <x v="1"/>
    <n v="3.1249999191673498E-5"/>
    <n v="2.64713343747711E-6"/>
    <n v="7.9392101683310994E-3"/>
    <n v="3.6179912552322202"/>
  </r>
  <r>
    <n v="611"/>
    <s v="lay a finger on"/>
    <s v="lay a finger"/>
    <s v="on"/>
    <s v="lay a finger on"/>
    <x v="0"/>
    <x v="4"/>
    <x v="2"/>
    <s v="ADP"/>
    <x v="0"/>
    <n v="3.1250001518186598E-5"/>
    <n v="2.2410581831151899E-5"/>
    <n v="-8.6583985624937299E-3"/>
    <n v="3.6935234747344898"/>
  </r>
  <r>
    <n v="612"/>
    <s v="go round in circles"/>
    <s v="go round in"/>
    <s v="circles"/>
    <s v="go round in circles"/>
    <x v="0"/>
    <x v="2"/>
    <x v="1"/>
    <s v="NOUN"/>
    <x v="0"/>
    <n v="3.1250008641622602E-5"/>
    <n v="1.2622882301208101E-5"/>
    <n v="1.26528199658224E-2"/>
    <n v="3.32184098369143"/>
  </r>
  <r>
    <n v="613"/>
    <s v="jobs for the boys"/>
    <s v="jobs for the"/>
    <s v="boys"/>
    <s v="jobs for the future "/>
    <x v="0"/>
    <x v="0"/>
    <x v="1"/>
    <s v="NOUN"/>
    <x v="1"/>
    <n v="3.1249997316438999E-5"/>
    <n v="1.75242803772866E-6"/>
    <n v="2.23280163206638E-2"/>
    <n v="3.5367053981034799"/>
  </r>
  <r>
    <n v="614"/>
    <s v="live and let live"/>
    <s v="live and let"/>
    <s v="live"/>
    <s v="live and let live"/>
    <x v="0"/>
    <x v="0"/>
    <x v="7"/>
    <s v="VERB"/>
    <x v="0"/>
    <n v="3.1250005925332498E-5"/>
    <n v="1.07288350320253E-5"/>
    <n v="-2.4286253822651802E-2"/>
    <n v="3.6013179697067401"/>
  </r>
  <r>
    <n v="615"/>
    <s v="make a monkey of someone"/>
    <s v="make a monkey of"/>
    <s v="someone"/>
    <s v="make a monkey of someone"/>
    <x v="2"/>
    <x v="2"/>
    <x v="3"/>
    <s v="PRON"/>
    <x v="0"/>
    <n v="3.1249997389030102E-5"/>
    <n v="3.61946509317417E-6"/>
    <n v="-6.9113374231406502E-3"/>
    <n v="3.3573789271241599"/>
  </r>
  <r>
    <n v="616"/>
    <s v="everything in the garden is rosy"/>
    <s v="everything in the garden is"/>
    <s v="rosy"/>
    <s v="everything in the garden is lovelyThe garden"/>
    <x v="1"/>
    <x v="0"/>
    <x v="6"/>
    <s v="NOUN"/>
    <x v="1"/>
    <n v="3.1250000851414602E-5"/>
    <n v="6.1253087977482901E-8"/>
    <n v="1.7455138717599999E-2"/>
    <n v="3.45136181034565"/>
  </r>
  <r>
    <n v="617"/>
    <s v="you pays your money and you takes your choice"/>
    <s v="you pays your money and you takes your"/>
    <s v="choice"/>
    <s v="you pays your money and you takes your choice"/>
    <x v="5"/>
    <x v="5"/>
    <x v="1"/>
    <s v="NOUN"/>
    <x v="0"/>
    <n v="3.1250012403143299E-5"/>
    <n v="1.5548266727057702E-5"/>
    <n v="2.0204974483362999E-2"/>
    <n v="3.5711576615031499"/>
  </r>
  <r>
    <n v="618"/>
    <s v="one in the eye for"/>
    <s v="one in the eye"/>
    <s v="for"/>
    <s v="one in the eye for"/>
    <x v="2"/>
    <x v="1"/>
    <x v="2"/>
    <s v="ADP"/>
    <x v="0"/>
    <n v="3.1249999284817903E-5"/>
    <n v="1.6466778242226399E-6"/>
    <n v="7.3582988328553204E-3"/>
    <n v="3.6872114641650402"/>
  </r>
  <r>
    <n v="619"/>
    <s v="birds of a feather"/>
    <s v="birds of a"/>
    <s v="feather"/>
    <s v="birds of a feather"/>
    <x v="0"/>
    <x v="2"/>
    <x v="1"/>
    <s v="NOUN"/>
    <x v="0"/>
    <n v="3.1250004523700798E-5"/>
    <n v="3.1185148896720197E-5"/>
    <n v="-5.8630816039268998E-3"/>
    <n v="2.4562322588458501"/>
  </r>
  <r>
    <n v="620"/>
    <s v="make a virtue of necessity"/>
    <s v="make a virtue of"/>
    <s v="necessity"/>
    <s v="make a virtue of necessity"/>
    <x v="2"/>
    <x v="7"/>
    <x v="1"/>
    <s v="NOUN"/>
    <x v="0"/>
    <n v="3.1250001314622497E-5"/>
    <n v="9.7176797961356702E-6"/>
    <n v="2.6016980320768802E-3"/>
    <n v="3.4923404371501401"/>
  </r>
  <r>
    <n v="621"/>
    <s v="play to the gallery"/>
    <s v="play to the"/>
    <s v="gallery"/>
    <s v="play to the crowdThe crowd is"/>
    <x v="0"/>
    <x v="2"/>
    <x v="1"/>
    <s v="AUX"/>
    <x v="1"/>
    <n v="3.1250002667608702E-5"/>
    <n v="1.17769020493068E-6"/>
    <n v="5.6103612903761696E-3"/>
    <n v="3.43279249786751"/>
  </r>
  <r>
    <n v="622"/>
    <s v="sell like hot cakes"/>
    <s v="sell like hot"/>
    <s v="cakes"/>
    <s v="sell like hot cakes"/>
    <x v="0"/>
    <x v="3"/>
    <x v="1"/>
    <s v="NOUN"/>
    <x v="0"/>
    <n v="3.1250013243412003E-5"/>
    <n v="2.8489182406574001E-5"/>
    <n v="4.8839168526697502E-3"/>
    <n v="2.68513560237826"/>
  </r>
  <r>
    <n v="623"/>
    <s v="drop someone a line"/>
    <s v="drop someone a"/>
    <s v="line"/>
    <s v="drop someone a line"/>
    <x v="0"/>
    <x v="0"/>
    <x v="1"/>
    <s v="NOUN"/>
    <x v="0"/>
    <n v="3.1250009595345501E-5"/>
    <n v="2.1826156639592801E-5"/>
    <n v="2.69141101952887E-2"/>
    <n v="3.36279676028835"/>
  </r>
  <r>
    <n v="624"/>
    <s v="smell of the lamp"/>
    <s v="smell of the"/>
    <s v="lamp"/>
    <s v="smell of the seaThe smell"/>
    <x v="0"/>
    <x v="0"/>
    <x v="1"/>
    <s v="NOUN"/>
    <x v="1"/>
    <n v="3.1250014822035798E-5"/>
    <n v="3.0294105011452599E-5"/>
    <n v="-1.36679260845227E-2"/>
    <n v="3.5333257480116198"/>
  </r>
  <r>
    <n v="625"/>
    <s v="hang by a thread"/>
    <s v="hang by a"/>
    <s v="thread"/>
    <s v="hang by a thread"/>
    <x v="0"/>
    <x v="5"/>
    <x v="1"/>
    <s v="NOUN"/>
    <x v="0"/>
    <n v="3.1250016197302499E-5"/>
    <n v="2.00316520933888E-5"/>
    <n v="-6.2057680110896699E-2"/>
    <n v="3.4111505552880401"/>
  </r>
  <r>
    <n v="626"/>
    <s v="mutton dressed as lamb"/>
    <s v="mutton dressed as"/>
    <s v="lamb"/>
    <s v="mutton dressed as lamb"/>
    <x v="0"/>
    <x v="0"/>
    <x v="9"/>
    <s v="PROPN"/>
    <x v="0"/>
    <n v="3.1250005971648801E-5"/>
    <n v="3.11831614612707E-5"/>
    <n v="-1.14831352830222E-2"/>
    <n v="2.7267253830703799"/>
  </r>
  <r>
    <n v="627"/>
    <s v="I'll eat my hat"/>
    <s v="I'll eat my"/>
    <s v="hat"/>
    <s v="I'll eat my hat"/>
    <x v="0"/>
    <x v="1"/>
    <x v="1"/>
    <s v="NOUN"/>
    <x v="0"/>
    <n v="3.125000593771E-5"/>
    <n v="5.24486172162046E-6"/>
    <n v="2.01297542534177E-2"/>
    <n v="3.3347405895650799"/>
  </r>
  <r>
    <n v="628"/>
    <s v="upset the apple cart"/>
    <s v="upset the apple"/>
    <s v="cart"/>
    <s v="upset the apple cart"/>
    <x v="0"/>
    <x v="0"/>
    <x v="1"/>
    <s v="NOUN"/>
    <x v="0"/>
    <n v="3.1250007591449598E-5"/>
    <n v="1.7883876335549E-5"/>
    <n v="4.1686711004906797E-3"/>
    <n v="3.6595175130396198"/>
  </r>
  <r>
    <n v="629"/>
    <s v="the whole shooting match"/>
    <s v="the whole shooting"/>
    <s v="match"/>
    <s v="the whole shooting match"/>
    <x v="0"/>
    <x v="3"/>
    <x v="1"/>
    <s v="NOUN"/>
    <x v="0"/>
    <n v="3.1250005300589802E-5"/>
    <n v="3.0192945010500701E-5"/>
    <n v="2.69031590642363E-2"/>
    <n v="3.28109421182352"/>
  </r>
  <r>
    <n v="630"/>
    <s v="put someone in mind of"/>
    <s v="put someone in mind"/>
    <s v="of"/>
    <s v="put someone in mind of"/>
    <x v="2"/>
    <x v="4"/>
    <x v="2"/>
    <s v="ADP"/>
    <x v="0"/>
    <n v="3.1250001311750798E-5"/>
    <n v="8.2978631110616804E-6"/>
    <n v="-1.7965278526631299E-2"/>
    <n v="3.3817494409284099"/>
  </r>
  <r>
    <n v="631"/>
    <s v="poor as a church mouse"/>
    <s v="poor as a church"/>
    <s v="mouse"/>
    <s v="poor as a church mouse"/>
    <x v="2"/>
    <x v="3"/>
    <x v="1"/>
    <s v="NOUN"/>
    <x v="0"/>
    <n v="3.12500060762147E-5"/>
    <n v="1.32003133121193E-5"/>
    <n v="1.23721509529053E-2"/>
    <n v="3.3084733391759902"/>
  </r>
  <r>
    <n v="632"/>
    <s v="on the horns of a dilemma"/>
    <s v="on the horns of a"/>
    <s v="dilemma"/>
    <s v="on the horns of a dilemma"/>
    <x v="1"/>
    <x v="2"/>
    <x v="1"/>
    <s v="NOUN"/>
    <x v="0"/>
    <n v="3.1250011852266097E-5"/>
    <n v="3.1157111429285497E-5"/>
    <n v="-1.4502578408439599E-3"/>
    <n v="2.2742006563201498"/>
  </r>
  <r>
    <n v="633"/>
    <s v="tough as old boots"/>
    <s v="tough as old"/>
    <s v="boots"/>
    <s v="tough as old boots"/>
    <x v="0"/>
    <x v="3"/>
    <x v="1"/>
    <s v="NOUN"/>
    <x v="0"/>
    <n v="3.1249998798481E-5"/>
    <n v="3.0012934104138901E-5"/>
    <n v="-8.7073028931072805E-4"/>
    <n v="2.9814421016867798"/>
  </r>
  <r>
    <n v="634"/>
    <s v="kiss and make up"/>
    <s v="kiss and make"/>
    <s v="up"/>
    <s v="kiss and make up"/>
    <x v="0"/>
    <x v="4"/>
    <x v="2"/>
    <s v="ADP"/>
    <x v="0"/>
    <n v="3.1250005745003601E-5"/>
    <n v="1.30149228781735E-5"/>
    <n v="-7.1702322106403905E-4"/>
    <n v="3.6817312545987502"/>
  </r>
  <r>
    <n v="635"/>
    <s v="on your high horse"/>
    <s v="on your high"/>
    <s v="horse"/>
    <s v="on your high school transcript."/>
    <x v="0"/>
    <x v="3"/>
    <x v="1"/>
    <s v="NOUN"/>
    <x v="1"/>
    <n v="3.1250004840255401E-5"/>
    <n v="5.0316641383702904E-6"/>
    <n v="7.1768233721272098E-3"/>
    <n v="3.8306583144303401"/>
  </r>
  <r>
    <n v="636"/>
    <s v="one good turn deserves another"/>
    <s v="one good turn deserves"/>
    <s v="another"/>
    <s v="one good turn deserves another"/>
    <x v="2"/>
    <x v="2"/>
    <x v="3"/>
    <s v="PRON"/>
    <x v="0"/>
    <n v="3.1250005528531802E-5"/>
    <n v="2.8052570140667901E-5"/>
    <n v="1.2913838429327001E-3"/>
    <n v="3.7739726874442598"/>
  </r>
  <r>
    <n v="637"/>
    <s v="rise through the ranks"/>
    <s v="rise through the"/>
    <s v="ranks"/>
    <s v="rise through the ranks"/>
    <x v="0"/>
    <x v="3"/>
    <x v="1"/>
    <s v="NOUN"/>
    <x v="0"/>
    <n v="3.1250003933371797E-5"/>
    <n v="6.3933150669524797E-6"/>
    <n v="2.1667833292900299E-2"/>
    <n v="3.1965837957163301"/>
  </r>
  <r>
    <n v="638"/>
    <s v="joined at the hip"/>
    <s v="joined at the"/>
    <s v="hip"/>
    <s v="joined at the hip"/>
    <x v="0"/>
    <x v="1"/>
    <x v="1"/>
    <s v="NOUN"/>
    <x v="0"/>
    <n v="3.1250008120471398E-5"/>
    <n v="3.6401370301241602E-6"/>
    <n v="1.4631973085879E-2"/>
    <n v="3.1235287003035199"/>
  </r>
  <r>
    <n v="639"/>
    <s v="long in the tooth"/>
    <s v="long in the"/>
    <s v="tooth"/>
    <s v="long in the tooth"/>
    <x v="0"/>
    <x v="3"/>
    <x v="1"/>
    <s v="NOUN"/>
    <x v="0"/>
    <n v="3.1250004818759501E-5"/>
    <n v="3.1107251446073E-5"/>
    <n v="1.22843525111058E-2"/>
    <n v="2.4724421872590199"/>
  </r>
  <r>
    <n v="640"/>
    <s v="build castles in the air"/>
    <s v="build castles in the"/>
    <s v="air"/>
    <s v="build castles in the air"/>
    <x v="2"/>
    <x v="1"/>
    <x v="1"/>
    <s v="NOUN"/>
    <x v="0"/>
    <n v="3.1250003971513203E-5"/>
    <n v="1.3419892950023E-5"/>
    <n v="1.7374860408466399E-2"/>
    <n v="3.5728898362748098"/>
  </r>
  <r>
    <n v="641"/>
    <s v="put your foot in it"/>
    <s v="put your foot in"/>
    <s v="it"/>
    <s v="put your foot in the doorThe phrase"/>
    <x v="2"/>
    <x v="4"/>
    <x v="3"/>
    <s v="NOUN"/>
    <x v="1"/>
    <n v="3.1250000412387701E-5"/>
    <n v="2.4590341253070901E-7"/>
    <n v="3.0234333594847802E-2"/>
    <n v="3.2453587542353799"/>
  </r>
  <r>
    <n v="642"/>
    <s v="turn the other cheek"/>
    <s v="turn the other"/>
    <s v="cheek"/>
    <s v="turn the other cheek"/>
    <x v="0"/>
    <x v="3"/>
    <x v="1"/>
    <s v="NOUN"/>
    <x v="0"/>
    <n v="3.1249999015806798E-5"/>
    <n v="3.0810732846230103E-5"/>
    <n v="1.33723427171617E-3"/>
    <n v="2.4172046013394799"/>
  </r>
  <r>
    <n v="643"/>
    <s v="sick as a dog"/>
    <s v="sick as a"/>
    <s v="dog"/>
    <s v="sick as a dog"/>
    <x v="0"/>
    <x v="1"/>
    <x v="1"/>
    <s v="NOUN"/>
    <x v="0"/>
    <n v="3.1250001580810997E-5"/>
    <n v="1.6720260159793101E-5"/>
    <n v="-2.15537338719968E-2"/>
    <n v="3.4479264077039802"/>
  </r>
  <r>
    <n v="644"/>
    <s v="sail close to the wind"/>
    <s v="sail close to the"/>
    <s v="wind"/>
    <s v="sail close to the wind"/>
    <x v="2"/>
    <x v="0"/>
    <x v="1"/>
    <s v="NOUN"/>
    <x v="0"/>
    <n v="3.1249999428062999E-5"/>
    <n v="1.3752718493941201E-5"/>
    <n v="6.9679429952884597E-3"/>
    <n v="2.8559788756578901"/>
  </r>
  <r>
    <n v="645"/>
    <s v="kick over the traces"/>
    <s v="kick over the"/>
    <s v="traces"/>
    <s v="kick over the traces"/>
    <x v="0"/>
    <x v="5"/>
    <x v="1"/>
    <s v="NOUN"/>
    <x v="0"/>
    <n v="3.1249992841213098E-5"/>
    <n v="1.41424854600141E-5"/>
    <n v="3.86865260505064E-3"/>
    <n v="3.3812988846530301"/>
  </r>
  <r>
    <n v="646"/>
    <s v="fit to be tied"/>
    <s v="fit to be"/>
    <s v="tied"/>
    <s v="fit to be tied"/>
    <x v="0"/>
    <x v="0"/>
    <x v="7"/>
    <s v="VERB"/>
    <x v="0"/>
    <n v="3.1249996187679499E-5"/>
    <n v="8.6416350045404603E-6"/>
    <n v="-2.4950983803620298E-2"/>
    <n v="3.3852465992273899"/>
  </r>
  <r>
    <n v="647"/>
    <s v="gone with the wind"/>
    <s v="gone with the"/>
    <s v="wind"/>
    <s v="gone with the wind"/>
    <x v="0"/>
    <x v="0"/>
    <x v="1"/>
    <s v="NOUN"/>
    <x v="0"/>
    <n v="3.1250004015020101E-5"/>
    <n v="2.2271056560622899E-5"/>
    <n v="2.1320327825968301E-2"/>
    <n v="3.34098977271243"/>
  </r>
  <r>
    <n v="648"/>
    <s v="throw someone to the wolves"/>
    <s v="throw someone to the"/>
    <s v="wolves"/>
    <s v="throw someone to the wolves"/>
    <x v="2"/>
    <x v="5"/>
    <x v="1"/>
    <s v="NOUN"/>
    <x v="0"/>
    <n v="3.1250007121312702E-5"/>
    <n v="3.08535113306517E-5"/>
    <n v="-2.2302435223266099E-2"/>
    <n v="2.4081259205239198"/>
  </r>
  <r>
    <n v="649"/>
    <s v="clean as a whistle"/>
    <s v="clean as a"/>
    <s v="whistle"/>
    <s v="clean as a whistle"/>
    <x v="0"/>
    <x v="2"/>
    <x v="1"/>
    <s v="NOUN"/>
    <x v="0"/>
    <n v="3.1249994058451803E-5"/>
    <n v="3.0600096919173803E-5"/>
    <n v="-6.2238282657887103E-3"/>
    <n v="2.7875086284181698"/>
  </r>
  <r>
    <n v="650"/>
    <s v="up hill and down dale"/>
    <s v="up hill and down"/>
    <s v="dale"/>
    <s v="up hill and down dale"/>
    <x v="2"/>
    <x v="0"/>
    <x v="1"/>
    <s v="NOUN"/>
    <x v="0"/>
    <n v="3.1249995658875197E-5"/>
    <n v="3.1164548236426399E-5"/>
    <n v="-1.12042595605856E-2"/>
    <n v="2.9982957704011901"/>
  </r>
  <r>
    <n v="651"/>
    <s v="pour oil on troubled waters"/>
    <s v="pour oil on troubled"/>
    <s v="waters"/>
    <s v="pour oil on troubled waters"/>
    <x v="2"/>
    <x v="5"/>
    <x v="1"/>
    <s v="NOUN"/>
    <x v="0"/>
    <n v="3.1250000936926102E-5"/>
    <n v="1.0747147882538599E-5"/>
    <n v="1.4014247957170701E-2"/>
    <n v="3.2442735690500202"/>
  </r>
  <r>
    <n v="652"/>
    <s v="see a man about a dog"/>
    <s v="see a man about a"/>
    <s v="dog"/>
    <s v="see a man about a dog"/>
    <x v="1"/>
    <x v="1"/>
    <x v="1"/>
    <s v="NOUN"/>
    <x v="0"/>
    <n v="3.1249995413723702E-5"/>
    <n v="9.8597462333917706E-6"/>
    <n v="4.1779434561703896E-3"/>
    <n v="3.4071027570214998"/>
  </r>
  <r>
    <n v="653"/>
    <s v="keep body and soul together"/>
    <s v="keep body and soul"/>
    <s v="together"/>
    <s v="keep body and soul together"/>
    <x v="2"/>
    <x v="6"/>
    <x v="0"/>
    <s v="ADV"/>
    <x v="0"/>
    <n v="3.1250018461432402E-5"/>
    <n v="2.6477385746555399E-5"/>
    <n v="-2.4546662289111499E-2"/>
    <n v="3.5753153888465898"/>
  </r>
  <r>
    <n v="654"/>
    <s v="fly off the handle"/>
    <s v="fly off the"/>
    <s v="handle"/>
    <s v="fly off the handle"/>
    <x v="0"/>
    <x v="5"/>
    <x v="1"/>
    <s v="NOUN"/>
    <x v="0"/>
    <n v="3.1250007669000703E-5"/>
    <n v="3.0293690781715801E-6"/>
    <n v="-8.1915627083404205E-3"/>
    <n v="3.2318585011271699"/>
  </r>
  <r>
    <n v="655"/>
    <s v="the world and his wife"/>
    <s v="the world and his"/>
    <s v="wife"/>
    <s v="the world and his wife"/>
    <x v="2"/>
    <x v="0"/>
    <x v="1"/>
    <s v="NOUN"/>
    <x v="0"/>
    <n v="3.1250004660682099E-5"/>
    <n v="6.4585469978764701E-6"/>
    <n v="2.81421504716412E-2"/>
    <n v="3.0414170924634898"/>
  </r>
  <r>
    <n v="656"/>
    <s v="snug as a bug in a rug"/>
    <s v="snug as a bug in a"/>
    <s v="rug"/>
    <s v="snug as a bug in a rug"/>
    <x v="4"/>
    <x v="1"/>
    <x v="1"/>
    <s v="NOUN"/>
    <x v="0"/>
    <n v="3.1250003788805397E-5"/>
    <n v="2.71161992615369E-5"/>
    <n v="-3.5008921617020398E-2"/>
    <n v="3.5925016592491601"/>
  </r>
  <r>
    <n v="657"/>
    <s v="a penny for your thoughts"/>
    <s v="a penny for your"/>
    <s v="thoughts"/>
    <s v="a penny for your thoughts"/>
    <x v="2"/>
    <x v="6"/>
    <x v="1"/>
    <s v="NOUN"/>
    <x v="0"/>
    <n v="3.1250001053748899E-5"/>
    <n v="1.93845888839503E-5"/>
    <n v="1.2838532327791001E-2"/>
    <n v="3.16921360748958"/>
  </r>
  <r>
    <n v="658"/>
    <s v="be left holding the baby"/>
    <s v="be left holding the"/>
    <s v="baby"/>
    <s v="be left holding the bag."/>
    <x v="2"/>
    <x v="0"/>
    <x v="1"/>
    <s v="NOUN"/>
    <x v="1"/>
    <n v="3.1250002124595199E-5"/>
    <n v="4.8839640171318199E-6"/>
    <n v="-4.8001181644607901E-5"/>
    <n v="3.8539338900403401"/>
  </r>
  <r>
    <n v="659"/>
    <s v="have other fish to fry"/>
    <s v="have other fish to"/>
    <s v="fry"/>
    <s v="have other fish to fry"/>
    <x v="2"/>
    <x v="1"/>
    <x v="7"/>
    <s v="VERB"/>
    <x v="0"/>
    <n v="3.1249999913377797E-5"/>
    <n v="3.1128787585278201E-5"/>
    <n v="-2.0472814664415698E-2"/>
    <n v="2.8280027531698799"/>
  </r>
  <r>
    <n v="660"/>
    <s v="nutty as a fruitcake"/>
    <s v="nutty as a"/>
    <s v="fruitcake"/>
    <s v="nutty as a fruitcake"/>
    <x v="0"/>
    <x v="7"/>
    <x v="1"/>
    <s v="NOUN"/>
    <x v="0"/>
    <n v="3.1250011961865201E-5"/>
    <n v="3.1197555952391003E-5"/>
    <n v="7.5842848919727103E-3"/>
    <n v="2.60838172957722"/>
  </r>
  <r>
    <n v="661"/>
    <s v="par for the course"/>
    <s v="par for the"/>
    <s v="course"/>
    <s v="par for the course"/>
    <x v="0"/>
    <x v="5"/>
    <x v="1"/>
    <s v="NOUN"/>
    <x v="0"/>
    <n v="3.1249996230882299E-5"/>
    <n v="1.8706045771238901E-5"/>
    <n v="2.04560595536236E-2"/>
    <n v="3.5483741529953998"/>
  </r>
  <r>
    <n v="662"/>
    <s v="strain at the leash"/>
    <s v="strain at the"/>
    <s v="leash"/>
    <s v="strain at the seamsThe stra"/>
    <x v="0"/>
    <x v="3"/>
    <x v="1"/>
    <s v="NOUN"/>
    <x v="1"/>
    <n v="3.1249998294019199E-5"/>
    <n v="7.8973609341356198E-8"/>
    <n v="2.0996769966771401E-2"/>
    <n v="3.42016355045312"/>
  </r>
  <r>
    <n v="663"/>
    <s v="poor little rich girl"/>
    <s v="poor little rich"/>
    <s v="girl"/>
    <s v="poor little rich girl"/>
    <x v="0"/>
    <x v="0"/>
    <x v="1"/>
    <s v="NOUN"/>
    <x v="0"/>
    <n v="3.1250004718489001E-5"/>
    <n v="4.1698580948915203E-6"/>
    <n v="1.4836026130726701E-2"/>
    <n v="3.30485611444047"/>
  </r>
  <r>
    <n v="664"/>
    <s v="man of the cloth"/>
    <s v="man of the"/>
    <s v="cloth"/>
    <s v="man of the match:"/>
    <x v="0"/>
    <x v="3"/>
    <x v="1"/>
    <s v="NOUN"/>
    <x v="1"/>
    <n v="3.12499986249778E-5"/>
    <n v="5.6962052164207895E-7"/>
    <n v="2.4038227650038302E-3"/>
    <n v="3.0150816265679401"/>
  </r>
  <r>
    <n v="665"/>
    <s v="sweat like a pig"/>
    <s v="sweat like a"/>
    <s v="pig"/>
    <s v="sweat like a pig"/>
    <x v="0"/>
    <x v="1"/>
    <x v="1"/>
    <s v="NOUN"/>
    <x v="0"/>
    <n v="3.1249997853261898E-5"/>
    <n v="3.0811796735259697E-5"/>
    <n v="-3.9526169187993697E-2"/>
    <n v="2.6721146576572101"/>
  </r>
  <r>
    <n v="666"/>
    <s v="like peas in a pod"/>
    <s v="like peas in a"/>
    <s v="pod"/>
    <s v="like peas in a pod"/>
    <x v="2"/>
    <x v="1"/>
    <x v="1"/>
    <s v="NOUN"/>
    <x v="0"/>
    <n v="3.1250016134934298E-5"/>
    <n v="2.5815114396133499E-5"/>
    <n v="-2.5839041582109701E-3"/>
    <n v="3.37391066016695"/>
  </r>
  <r>
    <n v="667"/>
    <s v="make heavy weather of"/>
    <s v="make heavy weather"/>
    <s v="of"/>
    <s v="make heavy weather of"/>
    <x v="0"/>
    <x v="4"/>
    <x v="2"/>
    <s v="ADP"/>
    <x v="0"/>
    <n v="3.1250007280836098E-5"/>
    <n v="9.9485907411189506E-6"/>
    <n v="4.0274822456254303E-3"/>
    <n v="3.5273544262584"/>
  </r>
  <r>
    <n v="668"/>
    <s v="drunk as a lord"/>
    <s v="drunk as a"/>
    <s v="lord"/>
    <s v="drunk as a skunkdrunk"/>
    <x v="0"/>
    <x v="0"/>
    <x v="9"/>
    <s v="NOUN"/>
    <x v="1"/>
    <n v="3.12500055609028E-5"/>
    <n v="2.85016326742179E-5"/>
    <n v="-3.6870177946077803E-2"/>
    <n v="2.9109747215830399"/>
  </r>
  <r>
    <n v="669"/>
    <s v="like a bear with a sore head"/>
    <s v="like a bear with a sore"/>
    <s v="head"/>
    <s v="like a bear with a sore head"/>
    <x v="4"/>
    <x v="0"/>
    <x v="1"/>
    <s v="NOUN"/>
    <x v="0"/>
    <n v="3.1249997875862797E-5"/>
    <n v="1.95714127198699E-5"/>
    <n v="5.71077554111809E-3"/>
    <n v="3.36164413871164"/>
  </r>
  <r>
    <n v="670"/>
    <s v="kick up your heels"/>
    <s v="kick up your"/>
    <s v="heels"/>
    <s v="kick up your heels"/>
    <x v="0"/>
    <x v="3"/>
    <x v="1"/>
    <s v="NOUN"/>
    <x v="0"/>
    <n v="3.1250007440577499E-5"/>
    <n v="3.0210612180283602E-5"/>
    <n v="-6.8317146190737203E-3"/>
    <n v="3.99425472552648"/>
  </r>
  <r>
    <n v="671"/>
    <s v="pushing up the daisies"/>
    <s v="pushing up the"/>
    <s v="daisies"/>
    <s v="pushing up the daisies"/>
    <x v="0"/>
    <x v="2"/>
    <x v="1"/>
    <s v="NOUN"/>
    <x v="0"/>
    <n v="3.1249999194578299E-5"/>
    <n v="3.0905270369008299E-5"/>
    <n v="2.5375829436212499E-2"/>
    <n v="3.4917088285494899"/>
  </r>
  <r>
    <n v="672"/>
    <s v="to beat the band"/>
    <s v="to beat the"/>
    <s v="band"/>
    <s v="to beat the heat,"/>
    <x v="0"/>
    <x v="0"/>
    <x v="1"/>
    <s v="NOUN"/>
    <x v="1"/>
    <n v="3.1249998777993699E-5"/>
    <n v="3.3148170772933999E-6"/>
    <n v="-3.09390079083584E-2"/>
    <n v="3.7668524865633"/>
  </r>
  <r>
    <n v="673"/>
    <s v="before you can say Jack Robinson"/>
    <s v="before you can say Jack"/>
    <s v="Robinson"/>
    <s v="before you can say Jack Robinson"/>
    <x v="1"/>
    <x v="6"/>
    <x v="9"/>
    <s v="PROPN"/>
    <x v="0"/>
    <n v="3.1250006215332903E-5"/>
    <n v="2.4981319978065301E-5"/>
    <n v="3.9974427300449998E-2"/>
    <n v="3.26683091115276"/>
  </r>
  <r>
    <n v="674"/>
    <s v="talk nineteen to the dozen"/>
    <s v="talk nineteen to the"/>
    <s v="dozen"/>
    <s v="talk nineteen to the nineteenth chapter of"/>
    <x v="2"/>
    <x v="3"/>
    <x v="1"/>
    <s v="ADP"/>
    <x v="1"/>
    <n v="3.1249998996210101E-5"/>
    <n v="1.29795811242884E-5"/>
    <n v="8.6114559691949904E-3"/>
    <n v="3.8160384141439798"/>
  </r>
  <r>
    <n v="675"/>
    <s v="stick in your craw"/>
    <s v="stick in your"/>
    <s v="craw"/>
    <s v="stick in your mind."/>
    <x v="0"/>
    <x v="0"/>
    <x v="1"/>
    <s v="NOUN"/>
    <x v="1"/>
    <n v="3.12500024153526E-5"/>
    <n v="2.23071566067872E-6"/>
    <n v="-4.2178762000091297E-3"/>
    <n v="3.5177694376474902"/>
  </r>
  <r>
    <n v="676"/>
    <s v="fit like a glove"/>
    <s v="fit like a"/>
    <s v="glove"/>
    <s v="fit like a glove"/>
    <x v="0"/>
    <x v="3"/>
    <x v="1"/>
    <s v="NOUN"/>
    <x v="0"/>
    <n v="3.12500041970746E-5"/>
    <n v="3.0953443763131202E-5"/>
    <n v="-1.3307966155640101E-2"/>
    <n v="2.6740749258213499"/>
  </r>
  <r>
    <n v="677"/>
    <s v="eat someone out of house and home"/>
    <s v="eat someone out of house and"/>
    <s v="home"/>
    <s v="eat someone out of house and home"/>
    <x v="4"/>
    <x v="0"/>
    <x v="1"/>
    <s v="NOUN"/>
    <x v="0"/>
    <n v="3.1250002737993501E-5"/>
    <n v="3.0550055190092897E-5"/>
    <n v="-2.0739975575088099E-2"/>
    <n v="3.4932947188397701"/>
  </r>
  <r>
    <n v="678"/>
    <s v="discretion is the better part of valour"/>
    <s v="discretion is the better part of"/>
    <s v="valour"/>
    <s v="discretion is the better part of valor."/>
    <x v="4"/>
    <x v="5"/>
    <x v="1"/>
    <s v="NOUN"/>
    <x v="1"/>
    <n v="3.1250003577175103E-5"/>
    <n v="2.0616860719075201E-6"/>
    <n v="-4.9032523474181701E-3"/>
    <n v="3.58682829560883"/>
  </r>
  <r>
    <n v="679"/>
    <s v="all over bar the shouting"/>
    <s v="all over bar the"/>
    <s v="shouting"/>
    <s v="all over bar the shouting"/>
    <x v="2"/>
    <x v="6"/>
    <x v="1"/>
    <s v="NOUN"/>
    <x v="0"/>
    <n v="3.1250018004496102E-5"/>
    <n v="2.6646174830516501E-5"/>
    <n v="1.48888752320344E-2"/>
    <n v="3.66661404916014"/>
  </r>
  <r>
    <n v="680"/>
    <s v="cut your coat according to your cloth"/>
    <s v="cut your coat according to your"/>
    <s v="cloth"/>
    <s v="cut your coat according to your cloth"/>
    <x v="4"/>
    <x v="3"/>
    <x v="1"/>
    <s v="NOUN"/>
    <x v="0"/>
    <n v="3.1250003409028601E-5"/>
    <n v="2.9011324805938399E-5"/>
    <n v="3.3067248231937102E-2"/>
    <n v="3.4687340149831098"/>
  </r>
  <r>
    <n v="681"/>
    <s v="reds under the bed"/>
    <s v="reds under the"/>
    <s v="bed"/>
    <s v="reds under the bed"/>
    <x v="0"/>
    <x v="1"/>
    <x v="1"/>
    <s v="NOUN"/>
    <x v="0"/>
    <n v="3.1250014551792497E-5"/>
    <n v="1.2831234178851599E-5"/>
    <n v="3.62243677395497E-2"/>
    <n v="3.3118032024089499"/>
  </r>
  <r>
    <n v="682"/>
    <s v="hit the right note"/>
    <s v="hit the right"/>
    <s v="note"/>
    <s v="hit the right note"/>
    <x v="0"/>
    <x v="0"/>
    <x v="1"/>
    <s v="NOUN"/>
    <x v="0"/>
    <n v="3.12500030555577E-5"/>
    <n v="2.8830651509212601E-6"/>
    <n v="1.36545369767304E-2"/>
    <n v="3.0643527478171699"/>
  </r>
  <r>
    <n v="683"/>
    <s v="silent as the grave"/>
    <s v="silent as the"/>
    <s v="grave"/>
    <s v="silent as the grave"/>
    <x v="0"/>
    <x v="3"/>
    <x v="1"/>
    <s v="NOUN"/>
    <x v="0"/>
    <n v="3.1250000236478101E-5"/>
    <n v="2.7328371167954201E-6"/>
    <n v="-3.6297894663270798E-3"/>
    <n v="2.4902583071000901"/>
  </r>
  <r>
    <n v="684"/>
    <s v="not miss a trick"/>
    <s v="not miss a"/>
    <s v="trick"/>
    <s v="not miss a beat."/>
    <x v="0"/>
    <x v="3"/>
    <x v="1"/>
    <s v="NOUN"/>
    <x v="1"/>
    <n v="3.1250000937108302E-5"/>
    <n v="3.3016688113970498E-6"/>
    <n v="-6.8723493607869496E-3"/>
    <n v="3.70128012726533"/>
  </r>
  <r>
    <n v="685"/>
    <s v="long time no see"/>
    <s v="long time no"/>
    <s v="see"/>
    <s v="long time no see"/>
    <x v="0"/>
    <x v="1"/>
    <x v="1"/>
    <s v="NOUN"/>
    <x v="0"/>
    <n v="3.12500107859891E-5"/>
    <n v="7.4546161170668204E-6"/>
    <n v="1.11904820064943E-2"/>
    <n v="3.3749107132051601"/>
  </r>
  <r>
    <n v="686"/>
    <s v="champ at the bit"/>
    <s v="champ at the"/>
    <s v="bit"/>
    <s v="champ at the "/>
    <x v="0"/>
    <x v="1"/>
    <x v="1"/>
    <s v="PRON"/>
    <x v="1"/>
    <n v="3.1250002023988298E-5"/>
    <n v="2.6735609213516999E-7"/>
    <n v="5.9905899698822603E-2"/>
    <n v="2.07516955293862"/>
  </r>
  <r>
    <n v="687"/>
    <s v="push the boat out"/>
    <s v="push the boat"/>
    <s v="out"/>
    <s v="push the boat out"/>
    <x v="0"/>
    <x v="1"/>
    <x v="2"/>
    <s v="ADP"/>
    <x v="0"/>
    <n v="3.1250009557818899E-5"/>
    <n v="2.5705356970094701E-5"/>
    <n v="1.44927147164253E-2"/>
    <n v="3.7675946891342802"/>
  </r>
  <r>
    <n v="688"/>
    <s v="talk of the devil"/>
    <s v="talk of the"/>
    <s v="devil"/>
    <s v="talk of the town:"/>
    <x v="0"/>
    <x v="3"/>
    <x v="1"/>
    <s v="NOUN"/>
    <x v="1"/>
    <n v="3.1249997130556203E-5"/>
    <n v="8.1099826949487298E-7"/>
    <n v="1.0912345544213E-2"/>
    <n v="3.7443709260162201"/>
  </r>
  <r>
    <n v="689"/>
    <s v="charity begins at home"/>
    <s v="charity begins at"/>
    <s v="home"/>
    <s v="charity begins at home"/>
    <x v="0"/>
    <x v="0"/>
    <x v="1"/>
    <s v="NOUN"/>
    <x v="0"/>
    <n v="3.12500083596379E-5"/>
    <n v="1.7271185550199599E-5"/>
    <n v="4.1844970352247601E-2"/>
    <n v="3.4591274192761801"/>
  </r>
  <r>
    <n v="690"/>
    <s v="have someone's guts for garters"/>
    <s v="have someone's guts for"/>
    <s v="garters"/>
    <s v="have someone's guts for garters"/>
    <x v="2"/>
    <x v="2"/>
    <x v="1"/>
    <s v="NOUN"/>
    <x v="0"/>
    <n v="3.1250000723249403E-5"/>
    <n v="3.1207601723465699E-5"/>
    <n v="1.9520075184651299E-2"/>
    <n v="3.1643622840347798"/>
  </r>
  <r>
    <n v="691"/>
    <s v="hook, line, and sinker"/>
    <s v="hook, line, and"/>
    <s v="sinker"/>
    <s v="hook, line, and sinker"/>
    <x v="0"/>
    <x v="5"/>
    <x v="1"/>
    <s v="NOUN"/>
    <x v="0"/>
    <n v="3.1250010569107798E-5"/>
    <n v="2.8436762901135101E-5"/>
    <n v="7.4623449250310597E-3"/>
    <n v="3.6358293394382701"/>
  </r>
  <r>
    <n v="692"/>
    <s v="not worth the candle"/>
    <s v="not worth the"/>
    <s v="candle"/>
    <s v="not worth the time or effort."/>
    <x v="0"/>
    <x v="5"/>
    <x v="1"/>
    <s v="NOUN"/>
    <x v="1"/>
    <n v="3.1249999721074003E-5"/>
    <n v="4.7823851513336998E-6"/>
    <n v="-2.70256109249815E-2"/>
    <n v="3.6821266209686998"/>
  </r>
  <r>
    <n v="693"/>
    <s v="right up your street"/>
    <s v="right up your"/>
    <s v="street"/>
    <s v="right up your alley."/>
    <x v="0"/>
    <x v="5"/>
    <x v="1"/>
    <s v="NOUN"/>
    <x v="1"/>
    <n v="3.1250002301200497E-5"/>
    <n v="2.6178906303677398E-6"/>
    <n v="1.1940515333321801E-3"/>
    <n v="3.5984096773308401"/>
  </r>
  <r>
    <n v="694"/>
    <s v="cut from the same cloth"/>
    <s v="cut from the same"/>
    <s v="cloth"/>
    <s v="cut from the same cloth"/>
    <x v="2"/>
    <x v="3"/>
    <x v="1"/>
    <s v="NOUN"/>
    <x v="0"/>
    <n v="3.1250004114517003E-5"/>
    <n v="2.1740004404695499E-5"/>
    <n v="7.2941474911658493E-5"/>
    <n v="3.4690469798491401"/>
  </r>
  <r>
    <n v="695"/>
    <s v="get your hands dirty"/>
    <s v="get your hands"/>
    <s v="dirty"/>
    <s v="get your hands on the best of the"/>
    <x v="0"/>
    <x v="3"/>
    <x v="6"/>
    <s v="PRON"/>
    <x v="1"/>
    <n v="3.1250004973655501E-5"/>
    <n v="1.41100450245809E-6"/>
    <n v="3.6707347535763497E-2"/>
    <n v="3.2065801410499799"/>
  </r>
  <r>
    <n v="696"/>
    <s v="tread on someone's toes"/>
    <s v="tread on someone's"/>
    <s v="toes"/>
    <s v="tread on someone's toes"/>
    <x v="0"/>
    <x v="0"/>
    <x v="1"/>
    <s v="NOUN"/>
    <x v="0"/>
    <n v="3.1250011144552499E-5"/>
    <n v="3.1156357658124598E-5"/>
    <n v="3.0318677430130898E-2"/>
    <n v="2.7200039400207698"/>
  </r>
  <r>
    <n v="697"/>
    <s v="like father, like son"/>
    <s v="like father, like"/>
    <s v="son"/>
    <s v="like father, like son"/>
    <x v="0"/>
    <x v="1"/>
    <x v="1"/>
    <s v="NOUN"/>
    <x v="0"/>
    <n v="3.1250014338503198E-5"/>
    <n v="2.1907502406732399E-5"/>
    <n v="7.5423452006901899E-3"/>
    <n v="3.5653648041946102"/>
  </r>
  <r>
    <n v="698"/>
    <s v="stick to your guns"/>
    <s v="stick to your"/>
    <s v="guns"/>
    <s v="stick to your guns"/>
    <x v="0"/>
    <x v="0"/>
    <x v="1"/>
    <s v="NOUN"/>
    <x v="0"/>
    <n v="3.1250003861180697E-5"/>
    <n v="1.14014488378363E-6"/>
    <n v="1.9260437213226501E-2"/>
    <n v="3.3481148744706499"/>
  </r>
  <r>
    <n v="699"/>
    <s v="bite the big one"/>
    <s v="bite the big"/>
    <s v="one"/>
    <s v="bite the big one"/>
    <x v="0"/>
    <x v="1"/>
    <x v="8"/>
    <s v="NUM"/>
    <x v="0"/>
    <n v="3.1250010284534699E-5"/>
    <n v="1.46968094935638E-5"/>
    <n v="-1.21099410423397E-2"/>
    <n v="2.7944358525232298"/>
  </r>
  <r>
    <n v="700"/>
    <s v="not know you are born"/>
    <s v="not know you are"/>
    <s v="born"/>
    <s v="not know you are a Christian."/>
    <x v="2"/>
    <x v="0"/>
    <x v="7"/>
    <s v="PROPN"/>
    <x v="1"/>
    <n v="3.1250001522052098E-5"/>
    <n v="3.7068885823751999E-6"/>
    <n v="1.1230498077694001E-2"/>
    <n v="3.5970656293513499"/>
  </r>
  <r>
    <n v="701"/>
    <s v="stubborn as a mule"/>
    <s v="stubborn as a"/>
    <s v="mule"/>
    <s v="stubborn as a mule"/>
    <x v="0"/>
    <x v="0"/>
    <x v="1"/>
    <s v="NOUN"/>
    <x v="0"/>
    <n v="3.1250006784094602E-5"/>
    <n v="3.1170724364084497E-5"/>
    <n v="1.55766007446906E-2"/>
    <n v="3.0836963867659799"/>
  </r>
  <r>
    <n v="702"/>
    <s v="turn up like a bad penny"/>
    <s v="turn up like a bad"/>
    <s v="penny"/>
    <s v="turn up like a badgeThe Turn Up"/>
    <x v="1"/>
    <x v="3"/>
    <x v="1"/>
    <s v="ADP"/>
    <x v="1"/>
    <n v="3.1250011786256501E-5"/>
    <n v="1.10927138883065E-5"/>
    <n v="1.04085035997911E-2"/>
    <n v="3.3947980037359899"/>
  </r>
  <r>
    <n v="703"/>
    <s v="cruising for a bruising"/>
    <s v="cruising for a"/>
    <s v="bruising"/>
    <s v="cruising for a bruising"/>
    <x v="0"/>
    <x v="6"/>
    <x v="1"/>
    <s v="NOUN"/>
    <x v="0"/>
    <n v="3.1250002989955303E-5"/>
    <n v="2.5247497184842999E-5"/>
    <n v="8.7424834842408895E-4"/>
    <n v="2.9281772421096499"/>
  </r>
  <r>
    <n v="704"/>
    <s v="prop up the bar"/>
    <s v="prop up the"/>
    <s v="bar"/>
    <s v="prop up the back of the chair."/>
    <x v="0"/>
    <x v="1"/>
    <x v="1"/>
    <s v="NOUN"/>
    <x v="1"/>
    <n v="3.1249994979007603E-5"/>
    <n v="2.7010185664112699E-6"/>
    <n v="-6.5952908938022798E-3"/>
    <n v="3.7513893239988101"/>
  </r>
  <r>
    <n v="705"/>
    <s v="run before you can walk"/>
    <s v="run before you can"/>
    <s v="walk"/>
    <s v="run before you can walk"/>
    <x v="2"/>
    <x v="0"/>
    <x v="7"/>
    <s v="VERB"/>
    <x v="0"/>
    <n v="3.1250003672105603E-5"/>
    <n v="2.2401375737519401E-5"/>
    <n v="2.01440167201383E-2"/>
    <n v="3.1882582090485299"/>
  </r>
  <r>
    <n v="706"/>
    <s v="hit the ground running"/>
    <s v="hit the ground"/>
    <s v="running"/>
    <s v="hit the ground running"/>
    <x v="0"/>
    <x v="2"/>
    <x v="7"/>
    <s v="VERB"/>
    <x v="0"/>
    <n v="3.1250021516214599E-5"/>
    <n v="2.2882747589037901E-5"/>
    <n v="-2.79695108872157E-2"/>
    <n v="3.3736154314989002"/>
  </r>
  <r>
    <n v="707"/>
    <s v="lie through your teeth"/>
    <s v="lie through your"/>
    <s v="teeth"/>
    <s v="lie through your teeth"/>
    <x v="0"/>
    <x v="3"/>
    <x v="1"/>
    <s v="NOUN"/>
    <x v="0"/>
    <n v="3.12500063421386E-5"/>
    <n v="2.3563550008235199E-5"/>
    <n v="1.7615877836142602E-2"/>
    <n v="3.4419039553039701"/>
  </r>
  <r>
    <n v="708"/>
    <s v="tell tales out of school"/>
    <s v="tell tales out of"/>
    <s v="school"/>
    <s v="tell tales out of school"/>
    <x v="2"/>
    <x v="5"/>
    <x v="1"/>
    <s v="NOUN"/>
    <x v="0"/>
    <n v="3.1250007463688502E-5"/>
    <n v="2.8862966052365401E-5"/>
    <n v="2.36245971749156E-2"/>
    <n v="3.2897445040007902"/>
  </r>
  <r>
    <n v="709"/>
    <s v="rough around the edges"/>
    <s v="rough around the"/>
    <s v="edges"/>
    <s v="rough around the edges"/>
    <x v="0"/>
    <x v="3"/>
    <x v="1"/>
    <s v="NOUN"/>
    <x v="0"/>
    <n v="3.12499933121022E-5"/>
    <n v="2.22297121656218E-5"/>
    <n v="1.3085231233731001E-2"/>
    <n v="3.21975588054858"/>
  </r>
  <r>
    <n v="710"/>
    <s v="cast the first stone"/>
    <s v="cast the first"/>
    <s v="stone"/>
    <s v="cast the first stone"/>
    <x v="0"/>
    <x v="3"/>
    <x v="1"/>
    <s v="NOUN"/>
    <x v="0"/>
    <n v="3.1250018887008399E-5"/>
    <n v="2.72580702623648E-5"/>
    <n v="-1.76064375709046E-2"/>
    <n v="3.4344197847735201"/>
  </r>
  <r>
    <n v="711"/>
    <s v="up a gum tree"/>
    <s v="up a gum"/>
    <s v="tree"/>
    <s v="up a gum tree"/>
    <x v="0"/>
    <x v="0"/>
    <x v="1"/>
    <s v="NOUN"/>
    <x v="0"/>
    <n v="3.1250010991639098E-5"/>
    <n v="1.6221132724220899E-5"/>
    <n v="-1.79247262431694E-2"/>
    <n v="3.2880974701192298"/>
  </r>
  <r>
    <n v="712"/>
    <s v="an Englishman's home is his castle"/>
    <s v="an Englishman's home is his"/>
    <s v="castle"/>
    <s v="an Englishman's home is his castle"/>
    <x v="1"/>
    <x v="5"/>
    <x v="1"/>
    <s v="NOUN"/>
    <x v="0"/>
    <n v="3.1249996739203501E-5"/>
    <n v="2.2886592700212298E-5"/>
    <n v="1.8501179967785199E-2"/>
    <n v="3.0302196725591499"/>
  </r>
  <r>
    <n v="713"/>
    <s v="run into the sand"/>
    <s v="run into the"/>
    <s v="sand"/>
    <s v="run into the problem of not being able"/>
    <x v="0"/>
    <x v="0"/>
    <x v="1"/>
    <s v="ADJ"/>
    <x v="1"/>
    <n v="3.1250003701417002E-5"/>
    <n v="2.4418720175490599E-5"/>
    <n v="-1.9828284911795799E-3"/>
    <n v="3.4314368562547801"/>
  </r>
  <r>
    <n v="714"/>
    <s v="keep your eyes peeled"/>
    <s v="keep your eyes"/>
    <s v="peeled"/>
    <s v="keep your eyes on the prize."/>
    <x v="0"/>
    <x v="5"/>
    <x v="7"/>
    <s v="NOUN"/>
    <x v="1"/>
    <n v="3.1250003252999297E-5"/>
    <n v="1.56228510468648E-6"/>
    <n v="-2.3828724975771798E-3"/>
    <n v="3.5434353729280299"/>
  </r>
  <r>
    <n v="715"/>
    <s v="make bricks without straw"/>
    <s v="make bricks without"/>
    <s v="straw"/>
    <s v="make bricks without straw"/>
    <x v="0"/>
    <x v="3"/>
    <x v="1"/>
    <s v="NOUN"/>
    <x v="0"/>
    <n v="3.12500083428493E-5"/>
    <n v="3.0847515836919902E-5"/>
    <n v="3.7485941976242998E-2"/>
    <n v="3.2160883119527099"/>
  </r>
  <r>
    <n v="716"/>
    <s v="every dog has its day"/>
    <s v="every dog has its"/>
    <s v="day"/>
    <s v="every dog has its day"/>
    <x v="2"/>
    <x v="1"/>
    <x v="1"/>
    <s v="NOUN"/>
    <x v="0"/>
    <n v="3.1249998287243199E-5"/>
    <n v="2.5568753305194099E-5"/>
    <n v="3.0427218451121601E-2"/>
    <n v="3.3471662749581599"/>
  </r>
  <r>
    <n v="717"/>
    <s v="bring someone to book"/>
    <s v="bring someone to"/>
    <s v="book"/>
    <s v="bring someone to justicethe act of"/>
    <x v="0"/>
    <x v="0"/>
    <x v="7"/>
    <s v="ADP"/>
    <x v="1"/>
    <n v="3.1250010311314899E-5"/>
    <n v="2.6597900061209699E-5"/>
    <n v="-2.35771853161281E-2"/>
    <n v="3.41485628883478"/>
  </r>
  <r>
    <n v="718"/>
    <s v="ask for the moon"/>
    <s v="ask for the"/>
    <s v="moon"/>
    <s v="ask for the best price."/>
    <x v="0"/>
    <x v="0"/>
    <x v="1"/>
    <s v="NOUN"/>
    <x v="1"/>
    <n v="3.1250000566446E-5"/>
    <n v="1.59507334671814E-6"/>
    <n v="2.3039631754073701E-2"/>
    <n v="3.7570067004687799"/>
  </r>
  <r>
    <n v="719"/>
    <s v="die on the vine"/>
    <s v="die on the"/>
    <s v="vine"/>
    <s v="die on the "/>
    <x v="0"/>
    <x v="0"/>
    <x v="1"/>
    <s v="PRON"/>
    <x v="1"/>
    <n v="3.1249996306199798E-5"/>
    <n v="3.81886379784784E-7"/>
    <n v="4.04273254406462E-2"/>
    <n v="2.8319275603613501"/>
  </r>
  <r>
    <n v="720"/>
    <s v="work your fingers to the bone"/>
    <s v="work your fingers to the"/>
    <s v="bone"/>
    <s v="work your fingers to the bone"/>
    <x v="1"/>
    <x v="0"/>
    <x v="1"/>
    <s v="NOUN"/>
    <x v="0"/>
    <n v="3.12500012663833E-5"/>
    <n v="2.9481279121196799E-5"/>
    <n v="-2.4901245284354402E-3"/>
    <n v="2.5072463422317099"/>
  </r>
  <r>
    <n v="721"/>
    <s v="rob Peter to pay Paul"/>
    <s v="rob Peter to pay"/>
    <s v="Paul"/>
    <s v="rob Peter to pay Paul"/>
    <x v="2"/>
    <x v="0"/>
    <x v="9"/>
    <s v="PROPN"/>
    <x v="0"/>
    <n v="3.1250017474613303E-5"/>
    <n v="2.62299207552998E-5"/>
    <n v="4.9783422277489102E-2"/>
    <n v="3.4452899859083699"/>
  </r>
  <r>
    <n v="722"/>
    <s v="whistle in the dark"/>
    <s v="whistle in the"/>
    <s v="dark"/>
    <s v="whistle in the dark"/>
    <x v="0"/>
    <x v="0"/>
    <x v="1"/>
    <s v="NOUN"/>
    <x v="0"/>
    <n v="3.1250000431828199E-5"/>
    <n v="3.5588175071480002E-6"/>
    <n v="2.3769677290076102E-2"/>
    <n v="3.18105865333141"/>
  </r>
  <r>
    <n v="723"/>
    <s v="drink like a fish"/>
    <s v="drink like a"/>
    <s v="fish"/>
    <s v="drink like a fish"/>
    <x v="0"/>
    <x v="0"/>
    <x v="1"/>
    <s v="NOUN"/>
    <x v="0"/>
    <n v="3.1250001057685502E-5"/>
    <n v="7.9238332986093997E-7"/>
    <n v="-2.8115888469670801E-3"/>
    <n v="3.24316914393563"/>
  </r>
  <r>
    <n v="724"/>
    <s v="thin as a rake"/>
    <s v="thin as a"/>
    <s v="rake"/>
    <s v="thin as a blade of grass."/>
    <x v="0"/>
    <x v="0"/>
    <x v="1"/>
    <s v="NOUN"/>
    <x v="1"/>
    <n v="3.1249998101661899E-5"/>
    <n v="4.6834365702381698E-6"/>
    <n v="-2.3242046483417701E-2"/>
    <n v="3.73891486899194"/>
  </r>
  <r>
    <n v="725"/>
    <s v="come with the territory"/>
    <s v="come with the"/>
    <s v="territory"/>
    <s v="come with the "/>
    <x v="0"/>
    <x v="7"/>
    <x v="1"/>
    <s v="PRON"/>
    <x v="1"/>
    <n v="3.1249996533424802E-5"/>
    <n v="1.16590796403265E-7"/>
    <n v="1.53921288100598E-2"/>
    <n v="2.2699703520997199"/>
  </r>
  <r>
    <n v="726"/>
    <s v="come out of your shell"/>
    <s v="come out of your"/>
    <s v="shell"/>
    <s v="come out of your shell"/>
    <x v="2"/>
    <x v="3"/>
    <x v="1"/>
    <s v="NOUN"/>
    <x v="0"/>
    <n v="3.1249997982105597E-5"/>
    <n v="1.67144591569489E-6"/>
    <n v="4.06308079916613E-2"/>
    <n v="3.3598520277616002"/>
  </r>
  <r>
    <n v="727"/>
    <s v="handsome is as handsome does"/>
    <s v="handsome is as handsome"/>
    <s v="does"/>
    <s v="handsome is as handsome does"/>
    <x v="2"/>
    <x v="0"/>
    <x v="5"/>
    <s v="AUX"/>
    <x v="0"/>
    <n v="3.1250008270549197E-5"/>
    <n v="2.6487871632572501E-5"/>
    <n v="-1.05698751145233E-3"/>
    <n v="3.5714770954484201"/>
  </r>
  <r>
    <n v="728"/>
    <s v="full of the joys of spring"/>
    <s v="full of the joys of"/>
    <s v="spring"/>
    <s v="full of the joys of spring"/>
    <x v="1"/>
    <x v="5"/>
    <x v="1"/>
    <s v="NOUN"/>
    <x v="0"/>
    <n v="3.1250003052112803E-5"/>
    <n v="7.5567244215933402E-6"/>
    <n v="-1.46501511254815E-2"/>
    <n v="3.27014136233048"/>
  </r>
  <r>
    <n v="729"/>
    <s v="use a sledgehammer to crack a nut"/>
    <s v="use a sledgehammer to crack a"/>
    <s v="nut"/>
    <s v="use a sledgehammer to crack a nut"/>
    <x v="4"/>
    <x v="1"/>
    <x v="1"/>
    <s v="NOUN"/>
    <x v="0"/>
    <n v="3.1250005716029898E-5"/>
    <n v="2.12754939181667E-5"/>
    <n v="-1.7889963870391701E-2"/>
    <n v="3.5083199463017798"/>
  </r>
  <r>
    <n v="730"/>
    <s v="roll up your sleeves"/>
    <s v="roll up your"/>
    <s v="sleeves"/>
    <s v="roll up your sleeves"/>
    <x v="0"/>
    <x v="2"/>
    <x v="1"/>
    <s v="NOUN"/>
    <x v="0"/>
    <n v="3.12500072082577E-5"/>
    <n v="2.6251336066095501E-5"/>
    <n v="-1.63342265792145E-2"/>
    <n v="3.4367768531555898"/>
  </r>
  <r>
    <n v="731"/>
    <s v="have the hots for"/>
    <s v="have the hots"/>
    <s v="for"/>
    <s v="have the hots for"/>
    <x v="0"/>
    <x v="1"/>
    <x v="2"/>
    <s v="ADP"/>
    <x v="0"/>
    <n v="3.1250014283244198E-5"/>
    <n v="1.6181825277640198E-5"/>
    <n v="-1.0663138576887801E-2"/>
    <n v="3.74484088203867"/>
  </r>
  <r>
    <n v="732"/>
    <s v="hit someone for six"/>
    <s v="hit someone for"/>
    <s v="six"/>
    <s v="hit someone for six"/>
    <x v="0"/>
    <x v="1"/>
    <x v="8"/>
    <s v="NUM"/>
    <x v="0"/>
    <n v="3.1250002060144902E-5"/>
    <n v="2.1035769365137198E-6"/>
    <n v="4.6038079254841997E-2"/>
    <n v="3.32186505970598"/>
  </r>
  <r>
    <n v="733"/>
    <s v="too many chiefs and not enough Indians"/>
    <s v="too many chiefs and not enough"/>
    <s v="Indians"/>
    <s v="too many chiefs and not enough indiansI'"/>
    <x v="4"/>
    <x v="2"/>
    <x v="9"/>
    <s v="NOUN"/>
    <x v="1"/>
    <n v="3.1250004052779997E-5"/>
    <n v="1.2102546483534299E-6"/>
    <n v="-1.8446261676359599E-2"/>
    <n v="3.4140101170771699"/>
  </r>
  <r>
    <n v="734"/>
    <s v="more haste, less speed"/>
    <s v="more haste, less"/>
    <s v="speed"/>
    <s v="more haste, less speed"/>
    <x v="0"/>
    <x v="3"/>
    <x v="1"/>
    <s v="NOUN"/>
    <x v="0"/>
    <n v="3.1250008192235397E-5"/>
    <n v="3.05979987701324E-5"/>
    <n v="1.0619863094643E-2"/>
    <n v="3.2969685385410599"/>
  </r>
  <r>
    <n v="735"/>
    <s v="shipshape and Bristol fashion"/>
    <s v="shipshape and Bristol"/>
    <s v="fashion"/>
    <s v="shipshape and Bristol fashion"/>
    <x v="0"/>
    <x v="2"/>
    <x v="1"/>
    <s v="NOUN"/>
    <x v="0"/>
    <n v="3.1250015166501499E-5"/>
    <n v="2.5259934116759099E-5"/>
    <n v="-9.42656855599466E-4"/>
    <n v="3.5522388926211499"/>
  </r>
  <r>
    <n v="736"/>
    <s v="put your shoulder to the wheel"/>
    <s v="put your shoulder to the"/>
    <s v="wheel"/>
    <s v="put your shoulder to the wheel"/>
    <x v="1"/>
    <x v="3"/>
    <x v="1"/>
    <s v="NOUN"/>
    <x v="0"/>
    <n v="3.1250000806577197E-5"/>
    <n v="2.4431632067797499E-5"/>
    <n v="-1.12190710712312E-2"/>
    <n v="3.4693420882893999"/>
  </r>
  <r>
    <n v="737"/>
    <s v="come to a pretty pass"/>
    <s v="come to a pretty"/>
    <s v="pass"/>
    <s v="come to a pretty pass"/>
    <x v="2"/>
    <x v="0"/>
    <x v="1"/>
    <s v="NOUN"/>
    <x v="0"/>
    <n v="3.1250003648654797E-5"/>
    <n v="1.0028596577873199E-6"/>
    <n v="-3.1534070309264801E-3"/>
    <n v="2.6670866687743602"/>
  </r>
  <r>
    <n v="738"/>
    <s v="swim with the tide"/>
    <s v="swim with the"/>
    <s v="tide"/>
    <s v="swim with the sharks,"/>
    <x v="0"/>
    <x v="0"/>
    <x v="1"/>
    <s v="NOUN"/>
    <x v="1"/>
    <n v="3.1250001487049498E-5"/>
    <n v="1.00767796770868E-6"/>
    <n v="1.22353587544239E-2"/>
    <n v="3.6071608734581302"/>
  </r>
  <r>
    <n v="739"/>
    <s v="carry a torch for"/>
    <s v="carry a torch"/>
    <s v="for"/>
    <s v="carry a torch for"/>
    <x v="0"/>
    <x v="1"/>
    <x v="2"/>
    <s v="ADP"/>
    <x v="0"/>
    <n v="3.1250002370101898E-5"/>
    <n v="5.9176753341881097E-6"/>
    <n v="6.35830874633258E-3"/>
    <n v="3.7467550236253699"/>
  </r>
  <r>
    <n v="740"/>
    <s v="could eat a horse"/>
    <s v="could eat a"/>
    <s v="horse"/>
    <s v="could eat a horse"/>
    <x v="0"/>
    <x v="3"/>
    <x v="1"/>
    <s v="NOUN"/>
    <x v="0"/>
    <n v="3.12500009574454E-5"/>
    <n v="5.4481415914565003E-7"/>
    <n v="3.6052319936459298E-3"/>
    <n v="2.7020669495266501"/>
  </r>
  <r>
    <n v="741"/>
    <s v="roll with the punches"/>
    <s v="roll with the"/>
    <s v="punches"/>
    <s v="roll with the punches"/>
    <x v="0"/>
    <x v="2"/>
    <x v="1"/>
    <s v="NOUN"/>
    <x v="0"/>
    <n v="3.1249993422478697E-5"/>
    <n v="2.8570215790171101E-5"/>
    <n v="1.4385873765547701E-3"/>
    <n v="3.7539161576664299"/>
  </r>
  <r>
    <n v="742"/>
    <s v="fire in the belly"/>
    <s v="fire in the"/>
    <s v="belly"/>
    <s v="fire in the hole meaningThe phrase"/>
    <x v="0"/>
    <x v="3"/>
    <x v="1"/>
    <s v="NOUN"/>
    <x v="1"/>
    <n v="3.12499981590784E-5"/>
    <n v="2.9301392045110898E-7"/>
    <n v="2.8846117018353799E-2"/>
    <n v="2.84635329493016"/>
  </r>
  <r>
    <n v="743"/>
    <s v="beard the lion in his den"/>
    <s v="beard the lion in his"/>
    <s v="den"/>
    <s v="beard the lion in his den"/>
    <x v="1"/>
    <x v="1"/>
    <x v="1"/>
    <s v="NOUN"/>
    <x v="0"/>
    <n v="3.1250003746936098E-5"/>
    <n v="2.54447601332492E-5"/>
    <n v="2.5506400882534301E-2"/>
    <n v="3.2978906640815602"/>
  </r>
  <r>
    <n v="744"/>
    <s v="no peace for the wicked"/>
    <s v="no peace for the"/>
    <s v="wicked"/>
    <s v="no peace for the wicked"/>
    <x v="2"/>
    <x v="5"/>
    <x v="6"/>
    <s v="ADJ"/>
    <x v="0"/>
    <n v="3.1250011317920302E-5"/>
    <n v="3.0820743908271497E-5"/>
    <n v="-1.1685188459523399E-2"/>
    <n v="2.81936739425994"/>
  </r>
  <r>
    <n v="745"/>
    <s v="lock the stable door after the horse has bolted"/>
    <s v="lock the stable door after the horse has"/>
    <s v="bolted"/>
    <s v="lock the stable door after the horse has bolted"/>
    <x v="5"/>
    <x v="5"/>
    <x v="7"/>
    <s v="VERB"/>
    <x v="0"/>
    <n v="3.1250001387778598E-5"/>
    <n v="3.0665256056014898E-5"/>
    <n v="9.7922522935789402E-3"/>
    <n v="2.63523205006108"/>
  </r>
  <r>
    <n v="746"/>
    <s v="let someone down gently"/>
    <s v="let someone down"/>
    <s v="gently"/>
    <s v="let someone down##"/>
    <x v="0"/>
    <x v="5"/>
    <x v="0"/>
    <s v="ADP"/>
    <x v="1"/>
    <n v="3.1249999282068102E-5"/>
    <n v="5.4801210235933504E-7"/>
    <n v="-4.7352700394554803E-2"/>
    <n v="3.99543552891932"/>
  </r>
  <r>
    <n v="747"/>
    <s v="something nasty in the woodshed"/>
    <s v="something nasty in the"/>
    <s v="woodshed"/>
    <s v="something nasty in the woodshed"/>
    <x v="2"/>
    <x v="6"/>
    <x v="6"/>
    <s v="ADJ"/>
    <x v="0"/>
    <n v="3.1250001220831901E-5"/>
    <n v="3.0778900109622697E-5"/>
    <n v="1.8931832357488E-2"/>
    <n v="2.77222581157279"/>
  </r>
  <r>
    <n v="748"/>
    <s v="see which way the cat jumps"/>
    <s v="see which way the cat"/>
    <s v="jumps"/>
    <s v="see which way the cat jumps"/>
    <x v="1"/>
    <x v="3"/>
    <x v="7"/>
    <s v="VERB"/>
    <x v="0"/>
    <n v="3.1250003107084801E-5"/>
    <n v="3.12435032645141E-5"/>
    <n v="3.0975895639748698E-3"/>
    <n v="3.10727247640791"/>
  </r>
  <r>
    <n v="749"/>
    <s v="blow your own trumpet"/>
    <s v="blow your own"/>
    <s v="trumpet"/>
    <s v="blow your own trumpet"/>
    <x v="0"/>
    <x v="2"/>
    <x v="1"/>
    <s v="NOUN"/>
    <x v="0"/>
    <n v="3.1250008071838297E-5"/>
    <n v="3.0218960328553201E-5"/>
    <n v="3.05408203810166E-2"/>
    <n v="3.7033907991388002"/>
  </r>
  <r>
    <n v="750"/>
    <s v="from stem to stern"/>
    <s v="from stem to"/>
    <s v="stern"/>
    <s v="from stem to stern"/>
    <x v="0"/>
    <x v="3"/>
    <x v="7"/>
    <s v="VERB"/>
    <x v="0"/>
    <n v="3.1249997946791899E-5"/>
    <n v="1.0796354426034301E-5"/>
    <n v="3.7470062402498098E-3"/>
    <n v="2.8376216468106601"/>
  </r>
  <r>
    <n v="751"/>
    <s v="have someone by the short and curlies"/>
    <s v="have someone by the short and"/>
    <s v="curlies"/>
    <s v="have someone by the short and curlies"/>
    <x v="4"/>
    <x v="2"/>
    <x v="1"/>
    <s v="NOUN"/>
    <x v="0"/>
    <n v="3.1249999000025998E-5"/>
    <n v="2.72188494830826E-5"/>
    <n v="-9.8951548132184507E-3"/>
    <n v="3.1902156802836799"/>
  </r>
  <r>
    <n v="752"/>
    <s v="keep your eye on the ball"/>
    <s v="keep your eye on the"/>
    <s v="ball"/>
    <s v="keep your eye on the ball"/>
    <x v="1"/>
    <x v="0"/>
    <x v="1"/>
    <s v="NOUN"/>
    <x v="0"/>
    <n v="3.1250006081317803E-5"/>
    <n v="2.3961114436251001E-6"/>
    <n v="2.4184558611537399E-2"/>
    <n v="3.2656080827484399"/>
  </r>
  <r>
    <n v="753"/>
    <s v="knock someone's block off"/>
    <s v="knock someone's block"/>
    <s v="off"/>
    <s v="knock someone's block off"/>
    <x v="0"/>
    <x v="1"/>
    <x v="2"/>
    <s v="ADP"/>
    <x v="0"/>
    <n v="3.1250007615760399E-5"/>
    <n v="2.8289007983781099E-5"/>
    <n v="8.9422124013793704E-3"/>
    <n v="3.6926979776195998"/>
  </r>
  <r>
    <n v="754"/>
    <s v="quiet as a mouse"/>
    <s v="quiet as a"/>
    <s v="mouse"/>
    <s v="quiet as a mouse"/>
    <x v="0"/>
    <x v="3"/>
    <x v="1"/>
    <s v="NOUN"/>
    <x v="0"/>
    <n v="3.1250006008440897E-5"/>
    <n v="1.31305657952783E-6"/>
    <n v="-1.2066347169323401E-2"/>
    <n v="2.4707315227322799"/>
  </r>
  <r>
    <n v="755"/>
    <s v="spread yourself too thin"/>
    <s v="spread yourself too"/>
    <s v="thin"/>
    <s v="spread yourself too thin"/>
    <x v="0"/>
    <x v="0"/>
    <x v="6"/>
    <s v="ADJ"/>
    <x v="0"/>
    <n v="3.1250007438900598E-5"/>
    <n v="2.8949843685900799E-5"/>
    <n v="1.62038399408857E-2"/>
    <n v="3.5167916630685099"/>
  </r>
  <r>
    <n v="756"/>
    <s v="practise what you preach"/>
    <s v="practise what you"/>
    <s v="preach"/>
    <s v="practise what you preach"/>
    <x v="0"/>
    <x v="5"/>
    <x v="7"/>
    <s v="VERB"/>
    <x v="0"/>
    <n v="3.1250007389933602E-5"/>
    <n v="3.0490296370046801E-5"/>
    <n v="-1.7858924798023399E-2"/>
    <n v="2.6538362943118501"/>
  </r>
  <r>
    <n v="757"/>
    <s v="ring off the hook"/>
    <s v="ring off the"/>
    <s v="hook"/>
    <s v="ring off the hook"/>
    <x v="0"/>
    <x v="0"/>
    <x v="1"/>
    <s v="NOUN"/>
    <x v="0"/>
    <n v="3.12500075936916E-5"/>
    <n v="7.1032432804260596E-6"/>
    <n v="2.6390517219326101E-2"/>
    <n v="3.28647957898285"/>
  </r>
  <r>
    <n v="758"/>
    <s v="a blessing in disguise"/>
    <s v="a blessing in"/>
    <s v="disguise"/>
    <s v="a blessing in disguise"/>
    <x v="0"/>
    <x v="6"/>
    <x v="1"/>
    <s v="NOUN"/>
    <x v="0"/>
    <n v="3.1249999848201803E-5"/>
    <n v="3.1121150123634602E-5"/>
    <n v="-2.2289501118848399E-3"/>
    <n v="2.1987461192715099"/>
  </r>
  <r>
    <n v="759"/>
    <s v="beat around the bush"/>
    <s v="beat around the"/>
    <s v="bush"/>
    <s v="beat around the bush"/>
    <x v="0"/>
    <x v="0"/>
    <x v="1"/>
    <s v="NOUN"/>
    <x v="0"/>
    <n v="3.1250001864561898E-5"/>
    <n v="2.4477791016354499E-5"/>
    <n v="3.04634171813233E-2"/>
    <n v="3.2721602074324898"/>
  </r>
  <r>
    <n v="760"/>
    <s v="call it a day"/>
    <s v="call it a"/>
    <s v="day"/>
    <s v="call it a day"/>
    <x v="0"/>
    <x v="1"/>
    <x v="1"/>
    <s v="NOUN"/>
    <x v="0"/>
    <n v="3.1249999923809401E-5"/>
    <n v="6.2590297469664797E-7"/>
    <n v="-1.02336117881378E-2"/>
    <n v="3.41217058160312"/>
  </r>
  <r>
    <n v="761"/>
    <s v="cut somebody some slack"/>
    <s v="cut somebody some"/>
    <s v="slack"/>
    <s v="cut somebody some slack"/>
    <x v="0"/>
    <x v="3"/>
    <x v="1"/>
    <s v="NOUN"/>
    <x v="0"/>
    <n v="3.12500011818771E-5"/>
    <n v="3.1195078939593003E-5"/>
    <n v="1.0214607544597199E-2"/>
    <n v="2.1381999845678301"/>
  </r>
  <r>
    <n v="762"/>
    <s v="get out of hand"/>
    <s v="get out of"/>
    <s v="hand"/>
    <s v="get out of the way,"/>
    <x v="0"/>
    <x v="0"/>
    <x v="1"/>
    <s v="NOUN"/>
    <x v="1"/>
    <n v="3.1249998663020401E-5"/>
    <n v="2.0504356784289302E-6"/>
    <n v="-2.6537495767229302E-3"/>
    <n v="3.6275666915889202"/>
  </r>
  <r>
    <n v="763"/>
    <s v="get something out of your system"/>
    <s v="get something out of your"/>
    <s v="system"/>
    <s v="get something out of your system"/>
    <x v="1"/>
    <x v="5"/>
    <x v="1"/>
    <s v="NOUN"/>
    <x v="0"/>
    <n v="3.1250007835624701E-5"/>
    <n v="5.7790810021193399E-6"/>
    <n v="4.3704012049630502E-2"/>
    <n v="3.4231887679245498"/>
  </r>
  <r>
    <n v="764"/>
    <s v="that's the last straw"/>
    <s v="that's the last"/>
    <s v="straw"/>
    <s v="that's the last time I'"/>
    <x v="0"/>
    <x v="3"/>
    <x v="1"/>
    <s v="PRON"/>
    <x v="1"/>
    <n v="3.1250000776587698E-5"/>
    <n v="2.3298970081997999E-6"/>
    <n v="-2.4908863351118499E-2"/>
    <n v="3.3752847003782498"/>
  </r>
  <r>
    <n v="765"/>
    <s v="time flies when you're having fun"/>
    <s v="time flies when you're having"/>
    <s v="fun"/>
    <s v="time flies when you're having fun"/>
    <x v="1"/>
    <x v="1"/>
    <x v="1"/>
    <s v="NOUN"/>
    <x v="0"/>
    <n v="3.12500114655496E-5"/>
    <n v="2.0831066356890602E-5"/>
    <n v="-8.5918868684720096E-3"/>
    <n v="3.4825676407717001"/>
  </r>
  <r>
    <n v="766"/>
    <s v="wrap your head around something"/>
    <s v="wrap your head around"/>
    <s v="something"/>
    <s v="wrap your head around it."/>
    <x v="2"/>
    <x v="7"/>
    <x v="3"/>
    <s v="PRON"/>
    <x v="1"/>
    <n v="3.1250002435228499E-5"/>
    <n v="3.7311007521862798E-6"/>
    <n v="-1.1888117066334301E-3"/>
    <n v="3.6940867222508298"/>
  </r>
  <r>
    <n v="767"/>
    <s v="you can say that again"/>
    <s v="you can say that"/>
    <s v="again"/>
    <s v="you can say that again"/>
    <x v="2"/>
    <x v="3"/>
    <x v="0"/>
    <s v="ADV"/>
    <x v="0"/>
    <n v="3.1250001099207897E-5"/>
    <n v="1.1874148280061E-6"/>
    <n v="3.99918119382007E-2"/>
    <n v="3.6474943620295002"/>
  </r>
  <r>
    <n v="768"/>
    <s v="put something on ice"/>
    <s v="put something on"/>
    <s v="ice"/>
    <s v="put something on the tableput something"/>
    <x v="0"/>
    <x v="1"/>
    <x v="1"/>
    <s v="PRON"/>
    <x v="1"/>
    <n v="3.1250013163758197E-5"/>
    <n v="8.1787417369547094E-6"/>
    <n v="-2.5521399520275798E-2"/>
    <n v="3.5953476803433002"/>
  </r>
  <r>
    <n v="769"/>
    <s v="rain on someone's parade"/>
    <s v="rain on someone's"/>
    <s v="parade"/>
    <s v="rain on someone's wedding dayR"/>
    <x v="0"/>
    <x v="5"/>
    <x v="1"/>
    <s v="NOUN"/>
    <x v="1"/>
    <n v="3.1249998280913098E-5"/>
    <n v="1.9389986123297801E-7"/>
    <n v="-2.6070673974267301E-2"/>
    <n v="3.19297029882931"/>
  </r>
  <r>
    <n v="770"/>
    <s v="a stitch in time saves nine"/>
    <s v="a stitch in time saves"/>
    <s v="nine"/>
    <s v="a stitch in time saves nine"/>
    <x v="1"/>
    <x v="0"/>
    <x v="8"/>
    <s v="NUM"/>
    <x v="0"/>
    <n v="3.1249992788328603E-5"/>
    <n v="1.8135554628617201E-5"/>
    <n v="1.1591253582182E-2"/>
    <n v="3.3721548861563702"/>
  </r>
  <r>
    <n v="771"/>
    <s v="as right as rain"/>
    <s v="as right as"/>
    <s v="rain"/>
    <s v="as right as rain"/>
    <x v="0"/>
    <x v="0"/>
    <x v="1"/>
    <s v="NOUN"/>
    <x v="0"/>
    <n v="3.1250004205912698E-5"/>
    <n v="6.0345345603272397E-6"/>
    <n v="8.3140706989297507E-3"/>
    <n v="3.3146665202819499"/>
  </r>
  <r>
    <n v="772"/>
    <s v="bolt from the blue"/>
    <s v="bolt from the"/>
    <s v="blue"/>
    <s v="bolt from the blue"/>
    <x v="0"/>
    <x v="0"/>
    <x v="6"/>
    <s v="ADJ"/>
    <x v="0"/>
    <n v="3.1250006099413001E-5"/>
    <n v="2.5426261826413002E-5"/>
    <n v="1.6506257706788902E-2"/>
    <n v="3.3762658920717201"/>
  </r>
  <r>
    <n v="773"/>
    <s v="fortune favours the bold"/>
    <s v="fortune favours the"/>
    <s v="bold"/>
    <s v="fortune favours the brave,"/>
    <x v="0"/>
    <x v="0"/>
    <x v="6"/>
    <s v="ADJ"/>
    <x v="1"/>
    <n v="3.1250002601268397E-5"/>
    <n v="1.29706551575828E-6"/>
    <n v="6.5621118055378897E-3"/>
    <n v="3.88809255680111"/>
  </r>
  <r>
    <n v="774"/>
    <s v="get a second wind"/>
    <s v="get a second"/>
    <s v="wind"/>
    <s v="get a second opinion on your case."/>
    <x v="0"/>
    <x v="0"/>
    <x v="1"/>
    <s v="NOUN"/>
    <x v="1"/>
    <n v="3.12500009454489E-5"/>
    <n v="4.9986756351109799E-6"/>
    <n v="-5.6692229600088196E-3"/>
    <n v="3.7131251792980402"/>
  </r>
  <r>
    <n v="775"/>
    <s v="get wind of something"/>
    <s v="get wind of"/>
    <s v="something"/>
    <s v="get wind ofget wind of"/>
    <x v="0"/>
    <x v="7"/>
    <x v="3"/>
    <s v="ADP"/>
    <x v="1"/>
    <n v="3.12500043344882E-5"/>
    <n v="1.39718081920874E-5"/>
    <n v="-1.19249412657467E-2"/>
    <n v="3.1014643642735198"/>
  </r>
  <r>
    <n v="776"/>
    <s v="go down in flames"/>
    <s v="go down in"/>
    <s v="flames"/>
    <s v="go down in history as the worst president"/>
    <x v="0"/>
    <x v="5"/>
    <x v="1"/>
    <s v="NOUN"/>
    <x v="1"/>
    <n v="3.1250003148749701E-5"/>
    <n v="4.3011834379620198E-7"/>
    <n v="4.0405578744444101E-2"/>
    <n v="2.8075890705033602"/>
  </r>
  <r>
    <n v="777"/>
    <s v="he's not playing with a full deck"/>
    <s v="he's not playing with a full"/>
    <s v="deck"/>
    <s v="he's not playing with a full deck"/>
    <x v="4"/>
    <x v="0"/>
    <x v="1"/>
    <s v="NOUN"/>
    <x v="0"/>
    <n v="3.1250004732406199E-5"/>
    <n v="2.5770770373932498E-5"/>
    <n v="2.0855826134109599E-3"/>
    <n v="3.2837110183979901"/>
  </r>
  <r>
    <n v="778"/>
    <s v="he's sitting on the fence"/>
    <s v="he's sitting on the"/>
    <s v="fence"/>
    <s v="he's sitting on the couch,"/>
    <x v="2"/>
    <x v="3"/>
    <x v="1"/>
    <s v="NOUN"/>
    <x v="1"/>
    <n v="3.1249996639813699E-5"/>
    <n v="2.17238146334725E-6"/>
    <n v="-1.8548533072511399E-2"/>
    <n v="3.5351551886072201"/>
  </r>
  <r>
    <n v="779"/>
    <s v="it is a poor workman who blames his tools"/>
    <s v="it is a poor workman who blames his"/>
    <s v="tools"/>
    <s v="it is a poor workman who blames his tools"/>
    <x v="5"/>
    <x v="3"/>
    <x v="1"/>
    <s v="NOUN"/>
    <x v="0"/>
    <n v="3.1250003157377701E-5"/>
    <n v="2.9718878808605899E-5"/>
    <n v="-2.6163460492841999E-2"/>
    <n v="3.5654011694494998"/>
  </r>
  <r>
    <n v="780"/>
    <s v="like riding a bicycle"/>
    <s v="like riding a"/>
    <s v="bicycle"/>
    <s v="like riding a bike,"/>
    <x v="0"/>
    <x v="2"/>
    <x v="1"/>
    <s v="NOUN"/>
    <x v="1"/>
    <n v="3.12500041660698E-5"/>
    <n v="1.9197788247036401E-6"/>
    <n v="2.2728393200868099E-3"/>
    <n v="3.3816692649444202"/>
  </r>
  <r>
    <n v="781"/>
    <s v="out of the frying pan and into the fire"/>
    <s v="out of the frying pan and into the"/>
    <s v="fire"/>
    <s v="out of the frying pan and into the fire"/>
    <x v="5"/>
    <x v="0"/>
    <x v="1"/>
    <s v="NOUN"/>
    <x v="0"/>
    <n v="3.1250007404976501E-5"/>
    <n v="1.4579399020434299E-5"/>
    <n v="1.25212862696102E-2"/>
    <n v="2.6356428511880301"/>
  </r>
  <r>
    <n v="782"/>
    <s v="run like the wind"/>
    <s v="run like the"/>
    <s v="wind"/>
    <s v="run like the wind"/>
    <x v="0"/>
    <x v="0"/>
    <x v="1"/>
    <s v="NOUN"/>
    <x v="0"/>
    <n v="3.12500048514031E-5"/>
    <n v="1.0778530416391701E-5"/>
    <n v="8.4533401672869293E-3"/>
    <n v="3.1233419016512598"/>
  </r>
  <r>
    <n v="783"/>
    <s v="well begun is half done"/>
    <s v="well begun is half"/>
    <s v="done"/>
    <s v="well begun is half done"/>
    <x v="2"/>
    <x v="0"/>
    <x v="7"/>
    <s v="VERB"/>
    <x v="0"/>
    <n v="3.1249996986694101E-5"/>
    <n v="2.5201495821989099E-5"/>
    <n v="-4.1252994428049299E-2"/>
    <n v="3.5477279696244799"/>
  </r>
  <r>
    <n v="784"/>
    <s v="bright as a button"/>
    <s v="bright as a"/>
    <s v="button"/>
    <s v="bright as a star,"/>
    <x v="0"/>
    <x v="5"/>
    <x v="1"/>
    <s v="NOUN"/>
    <x v="1"/>
    <n v="3.1250003501591202E-5"/>
    <n v="1.5889511278681601E-6"/>
    <n v="-1.6191457223904101E-3"/>
    <n v="3.3649373954172099"/>
  </r>
  <r>
    <n v="785"/>
    <s v="pain in the neck"/>
    <s v="pain in the"/>
    <s v="neck"/>
    <s v="pain in the neck"/>
    <x v="0"/>
    <x v="0"/>
    <x v="1"/>
    <s v="NOUN"/>
    <x v="0"/>
    <n v="3.1250004670408897E-5"/>
    <n v="1.5467685260874601E-6"/>
    <n v="1.91471762819048E-2"/>
    <n v="2.9059612960468999"/>
  </r>
  <r>
    <n v="786"/>
    <s v="salt of the earth"/>
    <s v="salt of the"/>
    <s v="earth"/>
    <s v="salt of the earth"/>
    <x v="0"/>
    <x v="3"/>
    <x v="1"/>
    <s v="NOUN"/>
    <x v="0"/>
    <n v="3.1250001363055502E-5"/>
    <n v="2.2861021114414999E-5"/>
    <n v="3.1464889836108498E-2"/>
    <n v="2.79652131902471"/>
  </r>
  <r>
    <n v="787"/>
    <s v="in the best of health"/>
    <s v="in the best of"/>
    <s v="health"/>
    <s v="in the best of health"/>
    <x v="2"/>
    <x v="5"/>
    <x v="1"/>
    <s v="NOUN"/>
    <x v="0"/>
    <n v="3.1250004670193899E-5"/>
    <n v="1.22797538175817E-6"/>
    <n v="3.1522816378977497E-2"/>
    <n v="3.2059221230633899"/>
  </r>
  <r>
    <n v="788"/>
    <s v="in the eyes of the law"/>
    <s v="in the eyes of the"/>
    <s v="law"/>
    <s v="in the eyes of the beholder."/>
    <x v="1"/>
    <x v="1"/>
    <x v="1"/>
    <s v="NOUN"/>
    <x v="1"/>
    <n v="3.1250004655002601E-5"/>
    <n v="3.4914056882066498E-6"/>
    <n v="2.0734650834128799E-3"/>
    <n v="3.6320762258285"/>
  </r>
  <r>
    <n v="789"/>
    <s v="to a fine art"/>
    <s v="to a fine"/>
    <s v="art"/>
    <s v="to a fine of $"/>
    <x v="0"/>
    <x v="1"/>
    <x v="1"/>
    <s v="ADP"/>
    <x v="1"/>
    <n v="3.1250004409337499E-5"/>
    <n v="4.2148511090244196E-6"/>
    <n v="3.3618110951895298E-2"/>
    <n v="3.5117658269144698"/>
  </r>
  <r>
    <n v="790"/>
    <s v="man in the street"/>
    <s v="man in the"/>
    <s v="street"/>
    <s v="man in the middle attackThe man"/>
    <x v="0"/>
    <x v="5"/>
    <x v="1"/>
    <s v="NOUN"/>
    <x v="1"/>
    <n v="3.1250002336623503E-5"/>
    <n v="7.9423681008229102E-7"/>
    <n v="5.7564496375761103E-2"/>
    <n v="3.1228380306936199"/>
  </r>
  <r>
    <n v="791"/>
    <s v="money for old rope"/>
    <s v="money for old"/>
    <s v="rope"/>
    <s v="money for old rope"/>
    <x v="0"/>
    <x v="0"/>
    <x v="1"/>
    <s v="NOUN"/>
    <x v="0"/>
    <n v="3.1250002029903698E-5"/>
    <n v="3.0436458364090899E-5"/>
    <n v="7.2795887229517497E-3"/>
    <n v="3.11448394346897"/>
  </r>
  <r>
    <n v="792"/>
    <s v="white as a sheet"/>
    <s v="white as a"/>
    <s v="sheet"/>
    <s v="white as a ghostI'"/>
    <x v="0"/>
    <x v="3"/>
    <x v="1"/>
    <s v="NOUN"/>
    <x v="1"/>
    <n v="3.1250004777739999E-5"/>
    <n v="1.0685333844869899E-6"/>
    <n v="-3.3703134576867903E-2"/>
    <n v="3.4476223070151502"/>
  </r>
  <r>
    <n v="793"/>
    <s v="cream of the crop"/>
    <s v="cream of the"/>
    <s v="crop"/>
    <s v="cream of the crop"/>
    <x v="0"/>
    <x v="0"/>
    <x v="1"/>
    <s v="NOUN"/>
    <x v="0"/>
    <n v="3.1250007324994399E-5"/>
    <n v="3.0209575221536098E-5"/>
    <n v="-3.0528814180790599E-2"/>
    <n v="2.5722473169968301"/>
  </r>
  <r>
    <n v="794"/>
    <s v="a whole new ball game"/>
    <s v="a whole new ball"/>
    <s v="game"/>
    <s v="a whole new ball game"/>
    <x v="2"/>
    <x v="0"/>
    <x v="1"/>
    <s v="NOUN"/>
    <x v="0"/>
    <n v="3.12500036943115E-5"/>
    <n v="1.4944504858528401E-5"/>
    <n v="-4.8280230590194099E-3"/>
    <n v="3.77269168633048"/>
  </r>
  <r>
    <n v="795"/>
    <s v="an act of war"/>
    <s v="an act of"/>
    <s v="war"/>
    <s v="an act of the legislature of the"/>
    <x v="0"/>
    <x v="1"/>
    <x v="1"/>
    <s v="PRON"/>
    <x v="1"/>
    <n v="3.1250000750592101E-5"/>
    <n v="6.9198891007831602E-6"/>
    <n v="4.0514418436600801E-2"/>
    <n v="2.06294872633773"/>
  </r>
  <r>
    <n v="796"/>
    <s v="an arm and a leg"/>
    <s v="an arm and a"/>
    <s v="leg"/>
    <s v="an arm and a leg"/>
    <x v="2"/>
    <x v="1"/>
    <x v="1"/>
    <s v="NOUN"/>
    <x v="0"/>
    <n v="3.1250003886515601E-5"/>
    <n v="2.8398417829369399E-5"/>
    <n v="-2.2117572001874902E-2"/>
    <n v="3.5849907070415701"/>
  </r>
  <r>
    <n v="797"/>
    <s v="an eye for an eye"/>
    <s v="an eye for an"/>
    <s v="eye"/>
    <s v="an eye for an eye"/>
    <x v="2"/>
    <x v="1"/>
    <x v="1"/>
    <s v="NOUN"/>
    <x v="0"/>
    <n v="3.1250002844576599E-5"/>
    <n v="2.67224864866783E-5"/>
    <n v="-1.6083044908125201E-2"/>
    <n v="3.6239384883927901"/>
  </r>
  <r>
    <n v="798"/>
    <s v="as poor as a church mouse"/>
    <s v="as poor as a church"/>
    <s v="mouse"/>
    <s v="as poor as a church mouse"/>
    <x v="1"/>
    <x v="3"/>
    <x v="1"/>
    <s v="NOUN"/>
    <x v="0"/>
    <n v="3.1249999140336403E-5"/>
    <n v="2.2990664913847501E-5"/>
    <n v="-1.53690831900767E-2"/>
    <n v="3.34252727137706"/>
  </r>
  <r>
    <n v="799"/>
    <s v="cock and bull story"/>
    <s v="cock and bull"/>
    <s v="story"/>
    <s v="cock and bull story"/>
    <x v="0"/>
    <x v="3"/>
    <x v="1"/>
    <s v="NOUN"/>
    <x v="0"/>
    <n v="3.1249999083327298E-5"/>
    <n v="1.92168362784826E-6"/>
    <n v="1.02851969607087E-2"/>
    <n v="3.46816365252828"/>
  </r>
  <r>
    <n v="800"/>
    <s v="icing on the cake"/>
    <s v="icing on the"/>
    <s v="cake"/>
    <s v="icing on the cake"/>
    <x v="0"/>
    <x v="0"/>
    <x v="1"/>
    <s v="NOUN"/>
    <x v="0"/>
    <n v="3.1250009193706703E-5"/>
    <n v="3.0517107286848899E-5"/>
    <n v="-1.7924488188235398E-2"/>
    <n v="2.3732192838942199"/>
  </r>
  <r>
    <n v="801"/>
    <s v="a load of cobblers"/>
    <s v="a load of"/>
    <s v="cobblers"/>
    <s v="a load of old rubbish"/>
    <x v="0"/>
    <x v="6"/>
    <x v="1"/>
    <s v="NOUN"/>
    <x v="1"/>
    <n v="3.1250002861937101E-5"/>
    <n v="4.8611002984876597E-6"/>
    <n v="-6.5065037944123105E-5"/>
    <n v="3.59741691380176"/>
  </r>
  <r>
    <n v="802"/>
    <s v="a shot in the dark"/>
    <s v="a shot in the"/>
    <s v="dark"/>
    <s v="a shot in the arm for the economy"/>
    <x v="2"/>
    <x v="0"/>
    <x v="1"/>
    <s v="NOUN"/>
    <x v="1"/>
    <n v="3.1250005210113103E-5"/>
    <n v="6.7803106582322399E-6"/>
    <n v="-5.9576371168077397E-3"/>
    <n v="3.7351478763660801"/>
  </r>
  <r>
    <n v="803"/>
    <s v="first come first served"/>
    <s v="first come first"/>
    <s v="served"/>
    <s v="first come first serve policyThe first"/>
    <x v="0"/>
    <x v="5"/>
    <x v="7"/>
    <s v="ADJ"/>
    <x v="1"/>
    <n v="3.1250004275096099E-5"/>
    <n v="4.1206804738299301E-7"/>
    <n v="4.7267071933163103E-2"/>
    <n v="2.4007382862539699"/>
  </r>
  <r>
    <n v="804"/>
    <s v="hold on a second"/>
    <s v="hold on a"/>
    <s v="second"/>
    <s v="hold on a second"/>
    <x v="0"/>
    <x v="5"/>
    <x v="6"/>
    <s v="ADJ"/>
    <x v="0"/>
    <n v="3.1250001860890403E-5"/>
    <n v="8.2868587737457901E-6"/>
    <n v="-3.5997753735458098E-2"/>
    <n v="3.5389357966657902"/>
  </r>
  <r>
    <n v="805"/>
    <s v="son of a gun"/>
    <s v="son of a"/>
    <s v="gun"/>
    <s v="son of a bitch,"/>
    <x v="0"/>
    <x v="1"/>
    <x v="1"/>
    <s v="NOUN"/>
    <x v="1"/>
    <n v="3.1250001771008301E-5"/>
    <n v="1.0555630394397299E-6"/>
    <n v="1.1834017786586701E-2"/>
    <n v="3.6766817675450798"/>
  </r>
  <r>
    <n v="806"/>
    <s v="put salt on his tail"/>
    <s v="put salt on his"/>
    <s v="tail"/>
    <s v="put salt on his wounds."/>
    <x v="2"/>
    <x v="0"/>
    <x v="1"/>
    <s v="NOUN"/>
    <x v="1"/>
    <n v="3.12500025972666E-5"/>
    <n v="4.14192288376414E-6"/>
    <n v="-9.1730451909484093E-3"/>
    <n v="3.7280580745937901"/>
  </r>
  <r>
    <n v="807"/>
    <s v="one card shy of a full deck"/>
    <s v="one card shy of a full"/>
    <s v="deck"/>
    <s v="one card shy of a full deck"/>
    <x v="4"/>
    <x v="0"/>
    <x v="1"/>
    <s v="NOUN"/>
    <x v="0"/>
    <n v="3.1250007656476202E-5"/>
    <n v="1.16592202911801E-5"/>
    <n v="1.1387289185826399E-2"/>
    <n v="3.45677454175327"/>
  </r>
  <r>
    <n v="808"/>
    <s v="be in seventh heaven"/>
    <s v="be in seventh"/>
    <s v="heaven"/>
    <s v="be in seventh heaven"/>
    <x v="0"/>
    <x v="5"/>
    <x v="9"/>
    <s v="PROPN"/>
    <x v="0"/>
    <n v="3.1250008588054002E-5"/>
    <n v="2.8143280912856099E-5"/>
    <n v="1.98762262511849E-2"/>
    <n v="3.2590130363450101"/>
  </r>
  <r>
    <n v="809"/>
    <s v="pull someone's bacon out of the fire"/>
    <s v="pull someone's bacon out of the"/>
    <s v="fire"/>
    <s v="pull someone's bacon out of the fire"/>
    <x v="4"/>
    <x v="0"/>
    <x v="1"/>
    <s v="NOUN"/>
    <x v="0"/>
    <n v="3.12500010764546E-5"/>
    <n v="2.96975533585363E-5"/>
    <n v="-9.2168933276184292E-3"/>
    <n v="3.40371846873524"/>
  </r>
  <r>
    <n v="810"/>
    <s v="butterflies in my stomach"/>
    <s v="butterflies in my"/>
    <s v="stomach"/>
    <s v="butterflies in my stomach"/>
    <x v="0"/>
    <x v="2"/>
    <x v="1"/>
    <s v="NOUN"/>
    <x v="0"/>
    <n v="3.1250010369069102E-5"/>
    <n v="3.0552005090916297E-5"/>
    <n v="2.51955654167197E-2"/>
    <n v="2.2424366041080201"/>
  </r>
  <r>
    <n v="811"/>
    <s v="look like a million dollars"/>
    <s v="look like a million"/>
    <s v="dollars"/>
    <s v="look like a million bucks."/>
    <x v="2"/>
    <x v="2"/>
    <x v="1"/>
    <s v="NOUN"/>
    <x v="1"/>
    <n v="3.1250003079177803E-5"/>
    <n v="2.5120405745385099E-6"/>
    <n v="8.8309666792198895E-3"/>
    <n v="3.74577710037059"/>
  </r>
  <r>
    <n v="812"/>
    <s v="be happy when a person leaves"/>
    <s v="be happy when a person"/>
    <s v="leaves"/>
    <s v="be happy when a person is happy,"/>
    <x v="1"/>
    <x v="5"/>
    <x v="7"/>
    <s v="ADJ"/>
    <x v="1"/>
    <n v="3.1250002905968598E-5"/>
    <n v="4.5832457688389696E-6"/>
    <n v="-2.4415764644324101E-2"/>
    <n v="3.7616439445438199"/>
  </r>
  <r>
    <n v="813"/>
    <s v="up a creek without a paddle"/>
    <s v="up a creek without a"/>
    <s v="paddle"/>
    <s v="up a creek without a paddle"/>
    <x v="1"/>
    <x v="5"/>
    <x v="1"/>
    <s v="NOUN"/>
    <x v="0"/>
    <n v="3.1250009795153899E-5"/>
    <n v="2.9296669520518499E-5"/>
    <n v="-2.8398899154016201E-2"/>
    <n v="2.6136251650143998"/>
  </r>
  <r>
    <n v="814"/>
    <s v="you can bet your life on that"/>
    <s v="you can bet your life on"/>
    <s v="that"/>
    <s v="you can bet your life on it."/>
    <x v="4"/>
    <x v="0"/>
    <x v="3"/>
    <s v="PRON"/>
    <x v="1"/>
    <n v="3.1250000250369997E-5"/>
    <n v="5.5996603497717097E-6"/>
    <n v="-1.2624504509885601E-2"/>
    <n v="3.7124724520330501"/>
  </r>
  <r>
    <n v="815"/>
    <s v="red in the face"/>
    <s v="red in the"/>
    <s v="face"/>
    <s v="red in the face"/>
    <x v="0"/>
    <x v="0"/>
    <x v="1"/>
    <s v="NOUN"/>
    <x v="0"/>
    <n v="3.1250003276489601E-5"/>
    <n v="1.05848036808191E-6"/>
    <n v="3.9397236266323903E-2"/>
    <n v="2.4496359143353299"/>
  </r>
  <r>
    <n v="816"/>
    <s v="hold your tongue back"/>
    <s v="hold your tongue"/>
    <s v="back"/>
    <s v="hold your tongue,"/>
    <x v="0"/>
    <x v="0"/>
    <x v="0"/>
    <s v="NOUN"/>
    <x v="1"/>
    <n v="3.1249994622897002E-5"/>
    <n v="1.0658846539781E-6"/>
    <n v="-3.00552610540627E-4"/>
    <n v="3.37319724495502"/>
  </r>
  <r>
    <n v="817"/>
    <s v="land on one's feet"/>
    <s v="land on one's"/>
    <s v="feet"/>
    <s v="land on one's feet"/>
    <x v="0"/>
    <x v="0"/>
    <x v="1"/>
    <s v="NOUN"/>
    <x v="0"/>
    <n v="3.1250006704905803E-5"/>
    <n v="9.5946258831005093E-6"/>
    <n v="-1.6127434586806499E-2"/>
    <n v="3.3633222553824398"/>
  </r>
  <r>
    <n v="818"/>
    <s v="the forbidden fruit is the sweetest"/>
    <s v="the forbidden fruit is the"/>
    <s v="sweetest"/>
    <s v="the forbidden fruit is the best fruitThe forb"/>
    <x v="1"/>
    <x v="6"/>
    <x v="1"/>
    <s v="NOUN"/>
    <x v="1"/>
    <n v="3.1250000003784198E-5"/>
    <n v="9.9832537955665109E-7"/>
    <n v="2.40715686623129E-2"/>
    <n v="2.52729110468771"/>
  </r>
  <r>
    <n v="819"/>
    <s v="cut to the chase"/>
    <s v="cut to the"/>
    <s v="chase"/>
    <s v="cut to the chase"/>
    <x v="0"/>
    <x v="3"/>
    <x v="1"/>
    <s v="NOUN"/>
    <x v="0"/>
    <n v="3.1250008035076003E-5"/>
    <n v="3.0711706100894298E-5"/>
    <n v="1.5372254392099501E-2"/>
    <n v="2.7424047633219"/>
  </r>
  <r>
    <n v="820"/>
    <s v="talk the hind legs off a donkey"/>
    <s v="talk the hind legs off a"/>
    <s v="donkey"/>
    <s v="talk the hind legs off a donkey"/>
    <x v="4"/>
    <x v="5"/>
    <x v="1"/>
    <s v="NOUN"/>
    <x v="0"/>
    <n v="3.12500098587158E-5"/>
    <n v="3.1212170356626401E-5"/>
    <n v="8.1715581608960905E-3"/>
    <n v="2.7697564902032101"/>
  </r>
  <r>
    <n v="821"/>
    <s v="east or west, home is best"/>
    <s v="east or west, home is"/>
    <s v="best"/>
    <s v="east or west, home is best"/>
    <x v="1"/>
    <x v="0"/>
    <x v="6"/>
    <s v="ADJ"/>
    <x v="0"/>
    <n v="3.12500041890846E-5"/>
    <n v="2.03066314939173E-5"/>
    <n v="1.50124197118231E-2"/>
    <n v="3.4780031012726802"/>
  </r>
  <r>
    <n v="822"/>
    <s v="don't wash your dirty laundry in public"/>
    <s v="don't wash your dirty laundry in"/>
    <s v="public"/>
    <s v="don't wash your dirty laundry in public"/>
    <x v="4"/>
    <x v="5"/>
    <x v="1"/>
    <s v="NOUN"/>
    <x v="0"/>
    <n v="3.1249994297364202E-5"/>
    <n v="2.60977312784634E-5"/>
    <n v="1.2220423873372899E-2"/>
    <n v="3.6745010155398701"/>
  </r>
  <r>
    <n v="823"/>
    <s v="arm and a leg"/>
    <s v="arm and a"/>
    <s v="leg"/>
    <s v="arm and a leg"/>
    <x v="0"/>
    <x v="1"/>
    <x v="1"/>
    <s v="NOUN"/>
    <x v="0"/>
    <n v="3.12500144437354E-5"/>
    <n v="2.7823450393859101E-5"/>
    <n v="-2.3898066428273499E-2"/>
    <n v="3.5703650501879398"/>
  </r>
  <r>
    <n v="824"/>
    <s v="made your bed, now lie"/>
    <s v="made your bed, now"/>
    <s v="lie"/>
    <s v="made your bed, now lie"/>
    <x v="2"/>
    <x v="1"/>
    <x v="7"/>
    <s v="VERB"/>
    <x v="0"/>
    <n v="3.1250001379710298E-5"/>
    <n v="1.6362311351164201E-5"/>
    <n v="1.14454548431395E-2"/>
    <n v="3.5085207841715"/>
  </r>
  <r>
    <n v="825"/>
    <s v="old chicken makes good soup"/>
    <s v="old chicken makes good"/>
    <s v="soup"/>
    <s v="old chicken makes good soup"/>
    <x v="2"/>
    <x v="0"/>
    <x v="1"/>
    <s v="NOUN"/>
    <x v="0"/>
    <n v="3.1250004620069498E-5"/>
    <n v="7.6322931979988208E-6"/>
    <n v="1.4202598371475901E-2"/>
    <n v="2.7361290881939802"/>
  </r>
  <r>
    <n v="826"/>
    <s v="tip of the iceberg"/>
    <s v="tip of the"/>
    <s v="iceberg"/>
    <s v="tip of the day:"/>
    <x v="0"/>
    <x v="2"/>
    <x v="1"/>
    <s v="NOUN"/>
    <x v="1"/>
    <n v="3.1249999101990198E-5"/>
    <n v="5.2907311355501403E-6"/>
    <n v="9.7412111066716902E-3"/>
    <n v="4.0153546192133698"/>
  </r>
  <r>
    <n v="827"/>
    <s v="cat got your tongue"/>
    <s v="cat got your"/>
    <s v="tongue"/>
    <s v="cat got your tongue"/>
    <x v="0"/>
    <x v="5"/>
    <x v="1"/>
    <s v="NOUN"/>
    <x v="0"/>
    <n v="3.1249998979648398E-5"/>
    <n v="1.5801601350190899E-5"/>
    <n v="1.7672032031349202E-2"/>
    <n v="3.5399550085956402"/>
  </r>
  <r>
    <n v="828"/>
    <s v="neither a borrower or a lender be"/>
    <s v="neither a borrower or a lender"/>
    <s v="be"/>
    <s v="neither a borrower or a lender be"/>
    <x v="4"/>
    <x v="4"/>
    <x v="5"/>
    <s v="AUX"/>
    <x v="0"/>
    <n v="3.1250010927348003E-5"/>
    <n v="2.27642930221027E-5"/>
    <n v="-1.05928324281769E-2"/>
    <n v="3.7297543334530801"/>
  </r>
  <r>
    <n v="829"/>
    <s v="while there is life there is hope"/>
    <s v="while there is life there is"/>
    <s v="hope"/>
    <s v="while there is life there is hope"/>
    <x v="4"/>
    <x v="0"/>
    <x v="1"/>
    <s v="NOUN"/>
    <x v="0"/>
    <n v="3.1250009993011302E-5"/>
    <n v="2.4380291169880199E-5"/>
    <n v="-1.5933657206772901E-2"/>
    <n v="3.5267669088137601"/>
  </r>
  <r>
    <n v="830"/>
    <s v="bet your bottom dollar"/>
    <s v="bet your bottom"/>
    <s v="dollar"/>
    <s v="bet your bottom dollar"/>
    <x v="0"/>
    <x v="5"/>
    <x v="1"/>
    <s v="NOUN"/>
    <x v="0"/>
    <n v="3.12500055133638E-5"/>
    <n v="3.03987743591385E-5"/>
    <n v="7.7308756949676597E-3"/>
    <n v="2.63412614148121"/>
  </r>
  <r>
    <n v="831"/>
    <s v="dumb as a post"/>
    <s v="dumb as a"/>
    <s v="post"/>
    <s v="dumb as a rockI'"/>
    <x v="0"/>
    <x v="0"/>
    <x v="1"/>
    <s v="NOUN"/>
    <x v="1"/>
    <n v="3.12500001041092E-5"/>
    <n v="1.6130171662921E-6"/>
    <n v="-2.2210593624910398E-2"/>
    <n v="3.4298015564028601"/>
  </r>
  <r>
    <n v="832"/>
    <s v="all sizzle and no steak"/>
    <s v="all sizzle and no"/>
    <s v="steak"/>
    <s v="all sizzle and no steak"/>
    <x v="2"/>
    <x v="3"/>
    <x v="1"/>
    <s v="NOUN"/>
    <x v="0"/>
    <n v="3.1250011712704998E-5"/>
    <n v="3.0939762857121998E-5"/>
    <n v="4.6305221575273899E-2"/>
    <n v="2.98495677325025"/>
  </r>
  <r>
    <n v="833"/>
    <s v="all the way to egery and back"/>
    <s v="all the way to egery and"/>
    <s v="back"/>
    <s v="all the way to egery and back"/>
    <x v="4"/>
    <x v="0"/>
    <x v="0"/>
    <s v="ADV"/>
    <x v="0"/>
    <n v="3.1250002808386398E-5"/>
    <n v="1.7244515838818199E-6"/>
    <n v="2.1100811394091999E-2"/>
    <n v="3.6947414818414801"/>
  </r>
  <r>
    <n v="834"/>
    <s v="not a spark of decency"/>
    <s v="not a spark of"/>
    <s v="decency"/>
    <s v="not a spark of lightThe first time"/>
    <x v="2"/>
    <x v="2"/>
    <x v="1"/>
    <s v="NOUN"/>
    <x v="1"/>
    <n v="3.1250001761344997E-5"/>
    <n v="1.61885296001093E-6"/>
    <n v="1.606850729792E-2"/>
    <n v="3.2965291853312801"/>
  </r>
  <r>
    <n v="835"/>
    <s v="a skeleton in the closet"/>
    <s v="a skeleton in the"/>
    <s v="closet"/>
    <s v="a skeleton in the closet"/>
    <x v="2"/>
    <x v="5"/>
    <x v="1"/>
    <s v="NOUN"/>
    <x v="0"/>
    <n v="3.12500110442668E-5"/>
    <n v="3.1115999983713398E-5"/>
    <n v="-1.78403996372473E-2"/>
    <n v="3.8440849141612499"/>
  </r>
  <r>
    <n v="836"/>
    <s v="lose sleep over it"/>
    <s v="lose sleep over"/>
    <s v="it"/>
    <s v="lose sleep overLose Sleep"/>
    <x v="0"/>
    <x v="4"/>
    <x v="3"/>
    <s v="NOUN"/>
    <x v="1"/>
    <n v="3.1250014360197799E-5"/>
    <n v="2.99127437541246E-5"/>
    <n v="1.9782348575233699E-2"/>
    <n v="2.66727654468307"/>
  </r>
  <r>
    <n v="837"/>
    <s v="penny for your thoughts"/>
    <s v="penny for your"/>
    <s v="thoughts"/>
    <s v="penny for your thoughts"/>
    <x v="0"/>
    <x v="6"/>
    <x v="1"/>
    <s v="NOUN"/>
    <x v="0"/>
    <n v="3.1250008522737699E-5"/>
    <n v="2.00113570280952E-5"/>
    <n v="1.43157172264665E-2"/>
    <n v="3.0688727494443402"/>
  </r>
  <r>
    <n v="838"/>
    <s v="picture paints a thousand words"/>
    <s v="picture paints a thousand"/>
    <s v="words"/>
    <s v="picture paints a thousand words"/>
    <x v="2"/>
    <x v="3"/>
    <x v="1"/>
    <s v="NOUN"/>
    <x v="0"/>
    <n v="3.1250001851696897E-5"/>
    <n v="2.59349166694623E-5"/>
    <n v="2.0933588938078101E-2"/>
    <n v="3.44732680151334"/>
  </r>
  <r>
    <n v="839"/>
    <s v="method to my madness"/>
    <s v="method to my"/>
    <s v="madness"/>
    <s v="method to my madness"/>
    <x v="0"/>
    <x v="2"/>
    <x v="1"/>
    <s v="NOUN"/>
    <x v="0"/>
    <n v="3.1250005833910802E-5"/>
    <n v="3.0996486823479897E-5"/>
    <n v="-1.2919647941479401E-2"/>
    <n v="3.5284677745908"/>
  </r>
  <r>
    <n v="840"/>
    <s v="a voice crying in the wilderness"/>
    <s v="a voice crying in the"/>
    <s v="wilderness"/>
    <s v="a voice crying in the wilderness"/>
    <x v="1"/>
    <x v="10"/>
    <x v="1"/>
    <s v="NOUN"/>
    <x v="0"/>
    <n v="3.1250002817966903E-5"/>
    <n v="3.1064397282327803E-5"/>
    <n v="2.2222147775025201E-2"/>
    <n v="2.54251347672237"/>
  </r>
  <r>
    <n v="841"/>
    <s v="cast in the same mould"/>
    <s v="cast in the same"/>
    <s v="mould"/>
    <s v="cast in the same mold as the original"/>
    <x v="2"/>
    <x v="3"/>
    <x v="1"/>
    <s v="ADJ"/>
    <x v="1"/>
    <n v="3.1249999706114899E-5"/>
    <n v="4.5433095637157101E-7"/>
    <n v="4.5216414802883499E-2"/>
    <n v="3.4994719503255798"/>
  </r>
  <r>
    <n v="842"/>
    <s v="as old as the hills"/>
    <s v="as old as the"/>
    <s v="hills"/>
    <s v="as old as the hills"/>
    <x v="2"/>
    <x v="3"/>
    <x v="1"/>
    <s v="NOUN"/>
    <x v="0"/>
    <n v="3.1250000171155998E-5"/>
    <n v="1.5997167440704099E-6"/>
    <n v="4.3807681565929998E-2"/>
    <n v="3.0105587693843501"/>
  </r>
  <r>
    <n v="843"/>
    <s v="roll up one's sleeves"/>
    <s v="roll up one's"/>
    <s v="sleeves"/>
    <s v="roll up one's sleeves"/>
    <x v="0"/>
    <x v="2"/>
    <x v="1"/>
    <s v="NOUN"/>
    <x v="0"/>
    <n v="3.1250004590203299E-5"/>
    <n v="2.8811295772462599E-5"/>
    <n v="-1.19191754028946E-2"/>
    <n v="3.3274340907573898"/>
  </r>
  <r>
    <n v="844"/>
    <s v="company in distress makes sorrow less"/>
    <s v="company in distress makes sorrow"/>
    <s v="less"/>
    <s v="company in distress makes sorrowful reading."/>
    <x v="1"/>
    <x v="0"/>
    <x v="0"/>
    <s v="NOUN"/>
    <x v="1"/>
    <n v="3.12500011121827E-5"/>
    <n v="6.32013759708173E-6"/>
    <n v="-6.4974825426062904E-3"/>
    <n v="3.8582100078624499"/>
  </r>
  <r>
    <n v="845"/>
    <s v="your belly button is bigger than your stomach"/>
    <s v="your belly button is bigger than your"/>
    <s v="stomach"/>
    <s v="your belly button is bigger than your head."/>
    <x v="3"/>
    <x v="2"/>
    <x v="1"/>
    <s v="NOUN"/>
    <x v="1"/>
    <n v="3.12499986979681E-5"/>
    <n v="4.3735407379976697E-6"/>
    <n v="-1.10842891259821E-2"/>
    <n v="3.7399905908684801"/>
  </r>
  <r>
    <n v="846"/>
    <s v="no flying from fate"/>
    <s v="no flying from"/>
    <s v="fate"/>
    <s v="no flying from the "/>
    <x v="0"/>
    <x v="0"/>
    <x v="1"/>
    <s v="PRON"/>
    <x v="1"/>
    <n v="3.1250001763777798E-5"/>
    <n v="2.7679705812592602E-7"/>
    <n v="4.5811384494157802E-2"/>
    <n v="2.6891088691587699"/>
  </r>
  <r>
    <n v="847"/>
    <s v="speak off the cuff"/>
    <s v="speak off the"/>
    <s v="cuff"/>
    <s v="speak off the cuff"/>
    <x v="0"/>
    <x v="0"/>
    <x v="1"/>
    <s v="NOUN"/>
    <x v="0"/>
    <n v="3.12500028941977E-5"/>
    <n v="3.10115404908184E-5"/>
    <n v="-9.6443901315836893E-3"/>
    <n v="2.2772698260270299"/>
  </r>
  <r>
    <n v="848"/>
    <s v="a friend in need"/>
    <s v="a friend in"/>
    <s v="need"/>
    <s v="a friend in need"/>
    <x v="0"/>
    <x v="0"/>
    <x v="1"/>
    <s v="NOUN"/>
    <x v="0"/>
    <n v="3.1250011017835503E-5"/>
    <n v="4.4894465343965802E-6"/>
    <n v="2.2865278991478201E-2"/>
    <n v="3.0762027573601798"/>
  </r>
  <r>
    <n v="849"/>
    <s v="a cold day in hell"/>
    <s v="a cold day in"/>
    <s v="hell"/>
    <s v="a cold day in the parkI was"/>
    <x v="2"/>
    <x v="0"/>
    <x v="1"/>
    <s v="AUX"/>
    <x v="1"/>
    <n v="3.1249998853531901E-5"/>
    <n v="9.3469423353955402E-7"/>
    <n v="-1.8609304127473001E-2"/>
    <n v="3.3174490794481901"/>
  </r>
  <r>
    <n v="850"/>
    <s v="it doesn't hurt to ask"/>
    <s v="it doesn't hurt to"/>
    <s v="ask"/>
    <s v="it doesn't hurt to have a little help."/>
    <x v="2"/>
    <x v="1"/>
    <x v="7"/>
    <s v="NOUN"/>
    <x v="1"/>
    <n v="3.1250003634553E-5"/>
    <n v="3.9557010508916998E-6"/>
    <n v="-5.8210913186229596E-4"/>
    <n v="3.5807831517463899"/>
  </r>
  <r>
    <n v="851"/>
    <s v="whale of a time"/>
    <s v="whale of a"/>
    <s v="time"/>
    <s v="whale of a time"/>
    <x v="0"/>
    <x v="0"/>
    <x v="1"/>
    <s v="NOUN"/>
    <x v="0"/>
    <n v="3.1250003336894597E-5"/>
    <n v="4.3619086984606899E-6"/>
    <n v="-3.6271601983308699E-3"/>
    <n v="3.2778330319426798"/>
  </r>
  <r>
    <n v="852"/>
    <s v="elvis has left the building"/>
    <s v="elvis has left the"/>
    <s v="building"/>
    <s v="elvis has left the building"/>
    <x v="2"/>
    <x v="6"/>
    <x v="1"/>
    <s v="NOUN"/>
    <x v="0"/>
    <n v="3.1250009071430897E-5"/>
    <n v="2.20737765758779E-5"/>
    <n v="9.0312755127754905E-3"/>
    <n v="3.42035432644463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0224D-1F3D-AD45-AA1B-D028727BBB8A}" name="数据透视表3" cacheId="2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15" firstHeaderRow="1" firstDataRow="2" firstDataCol="1"/>
  <pivotFields count="14">
    <pivotField dataField="1" showAll="0"/>
    <pivotField showAll="0"/>
    <pivotField showAll="0"/>
    <pivotField showAll="0"/>
    <pivotField showAll="0"/>
    <pivotField axis="axisRow" showAll="0">
      <items count="11">
        <item x="0"/>
        <item x="2"/>
        <item x="1"/>
        <item x="4"/>
        <item x="3"/>
        <item x="5"/>
        <item x="7"/>
        <item x="6"/>
        <item x="8"/>
        <item x="9"/>
        <item t="default"/>
      </items>
    </pivotField>
    <pivotField showAll="0">
      <items count="12">
        <item x="4"/>
        <item x="1"/>
        <item x="0"/>
        <item x="3"/>
        <item x="5"/>
        <item x="2"/>
        <item x="6"/>
        <item x="7"/>
        <item x="10"/>
        <item x="9"/>
        <item x="8"/>
        <item t="default"/>
      </items>
    </pivotField>
    <pivotField showAll="0">
      <items count="11">
        <item x="6"/>
        <item x="2"/>
        <item x="0"/>
        <item x="5"/>
        <item x="1"/>
        <item x="8"/>
        <item x="4"/>
        <item x="3"/>
        <item x="9"/>
        <item x="7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1" showAll="0"/>
    <pivotField numFmtId="11"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计数项: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C1AE-5520-1941-9E9B-82FA3461AB8E}">
  <dimension ref="A1:N853"/>
  <sheetViews>
    <sheetView workbookViewId="0">
      <selection sqref="A1:A1048576"/>
    </sheetView>
  </sheetViews>
  <sheetFormatPr baseColWidth="10" defaultRowHeight="16"/>
  <cols>
    <col min="1" max="1" width="6.83203125" bestFit="1" customWidth="1"/>
    <col min="2" max="2" width="10.33203125" bestFit="1" customWidth="1"/>
    <col min="3" max="3" width="11.5" bestFit="1" customWidth="1"/>
    <col min="4" max="4" width="9.1640625" bestFit="1" customWidth="1"/>
    <col min="5" max="5" width="12.6640625" bestFit="1" customWidth="1"/>
    <col min="6" max="6" width="15" bestFit="1" customWidth="1"/>
    <col min="7" max="7" width="20.1640625" bestFit="1" customWidth="1"/>
    <col min="8" max="8" width="29.33203125" bestFit="1" customWidth="1"/>
    <col min="9" max="9" width="30.6640625" bestFit="1" customWidth="1"/>
    <col min="10" max="10" width="10.33203125" bestFit="1" customWidth="1"/>
    <col min="11" max="11" width="35.83203125" bestFit="1" customWidth="1"/>
    <col min="12" max="12" width="39.6640625" bestFit="1" customWidth="1"/>
    <col min="13" max="13" width="34.5" bestFit="1" customWidth="1"/>
    <col min="14" max="14" width="39.6640625" bestFit="1" customWidth="1"/>
  </cols>
  <sheetData>
    <row r="1" spans="1:14">
      <c r="A1" s="3" t="s">
        <v>2334</v>
      </c>
      <c r="B1" s="3" t="s">
        <v>2324</v>
      </c>
      <c r="C1" s="3" t="s">
        <v>2415</v>
      </c>
      <c r="D1" s="4" t="s">
        <v>2335</v>
      </c>
      <c r="E1" s="3" t="s">
        <v>2325</v>
      </c>
      <c r="F1" s="6" t="s">
        <v>2326</v>
      </c>
      <c r="G1" s="3" t="s">
        <v>2327</v>
      </c>
      <c r="H1" s="3" t="s">
        <v>2328</v>
      </c>
      <c r="I1" s="3" t="s">
        <v>2329</v>
      </c>
      <c r="J1" s="3" t="s">
        <v>1727</v>
      </c>
      <c r="K1" s="3" t="s">
        <v>2330</v>
      </c>
      <c r="L1" s="3" t="s">
        <v>2331</v>
      </c>
      <c r="M1" s="3" t="s">
        <v>2332</v>
      </c>
      <c r="N1" s="3" t="s">
        <v>2333</v>
      </c>
    </row>
    <row r="2" spans="1:14">
      <c r="A2" s="1">
        <v>1</v>
      </c>
      <c r="B2" s="1" t="s">
        <v>0</v>
      </c>
      <c r="C2" s="1" t="s">
        <v>1</v>
      </c>
      <c r="D2" s="5" t="s">
        <v>2</v>
      </c>
      <c r="E2" s="1" t="s">
        <v>0</v>
      </c>
      <c r="F2" s="7">
        <v>4</v>
      </c>
      <c r="G2" s="1">
        <v>4</v>
      </c>
      <c r="H2" s="1" t="s">
        <v>3</v>
      </c>
      <c r="I2" s="1" t="s">
        <v>3</v>
      </c>
      <c r="J2" s="1" t="s">
        <v>4</v>
      </c>
      <c r="K2" s="2">
        <v>3.1249998007090603E-5</v>
      </c>
      <c r="L2" s="2">
        <v>2.79823816733228E-5</v>
      </c>
      <c r="M2" s="1">
        <v>-1.98670323355827E-2</v>
      </c>
      <c r="N2" s="1">
        <v>3.7934913346834902</v>
      </c>
    </row>
    <row r="3" spans="1:14">
      <c r="A3" s="1">
        <v>2</v>
      </c>
      <c r="B3" s="1" t="s">
        <v>5</v>
      </c>
      <c r="C3" s="1" t="s">
        <v>6</v>
      </c>
      <c r="D3" s="5" t="s">
        <v>7</v>
      </c>
      <c r="E3" s="1" t="s">
        <v>5</v>
      </c>
      <c r="F3" s="7">
        <v>4</v>
      </c>
      <c r="G3" s="1">
        <v>3</v>
      </c>
      <c r="H3" s="1" t="s">
        <v>8</v>
      </c>
      <c r="I3" s="1" t="s">
        <v>8</v>
      </c>
      <c r="J3" s="1" t="s">
        <v>4</v>
      </c>
      <c r="K3" s="2">
        <v>3.1250010656336003E-5</v>
      </c>
      <c r="L3" s="2">
        <v>2.8429201080689499E-5</v>
      </c>
      <c r="M3" s="1">
        <v>-1.2834970961279101E-2</v>
      </c>
      <c r="N3" s="1">
        <v>3.6798288727160999</v>
      </c>
    </row>
    <row r="4" spans="1:14">
      <c r="A4" s="1">
        <v>3</v>
      </c>
      <c r="B4" s="1" t="s">
        <v>9</v>
      </c>
      <c r="C4" s="1" t="s">
        <v>10</v>
      </c>
      <c r="D4" s="5" t="s">
        <v>11</v>
      </c>
      <c r="E4" s="1" t="s">
        <v>9</v>
      </c>
      <c r="F4" s="7">
        <v>4</v>
      </c>
      <c r="G4" s="1">
        <v>4</v>
      </c>
      <c r="H4" s="1" t="s">
        <v>12</v>
      </c>
      <c r="I4" s="1" t="s">
        <v>12</v>
      </c>
      <c r="J4" s="1" t="s">
        <v>4</v>
      </c>
      <c r="K4" s="2">
        <v>3.1250006152462201E-5</v>
      </c>
      <c r="L4" s="2">
        <v>2.0558035593955601E-5</v>
      </c>
      <c r="M4" s="1">
        <v>-9.06875585813793E-3</v>
      </c>
      <c r="N4" s="1">
        <v>3.6341080730370199</v>
      </c>
    </row>
    <row r="5" spans="1:14">
      <c r="A5" s="1">
        <v>4</v>
      </c>
      <c r="B5" s="1" t="s">
        <v>13</v>
      </c>
      <c r="C5" s="1" t="s">
        <v>14</v>
      </c>
      <c r="D5" s="5" t="s">
        <v>15</v>
      </c>
      <c r="E5" s="1" t="s">
        <v>13</v>
      </c>
      <c r="F5" s="7">
        <v>4</v>
      </c>
      <c r="G5" s="1">
        <v>4</v>
      </c>
      <c r="H5" s="1" t="s">
        <v>8</v>
      </c>
      <c r="I5" s="1" t="s">
        <v>8</v>
      </c>
      <c r="J5" s="1" t="s">
        <v>4</v>
      </c>
      <c r="K5" s="2">
        <v>3.1250004849559103E-5</v>
      </c>
      <c r="L5" s="2">
        <v>1.8170960749982101E-5</v>
      </c>
      <c r="M5" s="1">
        <v>-3.98615789611085E-2</v>
      </c>
      <c r="N5" s="1">
        <v>3.47365306367251</v>
      </c>
    </row>
    <row r="6" spans="1:14">
      <c r="A6" s="1">
        <v>5</v>
      </c>
      <c r="B6" s="1" t="s">
        <v>16</v>
      </c>
      <c r="C6" s="1" t="s">
        <v>17</v>
      </c>
      <c r="D6" s="5" t="s">
        <v>18</v>
      </c>
      <c r="E6" s="1" t="s">
        <v>16</v>
      </c>
      <c r="F6" s="7">
        <v>4</v>
      </c>
      <c r="G6" s="1">
        <v>7</v>
      </c>
      <c r="H6" s="1" t="s">
        <v>8</v>
      </c>
      <c r="I6" s="1" t="s">
        <v>8</v>
      </c>
      <c r="J6" s="1" t="s">
        <v>4</v>
      </c>
      <c r="K6" s="2">
        <v>3.1250004717325401E-5</v>
      </c>
      <c r="L6" s="2">
        <v>3.1151101140115597E-5</v>
      </c>
      <c r="M6" s="1">
        <v>-1.83969982169074E-2</v>
      </c>
      <c r="N6" s="1">
        <v>2.7875613915069599</v>
      </c>
    </row>
    <row r="7" spans="1:14">
      <c r="A7" s="1">
        <v>6</v>
      </c>
      <c r="B7" s="1" t="s">
        <v>19</v>
      </c>
      <c r="C7" s="1" t="s">
        <v>20</v>
      </c>
      <c r="D7" s="5" t="s">
        <v>21</v>
      </c>
      <c r="E7" s="1" t="s">
        <v>19</v>
      </c>
      <c r="F7" s="7">
        <v>4</v>
      </c>
      <c r="G7" s="1">
        <v>7</v>
      </c>
      <c r="H7" s="1" t="s">
        <v>22</v>
      </c>
      <c r="I7" s="1" t="s">
        <v>22</v>
      </c>
      <c r="J7" s="1" t="s">
        <v>4</v>
      </c>
      <c r="K7" s="2">
        <v>3.1250014306311799E-5</v>
      </c>
      <c r="L7" s="2">
        <v>2.6765574452641399E-5</v>
      </c>
      <c r="M7" s="1">
        <v>3.1722287843528797E-2</v>
      </c>
      <c r="N7" s="1">
        <v>3.6223115744392</v>
      </c>
    </row>
    <row r="8" spans="1:14">
      <c r="A8" s="1">
        <v>7</v>
      </c>
      <c r="B8" s="1" t="s">
        <v>23</v>
      </c>
      <c r="C8" s="1" t="s">
        <v>24</v>
      </c>
      <c r="D8" s="5" t="s">
        <v>25</v>
      </c>
      <c r="E8" s="1" t="s">
        <v>23</v>
      </c>
      <c r="F8" s="7">
        <v>4</v>
      </c>
      <c r="G8" s="1">
        <v>5</v>
      </c>
      <c r="H8" s="1" t="s">
        <v>8</v>
      </c>
      <c r="I8" s="1" t="s">
        <v>8</v>
      </c>
      <c r="J8" s="1" t="s">
        <v>4</v>
      </c>
      <c r="K8" s="2">
        <v>3.1250000798782197E-5</v>
      </c>
      <c r="L8" s="2">
        <v>2.3754532278150301E-6</v>
      </c>
      <c r="M8" s="1">
        <v>1.43140618632031E-3</v>
      </c>
      <c r="N8" s="1">
        <v>3.1323331862985002</v>
      </c>
    </row>
    <row r="9" spans="1:14">
      <c r="A9" s="1">
        <v>8</v>
      </c>
      <c r="B9" s="1" t="s">
        <v>26</v>
      </c>
      <c r="C9" s="1" t="s">
        <v>27</v>
      </c>
      <c r="D9" s="5" t="s">
        <v>28</v>
      </c>
      <c r="E9" s="1" t="s">
        <v>26</v>
      </c>
      <c r="F9" s="7">
        <v>6</v>
      </c>
      <c r="G9" s="1">
        <v>3</v>
      </c>
      <c r="H9" s="1" t="s">
        <v>8</v>
      </c>
      <c r="I9" s="1" t="s">
        <v>8</v>
      </c>
      <c r="J9" s="1" t="s">
        <v>4</v>
      </c>
      <c r="K9" s="2">
        <v>3.1249996453277799E-5</v>
      </c>
      <c r="L9" s="2">
        <v>1.7038221905999199E-6</v>
      </c>
      <c r="M9" s="1">
        <v>3.6651894407641203E-2</v>
      </c>
      <c r="N9" s="1">
        <v>3.1547179889033501</v>
      </c>
    </row>
    <row r="10" spans="1:14">
      <c r="A10" s="1">
        <v>9</v>
      </c>
      <c r="B10" s="1" t="s">
        <v>29</v>
      </c>
      <c r="C10" s="1" t="s">
        <v>30</v>
      </c>
      <c r="D10" s="5" t="s">
        <v>11</v>
      </c>
      <c r="E10" s="1" t="s">
        <v>29</v>
      </c>
      <c r="F10" s="7">
        <v>4</v>
      </c>
      <c r="G10" s="1">
        <v>4</v>
      </c>
      <c r="H10" s="1" t="s">
        <v>12</v>
      </c>
      <c r="I10" s="1" t="s">
        <v>12</v>
      </c>
      <c r="J10" s="1" t="s">
        <v>4</v>
      </c>
      <c r="K10" s="2">
        <v>3.1250002533016901E-5</v>
      </c>
      <c r="L10" s="2">
        <v>8.9662590729610095E-6</v>
      </c>
      <c r="M10" s="1">
        <v>-9.6513906428157201E-3</v>
      </c>
      <c r="N10" s="1">
        <v>3.4741733644021799</v>
      </c>
    </row>
    <row r="11" spans="1:14">
      <c r="A11" s="1">
        <v>10</v>
      </c>
      <c r="B11" s="1" t="s">
        <v>31</v>
      </c>
      <c r="C11" s="1" t="s">
        <v>32</v>
      </c>
      <c r="D11" s="5" t="s">
        <v>33</v>
      </c>
      <c r="E11" s="1" t="s">
        <v>31</v>
      </c>
      <c r="F11" s="7">
        <v>4</v>
      </c>
      <c r="G11" s="1">
        <v>2</v>
      </c>
      <c r="H11" s="1" t="s">
        <v>34</v>
      </c>
      <c r="I11" s="1" t="s">
        <v>34</v>
      </c>
      <c r="J11" s="1" t="s">
        <v>4</v>
      </c>
      <c r="K11" s="2">
        <v>3.12500075681381E-5</v>
      </c>
      <c r="L11" s="2">
        <v>1.71203031680451E-5</v>
      </c>
      <c r="M11" s="1">
        <v>4.3267394313772902E-3</v>
      </c>
      <c r="N11" s="1">
        <v>3.7360244756713699</v>
      </c>
    </row>
    <row r="12" spans="1:14">
      <c r="A12" s="1">
        <v>11</v>
      </c>
      <c r="B12" s="1" t="s">
        <v>35</v>
      </c>
      <c r="C12" s="1" t="s">
        <v>36</v>
      </c>
      <c r="D12" s="5" t="s">
        <v>37</v>
      </c>
      <c r="E12" s="1" t="s">
        <v>35</v>
      </c>
      <c r="F12" s="7">
        <v>4</v>
      </c>
      <c r="G12" s="1">
        <v>3</v>
      </c>
      <c r="H12" s="1" t="s">
        <v>8</v>
      </c>
      <c r="I12" s="1" t="s">
        <v>8</v>
      </c>
      <c r="J12" s="1" t="s">
        <v>4</v>
      </c>
      <c r="K12" s="2">
        <v>3.1250003283580399E-5</v>
      </c>
      <c r="L12" s="2">
        <v>6.4012589456800799E-6</v>
      </c>
      <c r="M12" s="1">
        <v>-1.68375004250815E-2</v>
      </c>
      <c r="N12" s="1">
        <v>3.5126577644563599</v>
      </c>
    </row>
    <row r="13" spans="1:14">
      <c r="A13" s="1">
        <v>12</v>
      </c>
      <c r="B13" s="1" t="s">
        <v>38</v>
      </c>
      <c r="C13" s="1" t="s">
        <v>39</v>
      </c>
      <c r="D13" s="5" t="s">
        <v>40</v>
      </c>
      <c r="E13" s="1" t="s">
        <v>38</v>
      </c>
      <c r="F13" s="7">
        <v>4</v>
      </c>
      <c r="G13" s="1">
        <v>7</v>
      </c>
      <c r="H13" s="1" t="s">
        <v>8</v>
      </c>
      <c r="I13" s="1" t="s">
        <v>8</v>
      </c>
      <c r="J13" s="1" t="s">
        <v>4</v>
      </c>
      <c r="K13" s="2">
        <v>3.1250000531461303E-5</v>
      </c>
      <c r="L13" s="2">
        <v>2.4443450443438299E-5</v>
      </c>
      <c r="M13" s="1">
        <v>-5.6708616062763799E-3</v>
      </c>
      <c r="N13" s="1">
        <v>2.93305916565361</v>
      </c>
    </row>
    <row r="14" spans="1:14">
      <c r="A14" s="1">
        <v>13</v>
      </c>
      <c r="B14" s="1" t="s">
        <v>41</v>
      </c>
      <c r="C14" s="1" t="s">
        <v>42</v>
      </c>
      <c r="D14" s="5" t="s">
        <v>43</v>
      </c>
      <c r="E14" s="1" t="s">
        <v>41</v>
      </c>
      <c r="F14" s="7">
        <v>5</v>
      </c>
      <c r="G14" s="1">
        <v>2</v>
      </c>
      <c r="H14" s="1" t="s">
        <v>44</v>
      </c>
      <c r="I14" s="1" t="s">
        <v>44</v>
      </c>
      <c r="J14" s="1" t="s">
        <v>4</v>
      </c>
      <c r="K14" s="2">
        <v>3.1250013610700099E-5</v>
      </c>
      <c r="L14" s="2">
        <v>2.4586191895520099E-5</v>
      </c>
      <c r="M14" s="1">
        <v>1.4390976549826399E-2</v>
      </c>
      <c r="N14" s="1">
        <v>3.6929363185608</v>
      </c>
    </row>
    <row r="15" spans="1:14">
      <c r="A15" s="1">
        <v>14</v>
      </c>
      <c r="B15" s="1" t="s">
        <v>45</v>
      </c>
      <c r="C15" s="1" t="s">
        <v>46</v>
      </c>
      <c r="D15" s="5" t="s">
        <v>47</v>
      </c>
      <c r="E15" s="1" t="s">
        <v>45</v>
      </c>
      <c r="F15" s="7">
        <v>4</v>
      </c>
      <c r="G15" s="1">
        <v>2</v>
      </c>
      <c r="H15" s="1" t="s">
        <v>12</v>
      </c>
      <c r="I15" s="1" t="s">
        <v>12</v>
      </c>
      <c r="J15" s="1" t="s">
        <v>4</v>
      </c>
      <c r="K15" s="2">
        <v>3.1250017257127301E-5</v>
      </c>
      <c r="L15" s="2">
        <v>2.25069022340522E-5</v>
      </c>
      <c r="M15" s="1">
        <v>9.8547988728903092E-4</v>
      </c>
      <c r="N15" s="1">
        <v>3.7547292195349198</v>
      </c>
    </row>
    <row r="16" spans="1:14">
      <c r="A16" s="1">
        <v>15</v>
      </c>
      <c r="B16" s="1" t="s">
        <v>48</v>
      </c>
      <c r="C16" s="1" t="s">
        <v>49</v>
      </c>
      <c r="D16" s="5" t="s">
        <v>50</v>
      </c>
      <c r="E16" s="1" t="s">
        <v>48</v>
      </c>
      <c r="F16" s="7">
        <v>6</v>
      </c>
      <c r="G16" s="1">
        <v>3</v>
      </c>
      <c r="H16" s="1" t="s">
        <v>8</v>
      </c>
      <c r="I16" s="1" t="s">
        <v>8</v>
      </c>
      <c r="J16" s="1" t="s">
        <v>4</v>
      </c>
      <c r="K16" s="2">
        <v>3.1250010763651303E-5</v>
      </c>
      <c r="L16" s="2">
        <v>2.8956627490769399E-5</v>
      </c>
      <c r="M16" s="1">
        <v>-1.14794135942872E-2</v>
      </c>
      <c r="N16" s="1">
        <v>3.49315927408164</v>
      </c>
    </row>
    <row r="17" spans="1:14">
      <c r="A17" s="1">
        <v>16</v>
      </c>
      <c r="B17" s="1" t="s">
        <v>51</v>
      </c>
      <c r="C17" s="1" t="s">
        <v>52</v>
      </c>
      <c r="D17" s="5" t="s">
        <v>53</v>
      </c>
      <c r="E17" s="1" t="s">
        <v>51</v>
      </c>
      <c r="F17" s="7">
        <v>4</v>
      </c>
      <c r="G17" s="1">
        <v>4</v>
      </c>
      <c r="H17" s="1" t="s">
        <v>8</v>
      </c>
      <c r="I17" s="1" t="s">
        <v>8</v>
      </c>
      <c r="J17" s="1" t="s">
        <v>4</v>
      </c>
      <c r="K17" s="2">
        <v>3.1250001627736697E-5</v>
      </c>
      <c r="L17" s="2">
        <v>1.32811617673115E-5</v>
      </c>
      <c r="M17" s="1">
        <v>-6.5020669637831903E-3</v>
      </c>
      <c r="N17" s="1">
        <v>3.51534499393428</v>
      </c>
    </row>
    <row r="18" spans="1:14">
      <c r="A18" s="1">
        <v>17</v>
      </c>
      <c r="B18" s="1" t="s">
        <v>54</v>
      </c>
      <c r="C18" s="1" t="s">
        <v>55</v>
      </c>
      <c r="D18" s="5" t="s">
        <v>56</v>
      </c>
      <c r="E18" s="1" t="s">
        <v>54</v>
      </c>
      <c r="F18" s="7">
        <v>4</v>
      </c>
      <c r="G18" s="1">
        <v>7</v>
      </c>
      <c r="H18" s="1" t="s">
        <v>8</v>
      </c>
      <c r="I18" s="1" t="s">
        <v>8</v>
      </c>
      <c r="J18" s="1" t="s">
        <v>4</v>
      </c>
      <c r="K18" s="2">
        <v>3.12500054610416E-5</v>
      </c>
      <c r="L18" s="2">
        <v>2.83107966774932E-5</v>
      </c>
      <c r="M18" s="1">
        <v>-1.9163659703560001E-2</v>
      </c>
      <c r="N18" s="1">
        <v>3.4882051664001801</v>
      </c>
    </row>
    <row r="19" spans="1:14">
      <c r="A19" s="1">
        <v>18</v>
      </c>
      <c r="B19" s="1" t="s">
        <v>57</v>
      </c>
      <c r="C19" s="1" t="s">
        <v>58</v>
      </c>
      <c r="D19" s="5" t="s">
        <v>47</v>
      </c>
      <c r="E19" s="1" t="s">
        <v>57</v>
      </c>
      <c r="F19" s="7">
        <v>4</v>
      </c>
      <c r="G19" s="1">
        <v>2</v>
      </c>
      <c r="H19" s="1" t="s">
        <v>12</v>
      </c>
      <c r="I19" s="1" t="s">
        <v>12</v>
      </c>
      <c r="J19" s="1" t="s">
        <v>4</v>
      </c>
      <c r="K19" s="2">
        <v>3.1250015605324799E-5</v>
      </c>
      <c r="L19" s="2">
        <v>2.5028258601513699E-5</v>
      </c>
      <c r="M19" s="1">
        <v>2.14942978558596E-3</v>
      </c>
      <c r="N19" s="1">
        <v>3.6342867600491702</v>
      </c>
    </row>
    <row r="20" spans="1:14">
      <c r="A20" s="1">
        <v>19</v>
      </c>
      <c r="B20" s="1" t="s">
        <v>59</v>
      </c>
      <c r="C20" s="1" t="s">
        <v>60</v>
      </c>
      <c r="D20" s="5" t="s">
        <v>61</v>
      </c>
      <c r="E20" s="1" t="s">
        <v>59</v>
      </c>
      <c r="F20" s="7">
        <v>5</v>
      </c>
      <c r="G20" s="1">
        <v>2</v>
      </c>
      <c r="H20" s="1" t="s">
        <v>22</v>
      </c>
      <c r="I20" s="1" t="s">
        <v>22</v>
      </c>
      <c r="J20" s="1" t="s">
        <v>4</v>
      </c>
      <c r="K20" s="2">
        <v>3.125001532194E-5</v>
      </c>
      <c r="L20" s="2">
        <v>1.77372661651715E-5</v>
      </c>
      <c r="M20" s="1">
        <v>-1.7562112183050201E-2</v>
      </c>
      <c r="N20" s="1">
        <v>3.5344353191870002</v>
      </c>
    </row>
    <row r="21" spans="1:14">
      <c r="A21" s="1">
        <v>20</v>
      </c>
      <c r="B21" s="1" t="s">
        <v>62</v>
      </c>
      <c r="C21" s="1" t="s">
        <v>63</v>
      </c>
      <c r="D21" s="5" t="s">
        <v>64</v>
      </c>
      <c r="E21" s="1" t="s">
        <v>62</v>
      </c>
      <c r="F21" s="7">
        <v>6</v>
      </c>
      <c r="G21" s="1">
        <v>6</v>
      </c>
      <c r="H21" s="1" t="s">
        <v>8</v>
      </c>
      <c r="I21" s="1" t="s">
        <v>8</v>
      </c>
      <c r="J21" s="1" t="s">
        <v>4</v>
      </c>
      <c r="K21" s="2">
        <v>3.12500042860951E-5</v>
      </c>
      <c r="L21" s="2">
        <v>2.8657899731398299E-5</v>
      </c>
      <c r="M21" s="1">
        <v>8.1658027068840493E-3</v>
      </c>
      <c r="N21" s="1">
        <v>3.5921744904095601</v>
      </c>
    </row>
    <row r="22" spans="1:14">
      <c r="A22" s="1">
        <v>21</v>
      </c>
      <c r="B22" s="1" t="s">
        <v>65</v>
      </c>
      <c r="C22" s="1" t="s">
        <v>66</v>
      </c>
      <c r="D22" s="5" t="s">
        <v>67</v>
      </c>
      <c r="E22" s="1" t="s">
        <v>65</v>
      </c>
      <c r="F22" s="7">
        <v>5</v>
      </c>
      <c r="G22" s="1">
        <v>7</v>
      </c>
      <c r="H22" s="1" t="s">
        <v>68</v>
      </c>
      <c r="I22" s="1" t="s">
        <v>68</v>
      </c>
      <c r="J22" s="1" t="s">
        <v>4</v>
      </c>
      <c r="K22" s="2">
        <v>3.1250007729736299E-5</v>
      </c>
      <c r="L22" s="2">
        <v>3.1137365485689602E-5</v>
      </c>
      <c r="M22" s="1">
        <v>-5.9042653517522503E-3</v>
      </c>
      <c r="N22" s="1">
        <v>2.9075666206470698</v>
      </c>
    </row>
    <row r="23" spans="1:14">
      <c r="A23" s="1">
        <v>22</v>
      </c>
      <c r="B23" s="1" t="s">
        <v>69</v>
      </c>
      <c r="C23" s="1" t="s">
        <v>70</v>
      </c>
      <c r="D23" s="5" t="s">
        <v>71</v>
      </c>
      <c r="E23" s="1" t="s">
        <v>69</v>
      </c>
      <c r="F23" s="7">
        <v>4</v>
      </c>
      <c r="G23" s="1">
        <v>6</v>
      </c>
      <c r="H23" s="1" t="s">
        <v>8</v>
      </c>
      <c r="I23" s="1" t="s">
        <v>8</v>
      </c>
      <c r="J23" s="1" t="s">
        <v>4</v>
      </c>
      <c r="K23" s="2">
        <v>3.1250009903142597E-5</v>
      </c>
      <c r="L23" s="2">
        <v>3.0316602347732001E-5</v>
      </c>
      <c r="M23" s="1">
        <v>1.51035591449186E-2</v>
      </c>
      <c r="N23" s="1">
        <v>3.5152074228585799</v>
      </c>
    </row>
    <row r="24" spans="1:14">
      <c r="A24" s="1">
        <v>23</v>
      </c>
      <c r="B24" s="1" t="s">
        <v>72</v>
      </c>
      <c r="C24" s="1" t="s">
        <v>73</v>
      </c>
      <c r="D24" s="5" t="s">
        <v>74</v>
      </c>
      <c r="E24" s="1" t="s">
        <v>72</v>
      </c>
      <c r="F24" s="7">
        <v>4</v>
      </c>
      <c r="G24" s="1">
        <v>5</v>
      </c>
      <c r="H24" s="1" t="s">
        <v>8</v>
      </c>
      <c r="I24" s="1" t="s">
        <v>8</v>
      </c>
      <c r="J24" s="1" t="s">
        <v>4</v>
      </c>
      <c r="K24" s="2">
        <v>3.1250009461131701E-5</v>
      </c>
      <c r="L24" s="2">
        <v>2.9330910616516202E-5</v>
      </c>
      <c r="M24" s="1">
        <v>9.7502497125745401E-3</v>
      </c>
      <c r="N24" s="1">
        <v>3.4030707070845199</v>
      </c>
    </row>
    <row r="25" spans="1:14">
      <c r="A25" s="1">
        <v>24</v>
      </c>
      <c r="B25" s="1" t="s">
        <v>75</v>
      </c>
      <c r="C25" s="1" t="s">
        <v>76</v>
      </c>
      <c r="D25" s="5" t="s">
        <v>77</v>
      </c>
      <c r="E25" s="1" t="s">
        <v>75</v>
      </c>
      <c r="F25" s="7">
        <v>4</v>
      </c>
      <c r="G25" s="1">
        <v>5</v>
      </c>
      <c r="H25" s="1" t="s">
        <v>8</v>
      </c>
      <c r="I25" s="1" t="s">
        <v>8</v>
      </c>
      <c r="J25" s="1" t="s">
        <v>4</v>
      </c>
      <c r="K25" s="2">
        <v>3.1250015131590297E-5</v>
      </c>
      <c r="L25" s="2">
        <v>1.8712507865415399E-5</v>
      </c>
      <c r="M25" s="1">
        <v>5.2074330650382798E-2</v>
      </c>
      <c r="N25" s="1">
        <v>3.2108870059750299</v>
      </c>
    </row>
    <row r="26" spans="1:14">
      <c r="A26" s="1">
        <v>25</v>
      </c>
      <c r="B26" s="1" t="s">
        <v>78</v>
      </c>
      <c r="C26" s="1" t="s">
        <v>79</v>
      </c>
      <c r="D26" s="5" t="s">
        <v>80</v>
      </c>
      <c r="E26" s="1" t="s">
        <v>78</v>
      </c>
      <c r="F26" s="7">
        <v>6</v>
      </c>
      <c r="G26" s="1">
        <v>4</v>
      </c>
      <c r="H26" s="1" t="s">
        <v>8</v>
      </c>
      <c r="I26" s="1" t="s">
        <v>8</v>
      </c>
      <c r="J26" s="1" t="s">
        <v>4</v>
      </c>
      <c r="K26" s="2">
        <v>3.1249990062656701E-5</v>
      </c>
      <c r="L26" s="2">
        <v>3.0488460540173299E-5</v>
      </c>
      <c r="M26" s="1">
        <v>-1.59104842184376E-2</v>
      </c>
      <c r="N26" s="1">
        <v>3.53375946414811</v>
      </c>
    </row>
    <row r="27" spans="1:14">
      <c r="A27" s="1">
        <v>26</v>
      </c>
      <c r="B27" s="1" t="s">
        <v>81</v>
      </c>
      <c r="C27" s="1" t="s">
        <v>82</v>
      </c>
      <c r="D27" s="5" t="s">
        <v>83</v>
      </c>
      <c r="E27" s="1" t="s">
        <v>81</v>
      </c>
      <c r="F27" s="7">
        <v>4</v>
      </c>
      <c r="G27" s="1">
        <v>5</v>
      </c>
      <c r="H27" s="1" t="s">
        <v>44</v>
      </c>
      <c r="I27" s="1" t="s">
        <v>44</v>
      </c>
      <c r="J27" s="1" t="s">
        <v>4</v>
      </c>
      <c r="K27" s="2">
        <v>3.12500166860774E-5</v>
      </c>
      <c r="L27" s="2">
        <v>1.00185405307432E-5</v>
      </c>
      <c r="M27" s="1">
        <v>-1.99230579404314E-2</v>
      </c>
      <c r="N27" s="1">
        <v>3.4634541573501298</v>
      </c>
    </row>
    <row r="28" spans="1:14">
      <c r="A28" s="1">
        <v>27</v>
      </c>
      <c r="B28" s="1" t="s">
        <v>84</v>
      </c>
      <c r="C28" s="1" t="s">
        <v>85</v>
      </c>
      <c r="D28" s="5" t="s">
        <v>47</v>
      </c>
      <c r="E28" s="1" t="s">
        <v>84</v>
      </c>
      <c r="F28" s="7">
        <v>5</v>
      </c>
      <c r="G28" s="1">
        <v>2</v>
      </c>
      <c r="H28" s="1" t="s">
        <v>12</v>
      </c>
      <c r="I28" s="1" t="s">
        <v>12</v>
      </c>
      <c r="J28" s="1" t="s">
        <v>4</v>
      </c>
      <c r="K28" s="2">
        <v>3.12500080305751E-5</v>
      </c>
      <c r="L28" s="2">
        <v>1.12420171714199E-5</v>
      </c>
      <c r="M28" s="1">
        <v>-2.6313689382412499E-2</v>
      </c>
      <c r="N28" s="1">
        <v>3.6240954014109499</v>
      </c>
    </row>
    <row r="29" spans="1:14">
      <c r="A29" s="1">
        <v>28</v>
      </c>
      <c r="B29" s="1" t="s">
        <v>86</v>
      </c>
      <c r="C29" s="1" t="s">
        <v>87</v>
      </c>
      <c r="D29" s="5" t="s">
        <v>88</v>
      </c>
      <c r="E29" s="1" t="s">
        <v>86</v>
      </c>
      <c r="F29" s="7">
        <v>5</v>
      </c>
      <c r="G29" s="1">
        <v>4</v>
      </c>
      <c r="H29" s="1" t="s">
        <v>8</v>
      </c>
      <c r="I29" s="1" t="s">
        <v>8</v>
      </c>
      <c r="J29" s="1" t="s">
        <v>4</v>
      </c>
      <c r="K29" s="2">
        <v>3.12500124671343E-5</v>
      </c>
      <c r="L29" s="2">
        <v>1.9031921230566499E-5</v>
      </c>
      <c r="M29" s="1">
        <v>5.1901236373410597E-3</v>
      </c>
      <c r="N29" s="1">
        <v>3.2805304636294501</v>
      </c>
    </row>
    <row r="30" spans="1:14">
      <c r="A30" s="1">
        <v>29</v>
      </c>
      <c r="B30" s="1" t="s">
        <v>89</v>
      </c>
      <c r="C30" s="1" t="s">
        <v>90</v>
      </c>
      <c r="D30" s="5" t="s">
        <v>91</v>
      </c>
      <c r="E30" s="1" t="s">
        <v>89</v>
      </c>
      <c r="F30" s="7">
        <v>4</v>
      </c>
      <c r="G30" s="1">
        <v>4</v>
      </c>
      <c r="H30" s="1" t="s">
        <v>8</v>
      </c>
      <c r="I30" s="1" t="s">
        <v>8</v>
      </c>
      <c r="J30" s="1" t="s">
        <v>4</v>
      </c>
      <c r="K30" s="2">
        <v>3.1249996913150797E-5</v>
      </c>
      <c r="L30" s="2">
        <v>3.0102128407947599E-5</v>
      </c>
      <c r="M30" s="1">
        <v>4.7286883882762202E-3</v>
      </c>
      <c r="N30" s="1">
        <v>3.7896497637766098</v>
      </c>
    </row>
    <row r="31" spans="1:14">
      <c r="A31" s="1">
        <v>30</v>
      </c>
      <c r="B31" s="1" t="s">
        <v>92</v>
      </c>
      <c r="C31" s="1" t="s">
        <v>93</v>
      </c>
      <c r="D31" s="5" t="s">
        <v>94</v>
      </c>
      <c r="E31" s="1" t="s">
        <v>92</v>
      </c>
      <c r="F31" s="7">
        <v>4</v>
      </c>
      <c r="G31" s="1">
        <v>4</v>
      </c>
      <c r="H31" s="1" t="s">
        <v>8</v>
      </c>
      <c r="I31" s="1" t="s">
        <v>8</v>
      </c>
      <c r="J31" s="1" t="s">
        <v>4</v>
      </c>
      <c r="K31" s="2">
        <v>3.1250007253137497E-5</v>
      </c>
      <c r="L31" s="2">
        <v>2.95555520760197E-5</v>
      </c>
      <c r="M31" s="1">
        <v>-1.97054760674575E-3</v>
      </c>
      <c r="N31" s="1">
        <v>3.70168289473113</v>
      </c>
    </row>
    <row r="32" spans="1:14">
      <c r="A32" s="1">
        <v>31</v>
      </c>
      <c r="B32" s="1" t="s">
        <v>95</v>
      </c>
      <c r="C32" s="1" t="s">
        <v>96</v>
      </c>
      <c r="D32" s="5" t="s">
        <v>97</v>
      </c>
      <c r="E32" s="1" t="s">
        <v>95</v>
      </c>
      <c r="F32" s="7">
        <v>4</v>
      </c>
      <c r="G32" s="1">
        <v>3</v>
      </c>
      <c r="H32" s="1" t="s">
        <v>98</v>
      </c>
      <c r="I32" s="1" t="s">
        <v>98</v>
      </c>
      <c r="J32" s="1" t="s">
        <v>4</v>
      </c>
      <c r="K32" s="2">
        <v>3.12500048851617E-5</v>
      </c>
      <c r="L32" s="2">
        <v>2.8724658922082999E-5</v>
      </c>
      <c r="M32" s="1">
        <v>2.7576008241652499E-2</v>
      </c>
      <c r="N32" s="1">
        <v>3.3835269669847401</v>
      </c>
    </row>
    <row r="33" spans="1:14">
      <c r="A33" s="1">
        <v>32</v>
      </c>
      <c r="B33" s="1" t="s">
        <v>99</v>
      </c>
      <c r="C33" s="1" t="s">
        <v>100</v>
      </c>
      <c r="D33" s="5" t="s">
        <v>101</v>
      </c>
      <c r="E33" s="1" t="s">
        <v>99</v>
      </c>
      <c r="F33" s="7">
        <v>5</v>
      </c>
      <c r="G33" s="1">
        <v>3</v>
      </c>
      <c r="H33" s="1" t="s">
        <v>8</v>
      </c>
      <c r="I33" s="1" t="s">
        <v>8</v>
      </c>
      <c r="J33" s="1" t="s">
        <v>4</v>
      </c>
      <c r="K33" s="2">
        <v>3.1250006179917798E-5</v>
      </c>
      <c r="L33" s="2">
        <v>2.0087331891979E-5</v>
      </c>
      <c r="M33" s="1">
        <v>-1.4327410780738899E-2</v>
      </c>
      <c r="N33" s="1">
        <v>3.7057564204565798</v>
      </c>
    </row>
    <row r="34" spans="1:14">
      <c r="A34" s="1">
        <v>33</v>
      </c>
      <c r="B34" s="1" t="s">
        <v>102</v>
      </c>
      <c r="C34" s="1" t="s">
        <v>103</v>
      </c>
      <c r="D34" s="5" t="s">
        <v>104</v>
      </c>
      <c r="E34" s="1" t="s">
        <v>102</v>
      </c>
      <c r="F34" s="7">
        <v>4</v>
      </c>
      <c r="G34" s="1">
        <v>3</v>
      </c>
      <c r="H34" s="1" t="s">
        <v>8</v>
      </c>
      <c r="I34" s="1" t="s">
        <v>8</v>
      </c>
      <c r="J34" s="1" t="s">
        <v>4</v>
      </c>
      <c r="K34" s="2">
        <v>3.1250012857215503E-5</v>
      </c>
      <c r="L34" s="2">
        <v>2.75311873241598E-5</v>
      </c>
      <c r="M34" s="1">
        <v>-3.1025130392898701E-2</v>
      </c>
      <c r="N34" s="1">
        <v>3.3266620968717802</v>
      </c>
    </row>
    <row r="35" spans="1:14">
      <c r="A35" s="1">
        <v>34</v>
      </c>
      <c r="B35" s="1" t="s">
        <v>105</v>
      </c>
      <c r="C35" s="1" t="s">
        <v>106</v>
      </c>
      <c r="D35" s="5" t="s">
        <v>61</v>
      </c>
      <c r="E35" s="1" t="s">
        <v>105</v>
      </c>
      <c r="F35" s="7">
        <v>5</v>
      </c>
      <c r="G35" s="1">
        <v>2</v>
      </c>
      <c r="H35" s="1" t="s">
        <v>22</v>
      </c>
      <c r="I35" s="1" t="s">
        <v>22</v>
      </c>
      <c r="J35" s="1" t="s">
        <v>4</v>
      </c>
      <c r="K35" s="2">
        <v>3.12500062398805E-5</v>
      </c>
      <c r="L35" s="2">
        <v>2.8747300770060399E-5</v>
      </c>
      <c r="M35" s="1">
        <v>-7.1602318261483298E-3</v>
      </c>
      <c r="N35" s="1">
        <v>3.7168644615527802</v>
      </c>
    </row>
    <row r="36" spans="1:14">
      <c r="A36" s="1">
        <v>35</v>
      </c>
      <c r="B36" s="1" t="s">
        <v>107</v>
      </c>
      <c r="C36" s="1" t="s">
        <v>108</v>
      </c>
      <c r="D36" s="5" t="s">
        <v>109</v>
      </c>
      <c r="E36" s="1" t="s">
        <v>107</v>
      </c>
      <c r="F36" s="7">
        <v>5</v>
      </c>
      <c r="G36" s="1">
        <v>8</v>
      </c>
      <c r="H36" s="1" t="s">
        <v>8</v>
      </c>
      <c r="I36" s="1" t="s">
        <v>8</v>
      </c>
      <c r="J36" s="1" t="s">
        <v>4</v>
      </c>
      <c r="K36" s="2">
        <v>3.1250002994129102E-5</v>
      </c>
      <c r="L36" s="2">
        <v>2.8010310658578599E-5</v>
      </c>
      <c r="M36" s="1">
        <v>1.2853521237353499E-2</v>
      </c>
      <c r="N36" s="1">
        <v>3.6661354193284899</v>
      </c>
    </row>
    <row r="37" spans="1:14">
      <c r="A37" s="1">
        <v>36</v>
      </c>
      <c r="B37" s="1" t="s">
        <v>110</v>
      </c>
      <c r="C37" s="1" t="s">
        <v>111</v>
      </c>
      <c r="D37" s="5" t="s">
        <v>112</v>
      </c>
      <c r="E37" s="1" t="s">
        <v>110</v>
      </c>
      <c r="F37" s="7">
        <v>4</v>
      </c>
      <c r="G37" s="1">
        <v>3</v>
      </c>
      <c r="H37" s="1" t="s">
        <v>113</v>
      </c>
      <c r="I37" s="1" t="s">
        <v>113</v>
      </c>
      <c r="J37" s="1" t="s">
        <v>4</v>
      </c>
      <c r="K37" s="2">
        <v>3.12500039442077E-5</v>
      </c>
      <c r="L37" s="2">
        <v>2.2596803491893302E-5</v>
      </c>
      <c r="M37" s="1">
        <v>2.1733521347357499E-2</v>
      </c>
      <c r="N37" s="1">
        <v>3.46005367009771</v>
      </c>
    </row>
    <row r="38" spans="1:14">
      <c r="A38" s="1">
        <v>37</v>
      </c>
      <c r="B38" s="1" t="s">
        <v>114</v>
      </c>
      <c r="C38" s="1" t="s">
        <v>115</v>
      </c>
      <c r="D38" s="5" t="s">
        <v>116</v>
      </c>
      <c r="E38" s="1" t="s">
        <v>114</v>
      </c>
      <c r="F38" s="7">
        <v>8</v>
      </c>
      <c r="G38" s="1">
        <v>4</v>
      </c>
      <c r="H38" s="1" t="s">
        <v>8</v>
      </c>
      <c r="I38" s="1" t="s">
        <v>8</v>
      </c>
      <c r="J38" s="1" t="s">
        <v>4</v>
      </c>
      <c r="K38" s="2">
        <v>3.1250001264106198E-5</v>
      </c>
      <c r="L38" s="2">
        <v>1.4499754312213101E-5</v>
      </c>
      <c r="M38" s="1">
        <v>1.35682830735106E-3</v>
      </c>
      <c r="N38" s="1">
        <v>3.8523970363900601</v>
      </c>
    </row>
    <row r="39" spans="1:14">
      <c r="A39" s="1">
        <v>38</v>
      </c>
      <c r="B39" s="1" t="s">
        <v>117</v>
      </c>
      <c r="C39" s="1" t="s">
        <v>118</v>
      </c>
      <c r="D39" s="5" t="s">
        <v>119</v>
      </c>
      <c r="E39" s="1" t="s">
        <v>117</v>
      </c>
      <c r="F39" s="7">
        <v>4</v>
      </c>
      <c r="G39" s="1">
        <v>4</v>
      </c>
      <c r="H39" s="1" t="s">
        <v>8</v>
      </c>
      <c r="I39" s="1" t="s">
        <v>8</v>
      </c>
      <c r="J39" s="1" t="s">
        <v>4</v>
      </c>
      <c r="K39" s="2">
        <v>3.1249999918101801E-5</v>
      </c>
      <c r="L39" s="2">
        <v>2.76139993489523E-5</v>
      </c>
      <c r="M39" s="1">
        <v>-5.4338473748671802E-3</v>
      </c>
      <c r="N39" s="1">
        <v>3.6936473481889802</v>
      </c>
    </row>
    <row r="40" spans="1:14">
      <c r="A40" s="1">
        <v>39</v>
      </c>
      <c r="B40" s="1" t="s">
        <v>120</v>
      </c>
      <c r="C40" s="1" t="s">
        <v>121</v>
      </c>
      <c r="D40" s="5" t="s">
        <v>122</v>
      </c>
      <c r="E40" s="1" t="s">
        <v>120</v>
      </c>
      <c r="F40" s="7">
        <v>5</v>
      </c>
      <c r="G40" s="1">
        <v>5</v>
      </c>
      <c r="H40" s="1" t="s">
        <v>123</v>
      </c>
      <c r="I40" s="1" t="s">
        <v>123</v>
      </c>
      <c r="J40" s="1" t="s">
        <v>4</v>
      </c>
      <c r="K40" s="2">
        <v>3.1250003014865098E-5</v>
      </c>
      <c r="L40" s="2">
        <v>3.0828442811943902E-5</v>
      </c>
      <c r="M40" s="1">
        <v>1.13720533752541E-2</v>
      </c>
      <c r="N40" s="1">
        <v>2.7713899745280499</v>
      </c>
    </row>
    <row r="41" spans="1:14">
      <c r="A41" s="1">
        <v>40</v>
      </c>
      <c r="B41" s="1" t="s">
        <v>124</v>
      </c>
      <c r="C41" s="1" t="s">
        <v>125</v>
      </c>
      <c r="D41" s="5" t="s">
        <v>126</v>
      </c>
      <c r="E41" s="1" t="s">
        <v>124</v>
      </c>
      <c r="F41" s="7">
        <v>5</v>
      </c>
      <c r="G41" s="1">
        <v>8</v>
      </c>
      <c r="H41" s="1" t="s">
        <v>8</v>
      </c>
      <c r="I41" s="1" t="s">
        <v>8</v>
      </c>
      <c r="J41" s="1" t="s">
        <v>4</v>
      </c>
      <c r="K41" s="2">
        <v>3.1250006774180799E-5</v>
      </c>
      <c r="L41" s="2">
        <v>2.87805487697724E-5</v>
      </c>
      <c r="M41" s="1">
        <v>-2.1619558074533501E-2</v>
      </c>
      <c r="N41" s="1">
        <v>3.5764683912631101</v>
      </c>
    </row>
    <row r="42" spans="1:14">
      <c r="A42" s="1">
        <v>41</v>
      </c>
      <c r="B42" s="1" t="s">
        <v>127</v>
      </c>
      <c r="C42" s="1" t="s">
        <v>128</v>
      </c>
      <c r="D42" s="5" t="s">
        <v>129</v>
      </c>
      <c r="E42" s="1" t="s">
        <v>127</v>
      </c>
      <c r="F42" s="7">
        <v>5</v>
      </c>
      <c r="G42" s="1">
        <v>3</v>
      </c>
      <c r="H42" s="1" t="s">
        <v>8</v>
      </c>
      <c r="I42" s="1" t="s">
        <v>8</v>
      </c>
      <c r="J42" s="1" t="s">
        <v>4</v>
      </c>
      <c r="K42" s="2">
        <v>3.1250010208062498E-5</v>
      </c>
      <c r="L42" s="2">
        <v>2.7737770964355801E-5</v>
      </c>
      <c r="M42" s="1">
        <v>-1.67140352761663E-3</v>
      </c>
      <c r="N42" s="1">
        <v>3.6698111537807101</v>
      </c>
    </row>
    <row r="43" spans="1:14">
      <c r="A43" s="1">
        <v>42</v>
      </c>
      <c r="B43" s="1" t="s">
        <v>130</v>
      </c>
      <c r="C43" s="1" t="s">
        <v>131</v>
      </c>
      <c r="D43" s="5" t="s">
        <v>132</v>
      </c>
      <c r="E43" s="1" t="s">
        <v>130</v>
      </c>
      <c r="F43" s="7">
        <v>4</v>
      </c>
      <c r="G43" s="1">
        <v>4</v>
      </c>
      <c r="H43" s="1" t="s">
        <v>8</v>
      </c>
      <c r="I43" s="1" t="s">
        <v>8</v>
      </c>
      <c r="J43" s="1" t="s">
        <v>4</v>
      </c>
      <c r="K43" s="2">
        <v>3.1250006839042801E-5</v>
      </c>
      <c r="L43" s="2">
        <v>3.0901500270045097E-5</v>
      </c>
      <c r="M43" s="1">
        <v>-4.5762277704163502E-2</v>
      </c>
      <c r="N43" s="1">
        <v>2.9003462727488798</v>
      </c>
    </row>
    <row r="44" spans="1:14">
      <c r="A44" s="1">
        <v>43</v>
      </c>
      <c r="B44" s="1" t="s">
        <v>133</v>
      </c>
      <c r="C44" s="1" t="s">
        <v>134</v>
      </c>
      <c r="D44" s="5" t="s">
        <v>11</v>
      </c>
      <c r="E44" s="1" t="s">
        <v>133</v>
      </c>
      <c r="F44" s="7">
        <v>4</v>
      </c>
      <c r="G44" s="1">
        <v>4</v>
      </c>
      <c r="H44" s="1" t="s">
        <v>12</v>
      </c>
      <c r="I44" s="1" t="s">
        <v>12</v>
      </c>
      <c r="J44" s="1" t="s">
        <v>4</v>
      </c>
      <c r="K44" s="2">
        <v>3.1250007720056101E-5</v>
      </c>
      <c r="L44" s="2">
        <v>9.7821711447280592E-6</v>
      </c>
      <c r="M44" s="1">
        <v>-9.2460733577297508E-3</v>
      </c>
      <c r="N44" s="1">
        <v>3.5916591170776999</v>
      </c>
    </row>
    <row r="45" spans="1:14">
      <c r="A45" s="1">
        <v>44</v>
      </c>
      <c r="B45" s="1" t="s">
        <v>135</v>
      </c>
      <c r="C45" s="1" t="s">
        <v>136</v>
      </c>
      <c r="D45" s="5" t="s">
        <v>11</v>
      </c>
      <c r="E45" s="1" t="s">
        <v>135</v>
      </c>
      <c r="F45" s="7">
        <v>4</v>
      </c>
      <c r="G45" s="1">
        <v>4</v>
      </c>
      <c r="H45" s="1" t="s">
        <v>12</v>
      </c>
      <c r="I45" s="1" t="s">
        <v>12</v>
      </c>
      <c r="J45" s="1" t="s">
        <v>4</v>
      </c>
      <c r="K45" s="2">
        <v>3.1250014461513998E-5</v>
      </c>
      <c r="L45" s="2">
        <v>1.35155146067704E-5</v>
      </c>
      <c r="M45" s="1">
        <v>-2.9766834500282599E-2</v>
      </c>
      <c r="N45" s="1">
        <v>3.6788588228696102</v>
      </c>
    </row>
    <row r="46" spans="1:14">
      <c r="A46" s="1">
        <v>45</v>
      </c>
      <c r="B46" s="1" t="s">
        <v>137</v>
      </c>
      <c r="C46" s="1" t="s">
        <v>138</v>
      </c>
      <c r="D46" s="5" t="s">
        <v>139</v>
      </c>
      <c r="E46" s="1" t="s">
        <v>137</v>
      </c>
      <c r="F46" s="7">
        <v>5</v>
      </c>
      <c r="G46" s="1">
        <v>5</v>
      </c>
      <c r="H46" s="1" t="s">
        <v>8</v>
      </c>
      <c r="I46" s="1" t="s">
        <v>8</v>
      </c>
      <c r="J46" s="1" t="s">
        <v>4</v>
      </c>
      <c r="K46" s="2">
        <v>3.1250001844696E-5</v>
      </c>
      <c r="L46" s="2">
        <v>1.58295337474513E-5</v>
      </c>
      <c r="M46" s="1">
        <v>1.0839481025225599E-2</v>
      </c>
      <c r="N46" s="1">
        <v>3.1104669617495002</v>
      </c>
    </row>
    <row r="47" spans="1:14">
      <c r="A47" s="1">
        <v>46</v>
      </c>
      <c r="B47" s="1" t="s">
        <v>140</v>
      </c>
      <c r="C47" s="1" t="s">
        <v>141</v>
      </c>
      <c r="D47" s="5" t="s">
        <v>142</v>
      </c>
      <c r="E47" s="1" t="s">
        <v>140</v>
      </c>
      <c r="F47" s="7">
        <v>4</v>
      </c>
      <c r="G47" s="1">
        <v>2</v>
      </c>
      <c r="H47" s="1" t="s">
        <v>12</v>
      </c>
      <c r="I47" s="1" t="s">
        <v>12</v>
      </c>
      <c r="J47" s="1" t="s">
        <v>4</v>
      </c>
      <c r="K47" s="2">
        <v>3.1250017080718703E-5</v>
      </c>
      <c r="L47" s="2">
        <v>2.76488844427466E-5</v>
      </c>
      <c r="M47" s="1">
        <v>-1.1280227366507099E-2</v>
      </c>
      <c r="N47" s="1">
        <v>3.5469074085986501</v>
      </c>
    </row>
    <row r="48" spans="1:14">
      <c r="A48" s="1">
        <v>47</v>
      </c>
      <c r="B48" s="1" t="s">
        <v>143</v>
      </c>
      <c r="C48" s="1" t="s">
        <v>144</v>
      </c>
      <c r="D48" s="5" t="s">
        <v>145</v>
      </c>
      <c r="E48" s="1" t="s">
        <v>143</v>
      </c>
      <c r="F48" s="7">
        <v>4</v>
      </c>
      <c r="G48" s="1">
        <v>7</v>
      </c>
      <c r="H48" s="1" t="s">
        <v>12</v>
      </c>
      <c r="I48" s="1" t="s">
        <v>12</v>
      </c>
      <c r="J48" s="1" t="s">
        <v>4</v>
      </c>
      <c r="K48" s="2">
        <v>3.1250002003942701E-5</v>
      </c>
      <c r="L48" s="2">
        <v>2.1021326284978502E-5</v>
      </c>
      <c r="M48" s="1">
        <v>-2.4932880845540201E-2</v>
      </c>
      <c r="N48" s="1">
        <v>3.71453803842466</v>
      </c>
    </row>
    <row r="49" spans="1:14">
      <c r="A49" s="1">
        <v>48</v>
      </c>
      <c r="B49" s="1" t="s">
        <v>146</v>
      </c>
      <c r="C49" s="1" t="s">
        <v>147</v>
      </c>
      <c r="D49" s="5" t="s">
        <v>148</v>
      </c>
      <c r="E49" s="1" t="s">
        <v>146</v>
      </c>
      <c r="F49" s="7">
        <v>4</v>
      </c>
      <c r="G49" s="1">
        <v>5</v>
      </c>
      <c r="H49" s="1" t="s">
        <v>3</v>
      </c>
      <c r="I49" s="1" t="s">
        <v>3</v>
      </c>
      <c r="J49" s="1" t="s">
        <v>4</v>
      </c>
      <c r="K49" s="2">
        <v>3.1250001602619398E-5</v>
      </c>
      <c r="L49" s="2">
        <v>3.0991252776512499E-5</v>
      </c>
      <c r="M49" s="1">
        <v>3.3834254457417501E-2</v>
      </c>
      <c r="N49" s="1">
        <v>2.7594211562540298</v>
      </c>
    </row>
    <row r="50" spans="1:14">
      <c r="A50" s="1">
        <v>49</v>
      </c>
      <c r="B50" s="1" t="s">
        <v>149</v>
      </c>
      <c r="C50" s="1" t="s">
        <v>150</v>
      </c>
      <c r="D50" s="5" t="s">
        <v>151</v>
      </c>
      <c r="E50" s="1" t="s">
        <v>149</v>
      </c>
      <c r="F50" s="7">
        <v>4</v>
      </c>
      <c r="G50" s="1">
        <v>5</v>
      </c>
      <c r="H50" s="1" t="s">
        <v>68</v>
      </c>
      <c r="I50" s="1" t="s">
        <v>68</v>
      </c>
      <c r="J50" s="1" t="s">
        <v>4</v>
      </c>
      <c r="K50" s="2">
        <v>3.1249997549656402E-5</v>
      </c>
      <c r="L50" s="2">
        <v>2.6980970075871099E-5</v>
      </c>
      <c r="M50" s="1">
        <v>1.97292128969195E-3</v>
      </c>
      <c r="N50" s="1">
        <v>3.7564075292191599</v>
      </c>
    </row>
    <row r="51" spans="1:14">
      <c r="A51" s="1">
        <v>50</v>
      </c>
      <c r="B51" s="1" t="s">
        <v>152</v>
      </c>
      <c r="C51" s="1" t="s">
        <v>153</v>
      </c>
      <c r="D51" s="5" t="s">
        <v>47</v>
      </c>
      <c r="E51" s="1" t="s">
        <v>152</v>
      </c>
      <c r="F51" s="7">
        <v>4</v>
      </c>
      <c r="G51" s="1">
        <v>2</v>
      </c>
      <c r="H51" s="1" t="s">
        <v>12</v>
      </c>
      <c r="I51" s="1" t="s">
        <v>12</v>
      </c>
      <c r="J51" s="1" t="s">
        <v>4</v>
      </c>
      <c r="K51" s="2">
        <v>3.1250004511509798E-5</v>
      </c>
      <c r="L51" s="2">
        <v>1.5835484585847499E-5</v>
      </c>
      <c r="M51" s="1">
        <v>1.5749693368977798E-2</v>
      </c>
      <c r="N51" s="1">
        <v>3.5918500882152302</v>
      </c>
    </row>
    <row r="52" spans="1:14">
      <c r="A52" s="1">
        <v>51</v>
      </c>
      <c r="B52" s="1" t="s">
        <v>154</v>
      </c>
      <c r="C52" s="1" t="s">
        <v>155</v>
      </c>
      <c r="D52" s="5" t="s">
        <v>156</v>
      </c>
      <c r="E52" s="1" t="s">
        <v>154</v>
      </c>
      <c r="F52" s="7">
        <v>4</v>
      </c>
      <c r="G52" s="1">
        <v>4</v>
      </c>
      <c r="H52" s="1" t="s">
        <v>8</v>
      </c>
      <c r="I52" s="1" t="s">
        <v>8</v>
      </c>
      <c r="J52" s="1" t="s">
        <v>4</v>
      </c>
      <c r="K52" s="2">
        <v>3.12499910461531E-5</v>
      </c>
      <c r="L52" s="2">
        <v>3.1148736425718401E-5</v>
      </c>
      <c r="M52" s="1">
        <v>-1.39290172562596E-2</v>
      </c>
      <c r="N52" s="1">
        <v>2.9736027255719399</v>
      </c>
    </row>
    <row r="53" spans="1:14">
      <c r="A53" s="1">
        <v>52</v>
      </c>
      <c r="B53" s="1" t="s">
        <v>157</v>
      </c>
      <c r="C53" s="1" t="s">
        <v>158</v>
      </c>
      <c r="D53" s="5" t="s">
        <v>47</v>
      </c>
      <c r="E53" s="1" t="s">
        <v>157</v>
      </c>
      <c r="F53" s="7">
        <v>5</v>
      </c>
      <c r="G53" s="1">
        <v>2</v>
      </c>
      <c r="H53" s="1" t="s">
        <v>12</v>
      </c>
      <c r="I53" s="1" t="s">
        <v>12</v>
      </c>
      <c r="J53" s="1" t="s">
        <v>4</v>
      </c>
      <c r="K53" s="2">
        <v>3.1250007226251702E-5</v>
      </c>
      <c r="L53" s="2">
        <v>7.9608367061583207E-6</v>
      </c>
      <c r="M53" s="1">
        <v>-2.2543601268777101E-2</v>
      </c>
      <c r="N53" s="1">
        <v>3.5330015007239601</v>
      </c>
    </row>
    <row r="54" spans="1:14">
      <c r="A54" s="1">
        <v>53</v>
      </c>
      <c r="B54" s="1" t="s">
        <v>159</v>
      </c>
      <c r="C54" s="1" t="s">
        <v>160</v>
      </c>
      <c r="D54" s="5" t="s">
        <v>61</v>
      </c>
      <c r="E54" s="1" t="s">
        <v>159</v>
      </c>
      <c r="F54" s="7">
        <v>5</v>
      </c>
      <c r="G54" s="1">
        <v>2</v>
      </c>
      <c r="H54" s="1" t="s">
        <v>22</v>
      </c>
      <c r="I54" s="1" t="s">
        <v>22</v>
      </c>
      <c r="J54" s="1" t="s">
        <v>4</v>
      </c>
      <c r="K54" s="2">
        <v>3.1250001516812501E-5</v>
      </c>
      <c r="L54" s="2">
        <v>3.04858875447684E-5</v>
      </c>
      <c r="M54" s="1">
        <v>-1.9901452102047301E-2</v>
      </c>
      <c r="N54" s="1">
        <v>3.6185244116813302</v>
      </c>
    </row>
    <row r="55" spans="1:14">
      <c r="A55" s="1">
        <v>54</v>
      </c>
      <c r="B55" s="1" t="s">
        <v>161</v>
      </c>
      <c r="C55" s="1" t="s">
        <v>162</v>
      </c>
      <c r="D55" s="5" t="s">
        <v>47</v>
      </c>
      <c r="E55" s="1" t="s">
        <v>161</v>
      </c>
      <c r="F55" s="7">
        <v>5</v>
      </c>
      <c r="G55" s="1">
        <v>2</v>
      </c>
      <c r="H55" s="1" t="s">
        <v>12</v>
      </c>
      <c r="I55" s="1" t="s">
        <v>12</v>
      </c>
      <c r="J55" s="1" t="s">
        <v>4</v>
      </c>
      <c r="K55" s="2">
        <v>3.1250015254821597E-5</v>
      </c>
      <c r="L55" s="2">
        <v>2.9338077193007201E-5</v>
      </c>
      <c r="M55" s="1">
        <v>5.6176706471830996E-3</v>
      </c>
      <c r="N55" s="1">
        <v>3.7459654130040998</v>
      </c>
    </row>
    <row r="56" spans="1:14">
      <c r="A56" s="1">
        <v>55</v>
      </c>
      <c r="B56" s="1" t="s">
        <v>163</v>
      </c>
      <c r="C56" s="1" t="s">
        <v>164</v>
      </c>
      <c r="D56" s="5" t="s">
        <v>165</v>
      </c>
      <c r="E56" s="1" t="s">
        <v>163</v>
      </c>
      <c r="F56" s="7">
        <v>7</v>
      </c>
      <c r="G56" s="1">
        <v>4</v>
      </c>
      <c r="H56" s="1" t="s">
        <v>22</v>
      </c>
      <c r="I56" s="1" t="s">
        <v>22</v>
      </c>
      <c r="J56" s="1" t="s">
        <v>4</v>
      </c>
      <c r="K56" s="2">
        <v>3.1250003240345798E-5</v>
      </c>
      <c r="L56" s="2">
        <v>1.7871250633993102E-5</v>
      </c>
      <c r="M56" s="1">
        <v>-5.3646776987079604E-3</v>
      </c>
      <c r="N56" s="1">
        <v>3.6174133668090498</v>
      </c>
    </row>
    <row r="57" spans="1:14">
      <c r="A57" s="1">
        <v>56</v>
      </c>
      <c r="B57" s="1" t="s">
        <v>166</v>
      </c>
      <c r="C57" s="1" t="s">
        <v>167</v>
      </c>
      <c r="D57" s="5" t="s">
        <v>168</v>
      </c>
      <c r="E57" s="1" t="s">
        <v>166</v>
      </c>
      <c r="F57" s="7">
        <v>4</v>
      </c>
      <c r="G57" s="1">
        <v>4</v>
      </c>
      <c r="H57" s="1" t="s">
        <v>12</v>
      </c>
      <c r="I57" s="1" t="s">
        <v>12</v>
      </c>
      <c r="J57" s="1" t="s">
        <v>4</v>
      </c>
      <c r="K57" s="2">
        <v>3.12500065064882E-5</v>
      </c>
      <c r="L57" s="2">
        <v>2.13820802560058E-5</v>
      </c>
      <c r="M57" s="1">
        <v>8.0274317069495196E-4</v>
      </c>
      <c r="N57" s="1">
        <v>3.4762367620702901</v>
      </c>
    </row>
    <row r="58" spans="1:14">
      <c r="A58" s="1">
        <v>57</v>
      </c>
      <c r="B58" s="1" t="s">
        <v>169</v>
      </c>
      <c r="C58" s="1" t="s">
        <v>170</v>
      </c>
      <c r="D58" s="5" t="s">
        <v>171</v>
      </c>
      <c r="E58" s="1" t="s">
        <v>169</v>
      </c>
      <c r="F58" s="7">
        <v>4</v>
      </c>
      <c r="G58" s="1">
        <v>9</v>
      </c>
      <c r="H58" s="1" t="s">
        <v>8</v>
      </c>
      <c r="I58" s="1" t="s">
        <v>8</v>
      </c>
      <c r="J58" s="1" t="s">
        <v>4</v>
      </c>
      <c r="K58" s="2">
        <v>3.12500030290055E-5</v>
      </c>
      <c r="L58" s="2">
        <v>3.0111918646948601E-5</v>
      </c>
      <c r="M58" s="1">
        <v>-6.5252479369348705E-4</v>
      </c>
      <c r="N58" s="1">
        <v>3.2204330611529701</v>
      </c>
    </row>
    <row r="59" spans="1:14">
      <c r="A59" s="1">
        <v>58</v>
      </c>
      <c r="B59" s="1" t="s">
        <v>172</v>
      </c>
      <c r="C59" s="1" t="s">
        <v>173</v>
      </c>
      <c r="D59" s="5" t="s">
        <v>174</v>
      </c>
      <c r="E59" s="1" t="s">
        <v>172</v>
      </c>
      <c r="F59" s="7">
        <v>5</v>
      </c>
      <c r="G59" s="1">
        <v>6</v>
      </c>
      <c r="H59" s="1" t="s">
        <v>8</v>
      </c>
      <c r="I59" s="1" t="s">
        <v>8</v>
      </c>
      <c r="J59" s="1" t="s">
        <v>4</v>
      </c>
      <c r="K59" s="2">
        <v>3.1250002691309897E-5</v>
      </c>
      <c r="L59" s="2">
        <v>2.9767032799196002E-5</v>
      </c>
      <c r="M59" s="1">
        <v>-9.9728727700636403E-3</v>
      </c>
      <c r="N59" s="1">
        <v>3.68877430134618</v>
      </c>
    </row>
    <row r="60" spans="1:14">
      <c r="A60" s="1">
        <v>59</v>
      </c>
      <c r="B60" s="1" t="s">
        <v>175</v>
      </c>
      <c r="C60" s="1" t="s">
        <v>176</v>
      </c>
      <c r="D60" s="5" t="s">
        <v>177</v>
      </c>
      <c r="E60" s="1" t="s">
        <v>175</v>
      </c>
      <c r="F60" s="7">
        <v>5</v>
      </c>
      <c r="G60" s="1">
        <v>4</v>
      </c>
      <c r="H60" s="1" t="s">
        <v>8</v>
      </c>
      <c r="I60" s="1" t="s">
        <v>8</v>
      </c>
      <c r="J60" s="1" t="s">
        <v>4</v>
      </c>
      <c r="K60" s="2">
        <v>3.12500065862818E-5</v>
      </c>
      <c r="L60" s="2">
        <v>2.6972279130659699E-5</v>
      </c>
      <c r="M60" s="1">
        <v>2.5195644774485399E-2</v>
      </c>
      <c r="N60" s="1">
        <v>3.5092435971862299</v>
      </c>
    </row>
    <row r="61" spans="1:14">
      <c r="A61" s="1">
        <v>60</v>
      </c>
      <c r="B61" s="1" t="s">
        <v>178</v>
      </c>
      <c r="C61" s="1" t="s">
        <v>179</v>
      </c>
      <c r="D61" s="5" t="s">
        <v>142</v>
      </c>
      <c r="E61" s="1" t="s">
        <v>2336</v>
      </c>
      <c r="F61" s="7">
        <v>4</v>
      </c>
      <c r="G61" s="1">
        <v>2</v>
      </c>
      <c r="H61" s="1" t="s">
        <v>12</v>
      </c>
      <c r="I61" s="1" t="s">
        <v>8</v>
      </c>
      <c r="J61" s="1" t="s">
        <v>180</v>
      </c>
      <c r="K61" s="2">
        <v>3.1250004864467398E-5</v>
      </c>
      <c r="L61" s="2">
        <v>4.8764957112918901E-6</v>
      </c>
      <c r="M61" s="1">
        <v>-1.04380476877992E-2</v>
      </c>
      <c r="N61" s="1">
        <v>3.8317514086712201</v>
      </c>
    </row>
    <row r="62" spans="1:14">
      <c r="A62" s="1">
        <v>61</v>
      </c>
      <c r="B62" s="1" t="s">
        <v>181</v>
      </c>
      <c r="C62" s="1" t="s">
        <v>182</v>
      </c>
      <c r="D62" s="5" t="s">
        <v>47</v>
      </c>
      <c r="E62" s="1" t="s">
        <v>181</v>
      </c>
      <c r="F62" s="7">
        <v>4</v>
      </c>
      <c r="G62" s="1">
        <v>2</v>
      </c>
      <c r="H62" s="1" t="s">
        <v>12</v>
      </c>
      <c r="I62" s="1" t="s">
        <v>12</v>
      </c>
      <c r="J62" s="1" t="s">
        <v>4</v>
      </c>
      <c r="K62" s="2">
        <v>3.1250004839268398E-5</v>
      </c>
      <c r="L62" s="2">
        <v>6.8860539981820996E-6</v>
      </c>
      <c r="M62" s="1">
        <v>2.2922089947456899E-3</v>
      </c>
      <c r="N62" s="1">
        <v>3.59004476428</v>
      </c>
    </row>
    <row r="63" spans="1:14">
      <c r="A63" s="1">
        <v>62</v>
      </c>
      <c r="B63" s="1" t="s">
        <v>183</v>
      </c>
      <c r="C63" s="1" t="s">
        <v>184</v>
      </c>
      <c r="D63" s="5" t="s">
        <v>61</v>
      </c>
      <c r="E63" s="1" t="s">
        <v>183</v>
      </c>
      <c r="F63" s="7">
        <v>5</v>
      </c>
      <c r="G63" s="1">
        <v>2</v>
      </c>
      <c r="H63" s="1" t="s">
        <v>22</v>
      </c>
      <c r="I63" s="1" t="s">
        <v>22</v>
      </c>
      <c r="J63" s="1" t="s">
        <v>4</v>
      </c>
      <c r="K63" s="2">
        <v>3.1250003619485402E-5</v>
      </c>
      <c r="L63" s="2">
        <v>2.7583836229338599E-5</v>
      </c>
      <c r="M63" s="1">
        <v>2.8090096882635801E-3</v>
      </c>
      <c r="N63" s="1">
        <v>3.4925946650417199</v>
      </c>
    </row>
    <row r="64" spans="1:14">
      <c r="A64" s="1">
        <v>63</v>
      </c>
      <c r="B64" s="1" t="s">
        <v>185</v>
      </c>
      <c r="C64" s="1" t="s">
        <v>186</v>
      </c>
      <c r="D64" s="5" t="s">
        <v>187</v>
      </c>
      <c r="E64" s="1" t="s">
        <v>185</v>
      </c>
      <c r="F64" s="7">
        <v>4</v>
      </c>
      <c r="G64" s="1">
        <v>7</v>
      </c>
      <c r="H64" s="1" t="s">
        <v>8</v>
      </c>
      <c r="I64" s="1" t="s">
        <v>8</v>
      </c>
      <c r="J64" s="1" t="s">
        <v>4</v>
      </c>
      <c r="K64" s="2">
        <v>3.1249997996361297E-5</v>
      </c>
      <c r="L64" s="2">
        <v>7.0463757883610502E-6</v>
      </c>
      <c r="M64" s="1">
        <v>1.08382245176557E-2</v>
      </c>
      <c r="N64" s="1">
        <v>3.3903762248317402</v>
      </c>
    </row>
    <row r="65" spans="1:14">
      <c r="A65" s="1">
        <v>64</v>
      </c>
      <c r="B65" s="1" t="s">
        <v>188</v>
      </c>
      <c r="C65" s="1" t="s">
        <v>189</v>
      </c>
      <c r="D65" s="5" t="s">
        <v>190</v>
      </c>
      <c r="E65" s="1" t="s">
        <v>188</v>
      </c>
      <c r="F65" s="7">
        <v>4</v>
      </c>
      <c r="G65" s="1">
        <v>6</v>
      </c>
      <c r="H65" s="1" t="s">
        <v>8</v>
      </c>
      <c r="I65" s="1" t="s">
        <v>8</v>
      </c>
      <c r="J65" s="1" t="s">
        <v>4</v>
      </c>
      <c r="K65" s="2">
        <v>3.1250006150766102E-5</v>
      </c>
      <c r="L65" s="2">
        <v>3.1040173844228998E-5</v>
      </c>
      <c r="M65" s="1">
        <v>-1.3569813144414401E-2</v>
      </c>
      <c r="N65" s="1">
        <v>2.7168120540624399</v>
      </c>
    </row>
    <row r="66" spans="1:14">
      <c r="A66" s="1">
        <v>65</v>
      </c>
      <c r="B66" s="1" t="s">
        <v>191</v>
      </c>
      <c r="C66" s="1" t="s">
        <v>192</v>
      </c>
      <c r="D66" s="5" t="s">
        <v>193</v>
      </c>
      <c r="E66" s="1" t="s">
        <v>191</v>
      </c>
      <c r="F66" s="7">
        <v>4</v>
      </c>
      <c r="G66" s="1">
        <v>7</v>
      </c>
      <c r="H66" s="1" t="s">
        <v>8</v>
      </c>
      <c r="I66" s="1" t="s">
        <v>8</v>
      </c>
      <c r="J66" s="1" t="s">
        <v>4</v>
      </c>
      <c r="K66" s="2">
        <v>3.1250012641800998E-5</v>
      </c>
      <c r="L66" s="2">
        <v>3.0168100257369599E-5</v>
      </c>
      <c r="M66" s="1">
        <v>2.3446706016898099E-2</v>
      </c>
      <c r="N66" s="1">
        <v>2.72627884640114</v>
      </c>
    </row>
    <row r="67" spans="1:14">
      <c r="A67" s="1">
        <v>66</v>
      </c>
      <c r="B67" s="1" t="s">
        <v>194</v>
      </c>
      <c r="C67" s="1" t="s">
        <v>195</v>
      </c>
      <c r="D67" s="5" t="s">
        <v>196</v>
      </c>
      <c r="E67" s="1" t="s">
        <v>194</v>
      </c>
      <c r="F67" s="7">
        <v>4</v>
      </c>
      <c r="G67" s="1">
        <v>4</v>
      </c>
      <c r="H67" s="1" t="s">
        <v>8</v>
      </c>
      <c r="I67" s="1" t="s">
        <v>8</v>
      </c>
      <c r="J67" s="1" t="s">
        <v>4</v>
      </c>
      <c r="K67" s="2">
        <v>3.1250001354121697E-5</v>
      </c>
      <c r="L67" s="2">
        <v>3.65011424860219E-6</v>
      </c>
      <c r="M67" s="1">
        <v>4.9840765165626501E-2</v>
      </c>
      <c r="N67" s="1">
        <v>2.3117745467716699</v>
      </c>
    </row>
    <row r="68" spans="1:14">
      <c r="A68" s="1">
        <v>67</v>
      </c>
      <c r="B68" s="1" t="s">
        <v>197</v>
      </c>
      <c r="C68" s="1" t="s">
        <v>198</v>
      </c>
      <c r="D68" s="5" t="s">
        <v>199</v>
      </c>
      <c r="E68" s="1" t="s">
        <v>200</v>
      </c>
      <c r="F68" s="7">
        <v>4</v>
      </c>
      <c r="G68" s="1">
        <v>12</v>
      </c>
      <c r="H68" s="1" t="s">
        <v>8</v>
      </c>
      <c r="I68" s="1" t="s">
        <v>8</v>
      </c>
      <c r="J68" s="1" t="s">
        <v>180</v>
      </c>
      <c r="K68" s="2">
        <v>3.1250000007632703E-5</v>
      </c>
      <c r="L68" s="2">
        <v>3.4796455753448499E-6</v>
      </c>
      <c r="M68" s="1">
        <v>-2.06537833270488E-2</v>
      </c>
      <c r="N68" s="1">
        <v>3.7402350426074702</v>
      </c>
    </row>
    <row r="69" spans="1:14">
      <c r="A69" s="1">
        <v>68</v>
      </c>
      <c r="B69" s="1" t="s">
        <v>201</v>
      </c>
      <c r="C69" s="1" t="s">
        <v>202</v>
      </c>
      <c r="D69" s="5" t="s">
        <v>203</v>
      </c>
      <c r="E69" s="1" t="s">
        <v>201</v>
      </c>
      <c r="F69" s="7">
        <v>4</v>
      </c>
      <c r="G69" s="1">
        <v>6</v>
      </c>
      <c r="H69" s="1" t="s">
        <v>8</v>
      </c>
      <c r="I69" s="1" t="s">
        <v>8</v>
      </c>
      <c r="J69" s="1" t="s">
        <v>4</v>
      </c>
      <c r="K69" s="2">
        <v>3.1249994186271399E-5</v>
      </c>
      <c r="L69" s="2">
        <v>2.6323335276105498E-5</v>
      </c>
      <c r="M69" s="1">
        <v>-2.36486547117849E-2</v>
      </c>
      <c r="N69" s="1">
        <v>3.6382855524684898</v>
      </c>
    </row>
    <row r="70" spans="1:14">
      <c r="A70" s="1">
        <v>69</v>
      </c>
      <c r="B70" s="1" t="s">
        <v>204</v>
      </c>
      <c r="C70" s="1" t="s">
        <v>205</v>
      </c>
      <c r="D70" s="5" t="s">
        <v>206</v>
      </c>
      <c r="E70" s="1" t="s">
        <v>204</v>
      </c>
      <c r="F70" s="7">
        <v>4</v>
      </c>
      <c r="G70" s="1">
        <v>5</v>
      </c>
      <c r="H70" s="1" t="s">
        <v>98</v>
      </c>
      <c r="I70" s="1" t="s">
        <v>98</v>
      </c>
      <c r="J70" s="1" t="s">
        <v>4</v>
      </c>
      <c r="K70" s="2">
        <v>3.12499994426411E-5</v>
      </c>
      <c r="L70" s="2">
        <v>3.0850786776487498E-5</v>
      </c>
      <c r="M70" s="1">
        <v>-1.81880401295542E-3</v>
      </c>
      <c r="N70" s="1">
        <v>2.4849869238988802</v>
      </c>
    </row>
    <row r="71" spans="1:14">
      <c r="A71" s="1">
        <v>70</v>
      </c>
      <c r="B71" s="1" t="s">
        <v>207</v>
      </c>
      <c r="C71" s="1" t="s">
        <v>208</v>
      </c>
      <c r="D71" s="5" t="s">
        <v>209</v>
      </c>
      <c r="E71" s="1" t="s">
        <v>207</v>
      </c>
      <c r="F71" s="7">
        <v>4</v>
      </c>
      <c r="G71" s="1">
        <v>4</v>
      </c>
      <c r="H71" s="1" t="s">
        <v>22</v>
      </c>
      <c r="I71" s="1" t="s">
        <v>22</v>
      </c>
      <c r="J71" s="1" t="s">
        <v>4</v>
      </c>
      <c r="K71" s="2">
        <v>3.12499955810793E-5</v>
      </c>
      <c r="L71" s="2">
        <v>2.82230579549486E-5</v>
      </c>
      <c r="M71" s="1">
        <v>2.81001521631263E-3</v>
      </c>
      <c r="N71" s="1">
        <v>3.5627108085694101</v>
      </c>
    </row>
    <row r="72" spans="1:14">
      <c r="A72" s="1">
        <v>71</v>
      </c>
      <c r="B72" s="1" t="s">
        <v>210</v>
      </c>
      <c r="C72" s="1" t="s">
        <v>211</v>
      </c>
      <c r="D72" s="5" t="s">
        <v>212</v>
      </c>
      <c r="E72" s="1" t="s">
        <v>210</v>
      </c>
      <c r="F72" s="7">
        <v>4</v>
      </c>
      <c r="G72" s="1">
        <v>4</v>
      </c>
      <c r="H72" s="1" t="s">
        <v>8</v>
      </c>
      <c r="I72" s="1" t="s">
        <v>8</v>
      </c>
      <c r="J72" s="1" t="s">
        <v>4</v>
      </c>
      <c r="K72" s="2">
        <v>3.1250003594903198E-5</v>
      </c>
      <c r="L72" s="2">
        <v>5.0656149383074298E-6</v>
      </c>
      <c r="M72" s="1">
        <v>2.2083062246728902E-2</v>
      </c>
      <c r="N72" s="1">
        <v>3.17323553030598</v>
      </c>
    </row>
    <row r="73" spans="1:14">
      <c r="A73" s="1">
        <v>72</v>
      </c>
      <c r="B73" s="1" t="s">
        <v>213</v>
      </c>
      <c r="C73" s="1" t="s">
        <v>214</v>
      </c>
      <c r="D73" s="5" t="s">
        <v>215</v>
      </c>
      <c r="E73" s="1" t="s">
        <v>213</v>
      </c>
      <c r="F73" s="7">
        <v>4</v>
      </c>
      <c r="G73" s="1">
        <v>4</v>
      </c>
      <c r="H73" s="1" t="s">
        <v>98</v>
      </c>
      <c r="I73" s="1" t="s">
        <v>98</v>
      </c>
      <c r="J73" s="1" t="s">
        <v>4</v>
      </c>
      <c r="K73" s="2">
        <v>3.1250014871625599E-5</v>
      </c>
      <c r="L73" s="2">
        <v>2.1784744093778899E-5</v>
      </c>
      <c r="M73" s="1">
        <v>-3.9408126826565103E-2</v>
      </c>
      <c r="N73" s="1">
        <v>3.4523086995269701</v>
      </c>
    </row>
    <row r="74" spans="1:14">
      <c r="A74" s="1">
        <v>73</v>
      </c>
      <c r="B74" s="1" t="s">
        <v>216</v>
      </c>
      <c r="C74" s="1" t="s">
        <v>217</v>
      </c>
      <c r="D74" s="5" t="s">
        <v>218</v>
      </c>
      <c r="E74" s="1" t="s">
        <v>216</v>
      </c>
      <c r="F74" s="7">
        <v>6</v>
      </c>
      <c r="G74" s="1">
        <v>5</v>
      </c>
      <c r="H74" s="1" t="s">
        <v>8</v>
      </c>
      <c r="I74" s="1" t="s">
        <v>8</v>
      </c>
      <c r="J74" s="1" t="s">
        <v>4</v>
      </c>
      <c r="K74" s="2">
        <v>3.1250006482111601E-5</v>
      </c>
      <c r="L74" s="2">
        <v>2.1643055649570898E-5</v>
      </c>
      <c r="M74" s="1">
        <v>2.1247721072544499E-2</v>
      </c>
      <c r="N74" s="1">
        <v>2.7340721936288199</v>
      </c>
    </row>
    <row r="75" spans="1:14">
      <c r="A75" s="1">
        <v>74</v>
      </c>
      <c r="B75" s="1" t="s">
        <v>219</v>
      </c>
      <c r="C75" s="1" t="s">
        <v>220</v>
      </c>
      <c r="D75" s="5" t="s">
        <v>221</v>
      </c>
      <c r="E75" s="1" t="s">
        <v>219</v>
      </c>
      <c r="F75" s="7">
        <v>6</v>
      </c>
      <c r="G75" s="1">
        <v>5</v>
      </c>
      <c r="H75" s="1" t="s">
        <v>8</v>
      </c>
      <c r="I75" s="1" t="s">
        <v>8</v>
      </c>
      <c r="J75" s="1" t="s">
        <v>4</v>
      </c>
      <c r="K75" s="2">
        <v>3.1249998872930297E-5</v>
      </c>
      <c r="L75" s="2">
        <v>2.6888871670109601E-5</v>
      </c>
      <c r="M75" s="1">
        <v>-7.5779592876301597E-3</v>
      </c>
      <c r="N75" s="1">
        <v>3.7689993022438899</v>
      </c>
    </row>
    <row r="76" spans="1:14">
      <c r="A76" s="1">
        <v>75</v>
      </c>
      <c r="B76" s="1" t="s">
        <v>222</v>
      </c>
      <c r="C76" s="1" t="s">
        <v>223</v>
      </c>
      <c r="D76" s="5" t="s">
        <v>224</v>
      </c>
      <c r="E76" s="1" t="s">
        <v>222</v>
      </c>
      <c r="F76" s="7">
        <v>4</v>
      </c>
      <c r="G76" s="1">
        <v>4</v>
      </c>
      <c r="H76" s="1" t="s">
        <v>8</v>
      </c>
      <c r="I76" s="1" t="s">
        <v>8</v>
      </c>
      <c r="J76" s="1" t="s">
        <v>4</v>
      </c>
      <c r="K76" s="2">
        <v>3.1250000386259899E-5</v>
      </c>
      <c r="L76" s="2">
        <v>2.60798230742028E-5</v>
      </c>
      <c r="M76" s="1">
        <v>-3.4702966771135303E-2</v>
      </c>
      <c r="N76" s="1">
        <v>3.5208784533809099</v>
      </c>
    </row>
    <row r="77" spans="1:14">
      <c r="A77" s="1">
        <v>76</v>
      </c>
      <c r="B77" s="1" t="s">
        <v>225</v>
      </c>
      <c r="C77" s="1" t="s">
        <v>226</v>
      </c>
      <c r="D77" s="5" t="s">
        <v>227</v>
      </c>
      <c r="E77" s="1" t="s">
        <v>225</v>
      </c>
      <c r="F77" s="7">
        <v>6</v>
      </c>
      <c r="G77" s="1">
        <v>3</v>
      </c>
      <c r="H77" s="1" t="s">
        <v>8</v>
      </c>
      <c r="I77" s="1" t="s">
        <v>8</v>
      </c>
      <c r="J77" s="1" t="s">
        <v>4</v>
      </c>
      <c r="K77" s="2">
        <v>3.1250011269358602E-5</v>
      </c>
      <c r="L77" s="2">
        <v>2.0785163712164198E-5</v>
      </c>
      <c r="M77" s="1">
        <v>6.5543615295382497E-4</v>
      </c>
      <c r="N77" s="1">
        <v>3.3246855363013799</v>
      </c>
    </row>
    <row r="78" spans="1:14">
      <c r="A78" s="1">
        <v>77</v>
      </c>
      <c r="B78" s="1" t="s">
        <v>228</v>
      </c>
      <c r="C78" s="1" t="s">
        <v>229</v>
      </c>
      <c r="D78" s="5" t="s">
        <v>61</v>
      </c>
      <c r="E78" s="1" t="s">
        <v>228</v>
      </c>
      <c r="F78" s="7">
        <v>4</v>
      </c>
      <c r="G78" s="1">
        <v>2</v>
      </c>
      <c r="H78" s="1" t="s">
        <v>22</v>
      </c>
      <c r="I78" s="1" t="s">
        <v>22</v>
      </c>
      <c r="J78" s="1" t="s">
        <v>4</v>
      </c>
      <c r="K78" s="2">
        <v>3.1250006122674098E-5</v>
      </c>
      <c r="L78" s="2">
        <v>1.77673040968141E-5</v>
      </c>
      <c r="M78" s="1">
        <v>1.5689341134361701E-3</v>
      </c>
      <c r="N78" s="1">
        <v>3.48880856199137</v>
      </c>
    </row>
    <row r="79" spans="1:14">
      <c r="A79" s="1">
        <v>78</v>
      </c>
      <c r="B79" s="1" t="s">
        <v>230</v>
      </c>
      <c r="C79" s="1" t="s">
        <v>231</v>
      </c>
      <c r="D79" s="5" t="s">
        <v>168</v>
      </c>
      <c r="E79" s="1" t="s">
        <v>230</v>
      </c>
      <c r="F79" s="7">
        <v>4</v>
      </c>
      <c r="G79" s="1">
        <v>4</v>
      </c>
      <c r="H79" s="1" t="s">
        <v>3</v>
      </c>
      <c r="I79" s="1" t="s">
        <v>3</v>
      </c>
      <c r="J79" s="1" t="s">
        <v>4</v>
      </c>
      <c r="K79" s="2">
        <v>3.12500083668043E-5</v>
      </c>
      <c r="L79" s="2">
        <v>1.85260818553087E-5</v>
      </c>
      <c r="M79" s="1">
        <v>-1.48411602872329E-2</v>
      </c>
      <c r="N79" s="1">
        <v>3.61542408953563</v>
      </c>
    </row>
    <row r="80" spans="1:14">
      <c r="A80" s="1">
        <v>79</v>
      </c>
      <c r="B80" s="1" t="s">
        <v>232</v>
      </c>
      <c r="C80" s="1" t="s">
        <v>233</v>
      </c>
      <c r="D80" s="5" t="s">
        <v>61</v>
      </c>
      <c r="E80" s="1" t="s">
        <v>232</v>
      </c>
      <c r="F80" s="7">
        <v>5</v>
      </c>
      <c r="G80" s="1">
        <v>2</v>
      </c>
      <c r="H80" s="1" t="s">
        <v>22</v>
      </c>
      <c r="I80" s="1" t="s">
        <v>22</v>
      </c>
      <c r="J80" s="1" t="s">
        <v>4</v>
      </c>
      <c r="K80" s="2">
        <v>3.1249997258089102E-5</v>
      </c>
      <c r="L80" s="2">
        <v>2.2307566492387899E-5</v>
      </c>
      <c r="M80" s="1">
        <v>2.9154068741730599E-2</v>
      </c>
      <c r="N80" s="1">
        <v>3.6235477146302002</v>
      </c>
    </row>
    <row r="81" spans="1:14">
      <c r="A81" s="1">
        <v>80</v>
      </c>
      <c r="B81" s="1" t="s">
        <v>234</v>
      </c>
      <c r="C81" s="1" t="s">
        <v>235</v>
      </c>
      <c r="D81" s="5" t="s">
        <v>236</v>
      </c>
      <c r="E81" s="1" t="s">
        <v>234</v>
      </c>
      <c r="F81" s="7">
        <v>5</v>
      </c>
      <c r="G81" s="1">
        <v>5</v>
      </c>
      <c r="H81" s="1" t="s">
        <v>98</v>
      </c>
      <c r="I81" s="1" t="s">
        <v>98</v>
      </c>
      <c r="J81" s="1" t="s">
        <v>4</v>
      </c>
      <c r="K81" s="2">
        <v>3.12500090217214E-5</v>
      </c>
      <c r="L81" s="2">
        <v>3.0830110295561402E-5</v>
      </c>
      <c r="M81" s="1">
        <v>2.9755858517285402E-2</v>
      </c>
      <c r="N81" s="1">
        <v>3.0767864026343599</v>
      </c>
    </row>
    <row r="82" spans="1:14">
      <c r="A82" s="1">
        <v>81</v>
      </c>
      <c r="B82" s="1" t="s">
        <v>237</v>
      </c>
      <c r="C82" s="1" t="s">
        <v>238</v>
      </c>
      <c r="D82" s="5" t="s">
        <v>239</v>
      </c>
      <c r="E82" s="1" t="s">
        <v>237</v>
      </c>
      <c r="F82" s="7">
        <v>5</v>
      </c>
      <c r="G82" s="1">
        <v>5</v>
      </c>
      <c r="H82" s="1" t="s">
        <v>8</v>
      </c>
      <c r="I82" s="1" t="s">
        <v>8</v>
      </c>
      <c r="J82" s="1" t="s">
        <v>4</v>
      </c>
      <c r="K82" s="2">
        <v>3.1249999555423801E-5</v>
      </c>
      <c r="L82" s="2">
        <v>3.0934370615602497E-5</v>
      </c>
      <c r="M82" s="1">
        <v>-3.5017188513350499E-2</v>
      </c>
      <c r="N82" s="1">
        <v>2.56893122006562</v>
      </c>
    </row>
    <row r="83" spans="1:14">
      <c r="A83" s="1">
        <v>82</v>
      </c>
      <c r="B83" s="1" t="s">
        <v>240</v>
      </c>
      <c r="C83" s="1" t="s">
        <v>241</v>
      </c>
      <c r="D83" s="5" t="s">
        <v>242</v>
      </c>
      <c r="E83" s="1" t="s">
        <v>240</v>
      </c>
      <c r="F83" s="7">
        <v>4</v>
      </c>
      <c r="G83" s="1">
        <v>4</v>
      </c>
      <c r="H83" s="1" t="s">
        <v>98</v>
      </c>
      <c r="I83" s="1" t="s">
        <v>98</v>
      </c>
      <c r="J83" s="1" t="s">
        <v>4</v>
      </c>
      <c r="K83" s="2">
        <v>3.1250012711615703E-5</v>
      </c>
      <c r="L83" s="2">
        <v>2.5735834634140199E-5</v>
      </c>
      <c r="M83" s="1">
        <v>-3.8427368526441699E-2</v>
      </c>
      <c r="N83" s="1">
        <v>3.3623580330023999</v>
      </c>
    </row>
    <row r="84" spans="1:14">
      <c r="A84" s="1">
        <v>83</v>
      </c>
      <c r="B84" s="1" t="s">
        <v>243</v>
      </c>
      <c r="C84" s="1" t="s">
        <v>244</v>
      </c>
      <c r="D84" s="5" t="s">
        <v>245</v>
      </c>
      <c r="E84" s="1" t="s">
        <v>243</v>
      </c>
      <c r="F84" s="7">
        <v>6</v>
      </c>
      <c r="G84" s="1">
        <v>5</v>
      </c>
      <c r="H84" s="1" t="s">
        <v>8</v>
      </c>
      <c r="I84" s="1" t="s">
        <v>8</v>
      </c>
      <c r="J84" s="1" t="s">
        <v>4</v>
      </c>
      <c r="K84" s="2">
        <v>3.1250002526739201E-5</v>
      </c>
      <c r="L84" s="2">
        <v>2.8439828534692501E-5</v>
      </c>
      <c r="M84" s="1">
        <v>-6.6419393401175803E-3</v>
      </c>
      <c r="N84" s="1">
        <v>3.6762419077992199</v>
      </c>
    </row>
    <row r="85" spans="1:14">
      <c r="A85" s="1">
        <v>84</v>
      </c>
      <c r="B85" s="1" t="s">
        <v>246</v>
      </c>
      <c r="C85" s="1" t="s">
        <v>247</v>
      </c>
      <c r="D85" s="5" t="s">
        <v>248</v>
      </c>
      <c r="E85" s="1" t="s">
        <v>246</v>
      </c>
      <c r="F85" s="7">
        <v>8</v>
      </c>
      <c r="G85" s="1">
        <v>3</v>
      </c>
      <c r="H85" s="1" t="s">
        <v>8</v>
      </c>
      <c r="I85" s="1" t="s">
        <v>8</v>
      </c>
      <c r="J85" s="1" t="s">
        <v>4</v>
      </c>
      <c r="K85" s="2">
        <v>3.1250002596575801E-5</v>
      </c>
      <c r="L85" s="2">
        <v>2.46079946618148E-5</v>
      </c>
      <c r="M85" s="1">
        <v>1.71973758547849E-2</v>
      </c>
      <c r="N85" s="1">
        <v>2.9479530924956499</v>
      </c>
    </row>
    <row r="86" spans="1:14">
      <c r="A86" s="1">
        <v>85</v>
      </c>
      <c r="B86" s="1" t="s">
        <v>249</v>
      </c>
      <c r="C86" s="1" t="s">
        <v>250</v>
      </c>
      <c r="D86" s="5" t="s">
        <v>251</v>
      </c>
      <c r="E86" s="1" t="s">
        <v>249</v>
      </c>
      <c r="F86" s="7">
        <v>7</v>
      </c>
      <c r="G86" s="1">
        <v>5</v>
      </c>
      <c r="H86" s="1" t="s">
        <v>68</v>
      </c>
      <c r="I86" s="1" t="s">
        <v>68</v>
      </c>
      <c r="J86" s="1" t="s">
        <v>4</v>
      </c>
      <c r="K86" s="2">
        <v>3.1250015322999902E-5</v>
      </c>
      <c r="L86" s="2">
        <v>3.0399101383638499E-5</v>
      </c>
      <c r="M86" s="1">
        <v>7.6762584277254497E-3</v>
      </c>
      <c r="N86" s="1">
        <v>3.6249404225933701</v>
      </c>
    </row>
    <row r="87" spans="1:14">
      <c r="A87" s="1">
        <v>86</v>
      </c>
      <c r="B87" s="1" t="s">
        <v>252</v>
      </c>
      <c r="C87" s="1" t="s">
        <v>253</v>
      </c>
      <c r="D87" s="5" t="s">
        <v>254</v>
      </c>
      <c r="E87" s="1" t="s">
        <v>252</v>
      </c>
      <c r="F87" s="7">
        <v>4</v>
      </c>
      <c r="G87" s="1">
        <v>7</v>
      </c>
      <c r="H87" s="1" t="s">
        <v>98</v>
      </c>
      <c r="I87" s="1" t="s">
        <v>98</v>
      </c>
      <c r="J87" s="1" t="s">
        <v>4</v>
      </c>
      <c r="K87" s="2">
        <v>3.12500002782732E-5</v>
      </c>
      <c r="L87" s="2">
        <v>6.78582335120393E-6</v>
      </c>
      <c r="M87" s="1">
        <v>-4.3837059039399898E-2</v>
      </c>
      <c r="N87" s="1">
        <v>3.3300171311443298</v>
      </c>
    </row>
    <row r="88" spans="1:14">
      <c r="A88" s="1">
        <v>87</v>
      </c>
      <c r="B88" s="1" t="s">
        <v>255</v>
      </c>
      <c r="C88" s="1" t="s">
        <v>256</v>
      </c>
      <c r="D88" s="5" t="s">
        <v>257</v>
      </c>
      <c r="E88" s="1" t="s">
        <v>255</v>
      </c>
      <c r="F88" s="7">
        <v>4</v>
      </c>
      <c r="G88" s="1">
        <v>3</v>
      </c>
      <c r="H88" s="1" t="s">
        <v>12</v>
      </c>
      <c r="I88" s="1" t="s">
        <v>12</v>
      </c>
      <c r="J88" s="1" t="s">
        <v>4</v>
      </c>
      <c r="K88" s="2">
        <v>3.1250011047747001E-5</v>
      </c>
      <c r="L88" s="2">
        <v>3.0247498577565999E-5</v>
      </c>
      <c r="M88" s="1">
        <v>6.7151045410867001E-3</v>
      </c>
      <c r="N88" s="1">
        <v>3.73204523901124</v>
      </c>
    </row>
    <row r="89" spans="1:14">
      <c r="A89" s="1">
        <v>88</v>
      </c>
      <c r="B89" s="1" t="s">
        <v>258</v>
      </c>
      <c r="C89" s="1" t="s">
        <v>259</v>
      </c>
      <c r="D89" s="5" t="s">
        <v>61</v>
      </c>
      <c r="E89" s="1" t="s">
        <v>258</v>
      </c>
      <c r="F89" s="7">
        <v>8</v>
      </c>
      <c r="G89" s="1">
        <v>2</v>
      </c>
      <c r="H89" s="1" t="s">
        <v>22</v>
      </c>
      <c r="I89" s="1" t="s">
        <v>22</v>
      </c>
      <c r="J89" s="1" t="s">
        <v>4</v>
      </c>
      <c r="K89" s="2">
        <v>3.1250002117651297E-5</v>
      </c>
      <c r="L89" s="2">
        <v>2.9922205275023998E-5</v>
      </c>
      <c r="M89" s="1">
        <v>-4.6195985812147403E-3</v>
      </c>
      <c r="N89" s="1">
        <v>3.6350003487012601</v>
      </c>
    </row>
    <row r="90" spans="1:14">
      <c r="A90" s="1">
        <v>89</v>
      </c>
      <c r="B90" s="1" t="s">
        <v>260</v>
      </c>
      <c r="C90" s="1" t="s">
        <v>261</v>
      </c>
      <c r="D90" s="5" t="s">
        <v>262</v>
      </c>
      <c r="E90" s="1" t="s">
        <v>260</v>
      </c>
      <c r="F90" s="7">
        <v>5</v>
      </c>
      <c r="G90" s="1">
        <v>4</v>
      </c>
      <c r="H90" s="1" t="s">
        <v>8</v>
      </c>
      <c r="I90" s="1" t="s">
        <v>8</v>
      </c>
      <c r="J90" s="1" t="s">
        <v>4</v>
      </c>
      <c r="K90" s="2">
        <v>3.1250004333386698E-5</v>
      </c>
      <c r="L90" s="2">
        <v>3.08209804279887E-5</v>
      </c>
      <c r="M90" s="1">
        <v>-1.6237802533908E-2</v>
      </c>
      <c r="N90" s="1">
        <v>2.49324365877133</v>
      </c>
    </row>
    <row r="91" spans="1:14">
      <c r="A91" s="1">
        <v>90</v>
      </c>
      <c r="B91" s="1" t="s">
        <v>263</v>
      </c>
      <c r="C91" s="1" t="s">
        <v>264</v>
      </c>
      <c r="D91" s="5" t="s">
        <v>61</v>
      </c>
      <c r="E91" s="1" t="s">
        <v>263</v>
      </c>
      <c r="F91" s="7">
        <v>5</v>
      </c>
      <c r="G91" s="1">
        <v>2</v>
      </c>
      <c r="H91" s="1" t="s">
        <v>22</v>
      </c>
      <c r="I91" s="1" t="s">
        <v>22</v>
      </c>
      <c r="J91" s="1" t="s">
        <v>4</v>
      </c>
      <c r="K91" s="2">
        <v>3.1249996170609101E-5</v>
      </c>
      <c r="L91" s="2">
        <v>2.64551018372145E-5</v>
      </c>
      <c r="M91" s="1">
        <v>-1.2261817948864199E-3</v>
      </c>
      <c r="N91" s="1">
        <v>3.66913925699511</v>
      </c>
    </row>
    <row r="92" spans="1:14">
      <c r="A92" s="1">
        <v>91</v>
      </c>
      <c r="B92" s="1" t="s">
        <v>265</v>
      </c>
      <c r="C92" s="1" t="s">
        <v>266</v>
      </c>
      <c r="D92" s="5" t="s">
        <v>47</v>
      </c>
      <c r="E92" s="1" t="s">
        <v>265</v>
      </c>
      <c r="F92" s="7">
        <v>4</v>
      </c>
      <c r="G92" s="1">
        <v>2</v>
      </c>
      <c r="H92" s="1" t="s">
        <v>12</v>
      </c>
      <c r="I92" s="1" t="s">
        <v>12</v>
      </c>
      <c r="J92" s="1" t="s">
        <v>4</v>
      </c>
      <c r="K92" s="2">
        <v>3.1249997714461102E-5</v>
      </c>
      <c r="L92" s="2">
        <v>6.80926643216511E-6</v>
      </c>
      <c r="M92" s="1">
        <v>1.9020045781957099E-2</v>
      </c>
      <c r="N92" s="1">
        <v>3.6988751012782002</v>
      </c>
    </row>
    <row r="93" spans="1:14">
      <c r="A93" s="1">
        <v>92</v>
      </c>
      <c r="B93" s="1" t="s">
        <v>267</v>
      </c>
      <c r="C93" s="1" t="s">
        <v>268</v>
      </c>
      <c r="D93" s="5" t="s">
        <v>269</v>
      </c>
      <c r="E93" s="1" t="s">
        <v>267</v>
      </c>
      <c r="F93" s="7">
        <v>4</v>
      </c>
      <c r="G93" s="1">
        <v>4</v>
      </c>
      <c r="H93" s="1" t="s">
        <v>68</v>
      </c>
      <c r="I93" s="1" t="s">
        <v>68</v>
      </c>
      <c r="J93" s="1" t="s">
        <v>4</v>
      </c>
      <c r="K93" s="2">
        <v>3.12499999971509E-5</v>
      </c>
      <c r="L93" s="2">
        <v>2.9105372518518999E-5</v>
      </c>
      <c r="M93" s="1">
        <v>-1.9719755666443399E-2</v>
      </c>
      <c r="N93" s="1">
        <v>3.66975929366486</v>
      </c>
    </row>
    <row r="94" spans="1:14">
      <c r="A94" s="1">
        <v>93</v>
      </c>
      <c r="B94" s="1" t="s">
        <v>270</v>
      </c>
      <c r="C94" s="1" t="s">
        <v>271</v>
      </c>
      <c r="D94" s="5" t="s">
        <v>61</v>
      </c>
      <c r="E94" s="1" t="s">
        <v>270</v>
      </c>
      <c r="F94" s="7">
        <v>5</v>
      </c>
      <c r="G94" s="1">
        <v>2</v>
      </c>
      <c r="H94" s="1" t="s">
        <v>22</v>
      </c>
      <c r="I94" s="1" t="s">
        <v>22</v>
      </c>
      <c r="J94" s="1" t="s">
        <v>4</v>
      </c>
      <c r="K94" s="2">
        <v>3.1250005770696198E-5</v>
      </c>
      <c r="L94" s="2">
        <v>2.8313745410808699E-5</v>
      </c>
      <c r="M94" s="1">
        <v>-2.1025317273668499E-2</v>
      </c>
      <c r="N94" s="1">
        <v>3.5439891666846699</v>
      </c>
    </row>
    <row r="95" spans="1:14">
      <c r="A95" s="1">
        <v>94</v>
      </c>
      <c r="B95" s="1" t="s">
        <v>272</v>
      </c>
      <c r="C95" s="1" t="s">
        <v>273</v>
      </c>
      <c r="D95" s="5" t="s">
        <v>274</v>
      </c>
      <c r="E95" s="1" t="s">
        <v>272</v>
      </c>
      <c r="F95" s="7">
        <v>5</v>
      </c>
      <c r="G95" s="1">
        <v>4</v>
      </c>
      <c r="H95" s="1" t="s">
        <v>3</v>
      </c>
      <c r="I95" s="1" t="s">
        <v>3</v>
      </c>
      <c r="J95" s="1" t="s">
        <v>4</v>
      </c>
      <c r="K95" s="2">
        <v>3.1250010395114098E-5</v>
      </c>
      <c r="L95" s="2">
        <v>2.90730049744625E-5</v>
      </c>
      <c r="M95" s="1">
        <v>3.5337780462825199E-3</v>
      </c>
      <c r="N95" s="1">
        <v>3.6247026560572699</v>
      </c>
    </row>
    <row r="96" spans="1:14">
      <c r="A96" s="1">
        <v>95</v>
      </c>
      <c r="B96" s="1" t="s">
        <v>275</v>
      </c>
      <c r="C96" s="1" t="s">
        <v>276</v>
      </c>
      <c r="D96" s="5" t="s">
        <v>277</v>
      </c>
      <c r="E96" s="1" t="s">
        <v>275</v>
      </c>
      <c r="F96" s="7">
        <v>6</v>
      </c>
      <c r="G96" s="1">
        <v>5</v>
      </c>
      <c r="H96" s="1" t="s">
        <v>8</v>
      </c>
      <c r="I96" s="1" t="s">
        <v>8</v>
      </c>
      <c r="J96" s="1" t="s">
        <v>4</v>
      </c>
      <c r="K96" s="2">
        <v>3.1249999579601801E-5</v>
      </c>
      <c r="L96" s="2">
        <v>2.70342559782414E-5</v>
      </c>
      <c r="M96" s="1">
        <v>-2.1887495859793601E-2</v>
      </c>
      <c r="N96" s="1">
        <v>3.7949122678776099</v>
      </c>
    </row>
    <row r="97" spans="1:14">
      <c r="A97" s="1">
        <v>96</v>
      </c>
      <c r="B97" s="1" t="s">
        <v>278</v>
      </c>
      <c r="C97" s="1" t="s">
        <v>279</v>
      </c>
      <c r="D97" s="5" t="s">
        <v>280</v>
      </c>
      <c r="E97" s="1" t="s">
        <v>278</v>
      </c>
      <c r="F97" s="7">
        <v>6</v>
      </c>
      <c r="G97" s="1">
        <v>5</v>
      </c>
      <c r="H97" s="1" t="s">
        <v>8</v>
      </c>
      <c r="I97" s="1" t="s">
        <v>8</v>
      </c>
      <c r="J97" s="1" t="s">
        <v>4</v>
      </c>
      <c r="K97" s="2">
        <v>3.1249999335073797E-5</v>
      </c>
      <c r="L97" s="2">
        <v>2.9916710299165801E-5</v>
      </c>
      <c r="M97" s="1">
        <v>4.3300453544006202E-3</v>
      </c>
      <c r="N97" s="1">
        <v>3.6675488971968</v>
      </c>
    </row>
    <row r="98" spans="1:14">
      <c r="A98" s="1">
        <v>97</v>
      </c>
      <c r="B98" s="1" t="s">
        <v>281</v>
      </c>
      <c r="C98" s="1" t="s">
        <v>282</v>
      </c>
      <c r="D98" s="5" t="s">
        <v>283</v>
      </c>
      <c r="E98" s="1" t="s">
        <v>281</v>
      </c>
      <c r="F98" s="7">
        <v>4</v>
      </c>
      <c r="G98" s="1">
        <v>2</v>
      </c>
      <c r="H98" s="1" t="s">
        <v>12</v>
      </c>
      <c r="I98" s="1" t="s">
        <v>12</v>
      </c>
      <c r="J98" s="1" t="s">
        <v>4</v>
      </c>
      <c r="K98" s="2">
        <v>3.1250013962143501E-5</v>
      </c>
      <c r="L98" s="2">
        <v>2.5795321844896501E-5</v>
      </c>
      <c r="M98" s="1">
        <v>-1.0033396890491899E-3</v>
      </c>
      <c r="N98" s="1">
        <v>3.80452305468024</v>
      </c>
    </row>
    <row r="99" spans="1:14">
      <c r="A99" s="1">
        <v>98</v>
      </c>
      <c r="B99" s="1" t="s">
        <v>284</v>
      </c>
      <c r="C99" s="1" t="s">
        <v>285</v>
      </c>
      <c r="D99" s="5" t="s">
        <v>286</v>
      </c>
      <c r="E99" s="1" t="s">
        <v>284</v>
      </c>
      <c r="F99" s="7">
        <v>4</v>
      </c>
      <c r="G99" s="1">
        <v>3</v>
      </c>
      <c r="H99" s="1" t="s">
        <v>68</v>
      </c>
      <c r="I99" s="1" t="s">
        <v>68</v>
      </c>
      <c r="J99" s="1" t="s">
        <v>4</v>
      </c>
      <c r="K99" s="2">
        <v>3.1250007711043901E-5</v>
      </c>
      <c r="L99" s="2">
        <v>2.86432443904643E-5</v>
      </c>
      <c r="M99" s="1">
        <v>1.523213494022E-2</v>
      </c>
      <c r="N99" s="1">
        <v>3.5436343918316502</v>
      </c>
    </row>
    <row r="100" spans="1:14">
      <c r="A100" s="1">
        <v>99</v>
      </c>
      <c r="B100" s="1" t="s">
        <v>287</v>
      </c>
      <c r="C100" s="1" t="s">
        <v>288</v>
      </c>
      <c r="D100" s="5" t="s">
        <v>289</v>
      </c>
      <c r="E100" s="1" t="s">
        <v>287</v>
      </c>
      <c r="F100" s="7">
        <v>6</v>
      </c>
      <c r="G100" s="1">
        <v>4</v>
      </c>
      <c r="H100" s="1" t="s">
        <v>8</v>
      </c>
      <c r="I100" s="1" t="s">
        <v>8</v>
      </c>
      <c r="J100" s="1" t="s">
        <v>4</v>
      </c>
      <c r="K100" s="2">
        <v>3.1249999863057297E-5</v>
      </c>
      <c r="L100" s="2">
        <v>2.8243424864219798E-5</v>
      </c>
      <c r="M100" s="1">
        <v>6.1589095967633503E-3</v>
      </c>
      <c r="N100" s="1">
        <v>2.6011856501239201</v>
      </c>
    </row>
    <row r="101" spans="1:14">
      <c r="A101" s="1">
        <v>100</v>
      </c>
      <c r="B101" s="1" t="s">
        <v>290</v>
      </c>
      <c r="C101" s="1" t="s">
        <v>291</v>
      </c>
      <c r="D101" s="5" t="s">
        <v>292</v>
      </c>
      <c r="E101" s="1" t="s">
        <v>290</v>
      </c>
      <c r="F101" s="7">
        <v>6</v>
      </c>
      <c r="G101" s="1">
        <v>4</v>
      </c>
      <c r="H101" s="1" t="s">
        <v>8</v>
      </c>
      <c r="I101" s="1" t="s">
        <v>8</v>
      </c>
      <c r="J101" s="1" t="s">
        <v>4</v>
      </c>
      <c r="K101" s="2">
        <v>3.12500023021557E-5</v>
      </c>
      <c r="L101" s="2">
        <v>2.9829824313122001E-5</v>
      </c>
      <c r="M101" s="1">
        <v>-1.0046145930004901E-2</v>
      </c>
      <c r="N101" s="1">
        <v>3.7027170728727299</v>
      </c>
    </row>
    <row r="102" spans="1:14">
      <c r="A102" s="1">
        <v>101</v>
      </c>
      <c r="B102" s="1" t="s">
        <v>293</v>
      </c>
      <c r="C102" s="1" t="s">
        <v>294</v>
      </c>
      <c r="D102" s="5" t="s">
        <v>295</v>
      </c>
      <c r="E102" s="1" t="s">
        <v>293</v>
      </c>
      <c r="F102" s="7">
        <v>5</v>
      </c>
      <c r="G102" s="1">
        <v>5</v>
      </c>
      <c r="H102" s="1" t="s">
        <v>8</v>
      </c>
      <c r="I102" s="1" t="s">
        <v>8</v>
      </c>
      <c r="J102" s="1" t="s">
        <v>4</v>
      </c>
      <c r="K102" s="2">
        <v>3.1249998415644097E-5</v>
      </c>
      <c r="L102" s="2">
        <v>1.3524093374164999E-5</v>
      </c>
      <c r="M102" s="1">
        <v>-1.27981132637202E-2</v>
      </c>
      <c r="N102" s="1">
        <v>3.0156523226227701</v>
      </c>
    </row>
    <row r="103" spans="1:14">
      <c r="A103" s="1">
        <v>102</v>
      </c>
      <c r="B103" s="1" t="s">
        <v>296</v>
      </c>
      <c r="C103" s="1" t="s">
        <v>297</v>
      </c>
      <c r="D103" s="5" t="s">
        <v>298</v>
      </c>
      <c r="E103" s="1" t="s">
        <v>296</v>
      </c>
      <c r="F103" s="7">
        <v>5</v>
      </c>
      <c r="G103" s="1">
        <v>6</v>
      </c>
      <c r="H103" s="1" t="s">
        <v>8</v>
      </c>
      <c r="I103" s="1" t="s">
        <v>8</v>
      </c>
      <c r="J103" s="1" t="s">
        <v>4</v>
      </c>
      <c r="K103" s="2">
        <v>3.1250012342551E-5</v>
      </c>
      <c r="L103" s="2">
        <v>2.9351374820164798E-5</v>
      </c>
      <c r="M103" s="1">
        <v>-1.10909899766795E-2</v>
      </c>
      <c r="N103" s="1">
        <v>3.3167442093325099</v>
      </c>
    </row>
    <row r="104" spans="1:14">
      <c r="A104" s="1">
        <v>103</v>
      </c>
      <c r="B104" s="1" t="s">
        <v>299</v>
      </c>
      <c r="C104" s="1" t="s">
        <v>300</v>
      </c>
      <c r="D104" s="5" t="s">
        <v>301</v>
      </c>
      <c r="E104" s="1" t="s">
        <v>299</v>
      </c>
      <c r="F104" s="7">
        <v>4</v>
      </c>
      <c r="G104" s="1">
        <v>5</v>
      </c>
      <c r="H104" s="1" t="s">
        <v>68</v>
      </c>
      <c r="I104" s="1" t="s">
        <v>68</v>
      </c>
      <c r="J104" s="1" t="s">
        <v>4</v>
      </c>
      <c r="K104" s="2">
        <v>3.12499935894616E-5</v>
      </c>
      <c r="L104" s="2">
        <v>2.1376815484447199E-5</v>
      </c>
      <c r="M104" s="1">
        <v>-4.5915251079122702E-3</v>
      </c>
      <c r="N104" s="1">
        <v>3.3196855443666502</v>
      </c>
    </row>
    <row r="105" spans="1:14">
      <c r="A105" s="1">
        <v>104</v>
      </c>
      <c r="B105" s="1" t="s">
        <v>302</v>
      </c>
      <c r="C105" s="1" t="s">
        <v>303</v>
      </c>
      <c r="D105" s="5" t="s">
        <v>304</v>
      </c>
      <c r="E105" s="1" t="s">
        <v>302</v>
      </c>
      <c r="F105" s="7">
        <v>4</v>
      </c>
      <c r="G105" s="1">
        <v>5</v>
      </c>
      <c r="H105" s="1" t="s">
        <v>98</v>
      </c>
      <c r="I105" s="1" t="s">
        <v>98</v>
      </c>
      <c r="J105" s="1" t="s">
        <v>4</v>
      </c>
      <c r="K105" s="2">
        <v>3.1250001038507097E-5</v>
      </c>
      <c r="L105" s="2">
        <v>3.1105387136584401E-5</v>
      </c>
      <c r="M105" s="1">
        <v>2.9746379197732101E-2</v>
      </c>
      <c r="N105" s="1">
        <v>2.9119387126924399</v>
      </c>
    </row>
    <row r="106" spans="1:14">
      <c r="A106" s="1">
        <v>105</v>
      </c>
      <c r="B106" s="1" t="s">
        <v>305</v>
      </c>
      <c r="C106" s="1" t="s">
        <v>306</v>
      </c>
      <c r="D106" s="5" t="s">
        <v>307</v>
      </c>
      <c r="E106" s="1" t="s">
        <v>305</v>
      </c>
      <c r="F106" s="7">
        <v>6</v>
      </c>
      <c r="G106" s="1">
        <v>11</v>
      </c>
      <c r="H106" s="1" t="s">
        <v>8</v>
      </c>
      <c r="I106" s="1" t="s">
        <v>8</v>
      </c>
      <c r="J106" s="1" t="s">
        <v>4</v>
      </c>
      <c r="K106" s="2">
        <v>3.1250004102836798E-5</v>
      </c>
      <c r="L106" s="2">
        <v>2.77405818398543E-5</v>
      </c>
      <c r="M106" s="1">
        <v>1.8609286288047099E-2</v>
      </c>
      <c r="N106" s="1">
        <v>2.81294985245898</v>
      </c>
    </row>
    <row r="107" spans="1:14">
      <c r="A107" s="1">
        <v>106</v>
      </c>
      <c r="B107" s="1" t="s">
        <v>308</v>
      </c>
      <c r="C107" s="1" t="s">
        <v>309</v>
      </c>
      <c r="D107" s="5" t="s">
        <v>310</v>
      </c>
      <c r="E107" s="1" t="s">
        <v>308</v>
      </c>
      <c r="F107" s="7">
        <v>5</v>
      </c>
      <c r="G107" s="1">
        <v>7</v>
      </c>
      <c r="H107" s="1" t="s">
        <v>98</v>
      </c>
      <c r="I107" s="1" t="s">
        <v>98</v>
      </c>
      <c r="J107" s="1" t="s">
        <v>4</v>
      </c>
      <c r="K107" s="2">
        <v>3.1249998205069301E-5</v>
      </c>
      <c r="L107" s="2">
        <v>1.62594346745341E-5</v>
      </c>
      <c r="M107" s="1">
        <v>-1.500709128468E-2</v>
      </c>
      <c r="N107" s="1">
        <v>3.3506179809225598</v>
      </c>
    </row>
    <row r="108" spans="1:14">
      <c r="A108" s="1">
        <v>107</v>
      </c>
      <c r="B108" s="1" t="s">
        <v>311</v>
      </c>
      <c r="C108" s="1" t="s">
        <v>312</v>
      </c>
      <c r="D108" s="5" t="s">
        <v>313</v>
      </c>
      <c r="E108" s="1" t="s">
        <v>311</v>
      </c>
      <c r="F108" s="7">
        <v>5</v>
      </c>
      <c r="G108" s="1">
        <v>4</v>
      </c>
      <c r="H108" s="1" t="s">
        <v>8</v>
      </c>
      <c r="I108" s="1" t="s">
        <v>8</v>
      </c>
      <c r="J108" s="1" t="s">
        <v>4</v>
      </c>
      <c r="K108" s="2">
        <v>3.12499916621596E-5</v>
      </c>
      <c r="L108" s="2">
        <v>2.8013242409886598E-5</v>
      </c>
      <c r="M108" s="1">
        <v>-2.7436699529587799E-2</v>
      </c>
      <c r="N108" s="1">
        <v>3.7885899299013102</v>
      </c>
    </row>
    <row r="109" spans="1:14">
      <c r="A109" s="1">
        <v>108</v>
      </c>
      <c r="B109" s="1" t="s">
        <v>314</v>
      </c>
      <c r="C109" s="1" t="s">
        <v>315</v>
      </c>
      <c r="D109" s="5" t="s">
        <v>316</v>
      </c>
      <c r="E109" s="1" t="s">
        <v>314</v>
      </c>
      <c r="F109" s="7">
        <v>4</v>
      </c>
      <c r="G109" s="1">
        <v>6</v>
      </c>
      <c r="H109" s="1" t="s">
        <v>8</v>
      </c>
      <c r="I109" s="1" t="s">
        <v>8</v>
      </c>
      <c r="J109" s="1" t="s">
        <v>4</v>
      </c>
      <c r="K109" s="2">
        <v>3.1250006249835597E-5</v>
      </c>
      <c r="L109" s="2">
        <v>2.3946252228799598E-6</v>
      </c>
      <c r="M109" s="1">
        <v>2.2451691278092701E-2</v>
      </c>
      <c r="N109" s="1">
        <v>2.7321108885343399</v>
      </c>
    </row>
    <row r="110" spans="1:14">
      <c r="A110" s="1">
        <v>109</v>
      </c>
      <c r="B110" s="1" t="s">
        <v>317</v>
      </c>
      <c r="C110" s="1" t="s">
        <v>318</v>
      </c>
      <c r="D110" s="5" t="s">
        <v>168</v>
      </c>
      <c r="E110" s="1" t="s">
        <v>317</v>
      </c>
      <c r="F110" s="7">
        <v>5</v>
      </c>
      <c r="G110" s="1">
        <v>4</v>
      </c>
      <c r="H110" s="1" t="s">
        <v>3</v>
      </c>
      <c r="I110" s="1" t="s">
        <v>3</v>
      </c>
      <c r="J110" s="1" t="s">
        <v>4</v>
      </c>
      <c r="K110" s="2">
        <v>3.1250017918303398E-5</v>
      </c>
      <c r="L110" s="2">
        <v>2.8686992191902399E-5</v>
      </c>
      <c r="M110" s="1">
        <v>-5.2627358911632102E-3</v>
      </c>
      <c r="N110" s="1">
        <v>3.6454702011774001</v>
      </c>
    </row>
    <row r="111" spans="1:14">
      <c r="A111" s="1">
        <v>110</v>
      </c>
      <c r="B111" s="1" t="s">
        <v>319</v>
      </c>
      <c r="C111" s="1" t="s">
        <v>320</v>
      </c>
      <c r="D111" s="5" t="s">
        <v>295</v>
      </c>
      <c r="E111" s="1" t="s">
        <v>319</v>
      </c>
      <c r="F111" s="7">
        <v>5</v>
      </c>
      <c r="G111" s="1">
        <v>5</v>
      </c>
      <c r="H111" s="1" t="s">
        <v>8</v>
      </c>
      <c r="I111" s="1" t="s">
        <v>8</v>
      </c>
      <c r="J111" s="1" t="s">
        <v>4</v>
      </c>
      <c r="K111" s="2">
        <v>3.1250010285275202E-5</v>
      </c>
      <c r="L111" s="2">
        <v>2.6542703888333698E-5</v>
      </c>
      <c r="M111" s="1">
        <v>-3.5696954663396903E-2</v>
      </c>
      <c r="N111" s="1">
        <v>3.4571818288261902</v>
      </c>
    </row>
    <row r="112" spans="1:14">
      <c r="A112" s="1">
        <v>111</v>
      </c>
      <c r="B112" s="1" t="s">
        <v>321</v>
      </c>
      <c r="C112" s="1" t="s">
        <v>322</v>
      </c>
      <c r="D112" s="5" t="s">
        <v>323</v>
      </c>
      <c r="E112" s="1" t="s">
        <v>321</v>
      </c>
      <c r="F112" s="7">
        <v>7</v>
      </c>
      <c r="G112" s="1">
        <v>4</v>
      </c>
      <c r="H112" s="1" t="s">
        <v>98</v>
      </c>
      <c r="I112" s="1" t="s">
        <v>98</v>
      </c>
      <c r="J112" s="1" t="s">
        <v>4</v>
      </c>
      <c r="K112" s="2">
        <v>3.1250008088511998E-5</v>
      </c>
      <c r="L112" s="2">
        <v>3.1130865577496202E-5</v>
      </c>
      <c r="M112" s="1">
        <v>3.9611797989969902E-2</v>
      </c>
      <c r="N112" s="1">
        <v>2.1658288168533901</v>
      </c>
    </row>
    <row r="113" spans="1:14">
      <c r="A113" s="1">
        <v>112</v>
      </c>
      <c r="B113" s="1" t="s">
        <v>324</v>
      </c>
      <c r="C113" s="1" t="s">
        <v>325</v>
      </c>
      <c r="D113" s="5" t="s">
        <v>11</v>
      </c>
      <c r="E113" s="1" t="s">
        <v>324</v>
      </c>
      <c r="F113" s="7">
        <v>4</v>
      </c>
      <c r="G113" s="1">
        <v>4</v>
      </c>
      <c r="H113" s="1" t="s">
        <v>12</v>
      </c>
      <c r="I113" s="1" t="s">
        <v>12</v>
      </c>
      <c r="J113" s="1" t="s">
        <v>4</v>
      </c>
      <c r="K113" s="2">
        <v>3.1250009242997102E-5</v>
      </c>
      <c r="L113" s="2">
        <v>1.6616625025234099E-5</v>
      </c>
      <c r="M113" s="1">
        <v>-1.2067719787852401E-2</v>
      </c>
      <c r="N113" s="1">
        <v>3.7496087194251899</v>
      </c>
    </row>
    <row r="114" spans="1:14">
      <c r="A114" s="1">
        <v>113</v>
      </c>
      <c r="B114" s="1" t="s">
        <v>326</v>
      </c>
      <c r="C114" s="1" t="s">
        <v>327</v>
      </c>
      <c r="D114" s="5" t="s">
        <v>328</v>
      </c>
      <c r="E114" s="1" t="s">
        <v>326</v>
      </c>
      <c r="F114" s="7">
        <v>4</v>
      </c>
      <c r="G114" s="1">
        <v>8</v>
      </c>
      <c r="H114" s="1" t="s">
        <v>8</v>
      </c>
      <c r="I114" s="1" t="s">
        <v>8</v>
      </c>
      <c r="J114" s="1" t="s">
        <v>4</v>
      </c>
      <c r="K114" s="2">
        <v>3.1249999954401303E-5</v>
      </c>
      <c r="L114" s="2">
        <v>3.1046853481433599E-5</v>
      </c>
      <c r="M114" s="1">
        <v>4.6274785526918497E-3</v>
      </c>
      <c r="N114" s="1">
        <v>2.5580523048500599</v>
      </c>
    </row>
    <row r="115" spans="1:14">
      <c r="A115" s="1">
        <v>114</v>
      </c>
      <c r="B115" s="1" t="s">
        <v>329</v>
      </c>
      <c r="C115" s="1" t="s">
        <v>330</v>
      </c>
      <c r="D115" s="5" t="s">
        <v>331</v>
      </c>
      <c r="E115" s="1" t="s">
        <v>329</v>
      </c>
      <c r="F115" s="7">
        <v>5</v>
      </c>
      <c r="G115" s="1">
        <v>8</v>
      </c>
      <c r="H115" s="1" t="s">
        <v>8</v>
      </c>
      <c r="I115" s="1" t="s">
        <v>8</v>
      </c>
      <c r="J115" s="1" t="s">
        <v>4</v>
      </c>
      <c r="K115" s="2">
        <v>3.12500003581945E-5</v>
      </c>
      <c r="L115" s="2">
        <v>2.2046042544831399E-5</v>
      </c>
      <c r="M115" s="1">
        <v>-2.13294002947126E-2</v>
      </c>
      <c r="N115" s="1">
        <v>3.5886393981070501</v>
      </c>
    </row>
    <row r="116" spans="1:14">
      <c r="A116" s="1">
        <v>115</v>
      </c>
      <c r="B116" s="1" t="s">
        <v>332</v>
      </c>
      <c r="C116" s="1" t="s">
        <v>333</v>
      </c>
      <c r="D116" s="5" t="s">
        <v>334</v>
      </c>
      <c r="E116" s="1" t="s">
        <v>332</v>
      </c>
      <c r="F116" s="7">
        <v>4</v>
      </c>
      <c r="G116" s="1">
        <v>5</v>
      </c>
      <c r="H116" s="1" t="s">
        <v>8</v>
      </c>
      <c r="I116" s="1" t="s">
        <v>8</v>
      </c>
      <c r="J116" s="1" t="s">
        <v>4</v>
      </c>
      <c r="K116" s="2">
        <v>3.1250004901258497E-5</v>
      </c>
      <c r="L116" s="2">
        <v>3.1178917407202999E-5</v>
      </c>
      <c r="M116" s="1">
        <v>-3.3607923384937399E-2</v>
      </c>
      <c r="N116" s="1">
        <v>3.1034396016958299</v>
      </c>
    </row>
    <row r="117" spans="1:14">
      <c r="A117" s="1">
        <v>116</v>
      </c>
      <c r="B117" s="1" t="s">
        <v>335</v>
      </c>
      <c r="C117" s="1" t="s">
        <v>336</v>
      </c>
      <c r="D117" s="5" t="s">
        <v>337</v>
      </c>
      <c r="E117" s="1" t="s">
        <v>335</v>
      </c>
      <c r="F117" s="7">
        <v>7</v>
      </c>
      <c r="G117" s="1">
        <v>8</v>
      </c>
      <c r="H117" s="1" t="s">
        <v>8</v>
      </c>
      <c r="I117" s="1" t="s">
        <v>8</v>
      </c>
      <c r="J117" s="1" t="s">
        <v>4</v>
      </c>
      <c r="K117" s="2">
        <v>3.1250004898214003E-5</v>
      </c>
      <c r="L117" s="2">
        <v>2.3983579270685798E-5</v>
      </c>
      <c r="M117" s="1">
        <v>-4.0943854501808999E-2</v>
      </c>
      <c r="N117" s="1">
        <v>3.2471332779598598</v>
      </c>
    </row>
    <row r="118" spans="1:14">
      <c r="A118" s="1">
        <v>117</v>
      </c>
      <c r="B118" s="1" t="s">
        <v>338</v>
      </c>
      <c r="C118" s="1" t="s">
        <v>339</v>
      </c>
      <c r="D118" s="5" t="s">
        <v>340</v>
      </c>
      <c r="E118" s="1" t="s">
        <v>338</v>
      </c>
      <c r="F118" s="7">
        <v>4</v>
      </c>
      <c r="G118" s="1">
        <v>7</v>
      </c>
      <c r="H118" s="1" t="s">
        <v>8</v>
      </c>
      <c r="I118" s="1" t="s">
        <v>8</v>
      </c>
      <c r="J118" s="1" t="s">
        <v>4</v>
      </c>
      <c r="K118" s="2">
        <v>3.1250000140277398E-5</v>
      </c>
      <c r="L118" s="2">
        <v>7.5215365364222397E-7</v>
      </c>
      <c r="M118" s="1">
        <v>-4.16894178442106E-3</v>
      </c>
      <c r="N118" s="1">
        <v>3.42494798161662</v>
      </c>
    </row>
    <row r="119" spans="1:14">
      <c r="A119" s="1">
        <v>118</v>
      </c>
      <c r="B119" s="1" t="s">
        <v>341</v>
      </c>
      <c r="C119" s="1" t="s">
        <v>342</v>
      </c>
      <c r="D119" s="5" t="s">
        <v>343</v>
      </c>
      <c r="E119" s="1" t="s">
        <v>341</v>
      </c>
      <c r="F119" s="7">
        <v>4</v>
      </c>
      <c r="G119" s="1">
        <v>8</v>
      </c>
      <c r="H119" s="1" t="s">
        <v>68</v>
      </c>
      <c r="I119" s="1" t="s">
        <v>68</v>
      </c>
      <c r="J119" s="1" t="s">
        <v>4</v>
      </c>
      <c r="K119" s="2">
        <v>3.1250002397999497E-5</v>
      </c>
      <c r="L119" s="2">
        <v>3.1049259660468502E-5</v>
      </c>
      <c r="M119" s="1">
        <v>-6.4715801730521596E-3</v>
      </c>
      <c r="N119" s="1">
        <v>1.46264433413574</v>
      </c>
    </row>
    <row r="120" spans="1:14">
      <c r="A120" s="1">
        <v>119</v>
      </c>
      <c r="B120" s="1" t="s">
        <v>344</v>
      </c>
      <c r="C120" s="1" t="s">
        <v>345</v>
      </c>
      <c r="D120" s="5" t="s">
        <v>346</v>
      </c>
      <c r="E120" s="1" t="s">
        <v>344</v>
      </c>
      <c r="F120" s="7">
        <v>4</v>
      </c>
      <c r="G120" s="1">
        <v>6</v>
      </c>
      <c r="H120" s="1" t="s">
        <v>98</v>
      </c>
      <c r="I120" s="1" t="s">
        <v>98</v>
      </c>
      <c r="J120" s="1" t="s">
        <v>4</v>
      </c>
      <c r="K120" s="2">
        <v>3.1250001821009903E-5</v>
      </c>
      <c r="L120" s="2">
        <v>3.1243250005398001E-5</v>
      </c>
      <c r="M120" s="1">
        <v>-1.5228320556275299E-3</v>
      </c>
      <c r="N120" s="1">
        <v>3.2132205533310101</v>
      </c>
    </row>
    <row r="121" spans="1:14">
      <c r="A121" s="1">
        <v>120</v>
      </c>
      <c r="B121" s="1" t="s">
        <v>347</v>
      </c>
      <c r="C121" s="1" t="s">
        <v>348</v>
      </c>
      <c r="D121" s="5" t="s">
        <v>142</v>
      </c>
      <c r="E121" s="1" t="s">
        <v>347</v>
      </c>
      <c r="F121" s="7">
        <v>4</v>
      </c>
      <c r="G121" s="1">
        <v>2</v>
      </c>
      <c r="H121" s="1" t="s">
        <v>12</v>
      </c>
      <c r="I121" s="1" t="s">
        <v>12</v>
      </c>
      <c r="J121" s="1" t="s">
        <v>4</v>
      </c>
      <c r="K121" s="2">
        <v>3.1249999713853399E-5</v>
      </c>
      <c r="L121" s="2">
        <v>2.7707310271142699E-5</v>
      </c>
      <c r="M121" s="1">
        <v>-1.06155421772768E-2</v>
      </c>
      <c r="N121" s="1">
        <v>3.70601368059685</v>
      </c>
    </row>
    <row r="122" spans="1:14">
      <c r="A122" s="1">
        <v>121</v>
      </c>
      <c r="B122" s="1" t="s">
        <v>349</v>
      </c>
      <c r="C122" s="1" t="s">
        <v>350</v>
      </c>
      <c r="D122" s="5" t="s">
        <v>142</v>
      </c>
      <c r="E122" s="1" t="s">
        <v>349</v>
      </c>
      <c r="F122" s="7">
        <v>4</v>
      </c>
      <c r="G122" s="1">
        <v>2</v>
      </c>
      <c r="H122" s="1" t="s">
        <v>12</v>
      </c>
      <c r="I122" s="1" t="s">
        <v>12</v>
      </c>
      <c r="J122" s="1" t="s">
        <v>4</v>
      </c>
      <c r="K122" s="2">
        <v>3.12499965025448E-5</v>
      </c>
      <c r="L122" s="2">
        <v>1.1153981964663701E-5</v>
      </c>
      <c r="M122" s="1">
        <v>-4.8629309122505404E-3</v>
      </c>
      <c r="N122" s="1">
        <v>3.83846196415523</v>
      </c>
    </row>
    <row r="123" spans="1:14">
      <c r="A123" s="1">
        <v>122</v>
      </c>
      <c r="B123" s="1" t="s">
        <v>351</v>
      </c>
      <c r="C123" s="1" t="s">
        <v>352</v>
      </c>
      <c r="D123" s="5" t="s">
        <v>353</v>
      </c>
      <c r="E123" s="1" t="s">
        <v>351</v>
      </c>
      <c r="F123" s="7">
        <v>8</v>
      </c>
      <c r="G123" s="1">
        <v>5</v>
      </c>
      <c r="H123" s="1" t="s">
        <v>8</v>
      </c>
      <c r="I123" s="1" t="s">
        <v>8</v>
      </c>
      <c r="J123" s="1" t="s">
        <v>4</v>
      </c>
      <c r="K123" s="2">
        <v>3.1250004361057299E-5</v>
      </c>
      <c r="L123" s="2">
        <v>3.06042446326846E-5</v>
      </c>
      <c r="M123" s="1">
        <v>-2.7698300207632E-2</v>
      </c>
      <c r="N123" s="1">
        <v>2.8708816366305898</v>
      </c>
    </row>
    <row r="124" spans="1:14">
      <c r="A124" s="1">
        <v>123</v>
      </c>
      <c r="B124" s="1" t="s">
        <v>354</v>
      </c>
      <c r="C124" s="1" t="s">
        <v>355</v>
      </c>
      <c r="D124" s="5" t="s">
        <v>356</v>
      </c>
      <c r="E124" s="1" t="s">
        <v>354</v>
      </c>
      <c r="F124" s="7">
        <v>4</v>
      </c>
      <c r="G124" s="1">
        <v>3</v>
      </c>
      <c r="H124" s="1" t="s">
        <v>8</v>
      </c>
      <c r="I124" s="1" t="s">
        <v>8</v>
      </c>
      <c r="J124" s="1" t="s">
        <v>4</v>
      </c>
      <c r="K124" s="2">
        <v>3.1250004399358299E-5</v>
      </c>
      <c r="L124" s="2">
        <v>2.8600884304494001E-5</v>
      </c>
      <c r="M124" s="1">
        <v>-5.0496287859402803E-3</v>
      </c>
      <c r="N124" s="1">
        <v>3.3073643310456</v>
      </c>
    </row>
    <row r="125" spans="1:14">
      <c r="A125" s="1">
        <v>124</v>
      </c>
      <c r="B125" s="1" t="s">
        <v>357</v>
      </c>
      <c r="C125" s="1" t="s">
        <v>358</v>
      </c>
      <c r="D125" s="5" t="s">
        <v>359</v>
      </c>
      <c r="E125" s="1" t="s">
        <v>360</v>
      </c>
      <c r="F125" s="7">
        <v>4</v>
      </c>
      <c r="G125" s="1">
        <v>5</v>
      </c>
      <c r="H125" s="1" t="s">
        <v>8</v>
      </c>
      <c r="I125" s="1" t="s">
        <v>22</v>
      </c>
      <c r="J125" s="1" t="s">
        <v>180</v>
      </c>
      <c r="K125" s="2">
        <v>3.1250006020397601E-5</v>
      </c>
      <c r="L125" s="2">
        <v>3.9746847722904201E-6</v>
      </c>
      <c r="M125" s="1">
        <v>-2.33267632327454E-2</v>
      </c>
      <c r="N125" s="1">
        <v>3.5100369331663299</v>
      </c>
    </row>
    <row r="126" spans="1:14">
      <c r="A126" s="1">
        <v>125</v>
      </c>
      <c r="B126" s="1" t="s">
        <v>361</v>
      </c>
      <c r="C126" s="1" t="s">
        <v>362</v>
      </c>
      <c r="D126" s="5" t="s">
        <v>242</v>
      </c>
      <c r="E126" s="1" t="s">
        <v>361</v>
      </c>
      <c r="F126" s="7">
        <v>6</v>
      </c>
      <c r="G126" s="1">
        <v>4</v>
      </c>
      <c r="H126" s="1" t="s">
        <v>98</v>
      </c>
      <c r="I126" s="1" t="s">
        <v>98</v>
      </c>
      <c r="J126" s="1" t="s">
        <v>4</v>
      </c>
      <c r="K126" s="2">
        <v>3.1250014368105E-5</v>
      </c>
      <c r="L126" s="2">
        <v>2.8750997126387499E-5</v>
      </c>
      <c r="M126" s="1">
        <v>-3.3316276050911101E-2</v>
      </c>
      <c r="N126" s="1">
        <v>3.5396271762692599</v>
      </c>
    </row>
    <row r="127" spans="1:14">
      <c r="A127" s="1">
        <v>126</v>
      </c>
      <c r="B127" s="1" t="s">
        <v>363</v>
      </c>
      <c r="C127" s="1" t="s">
        <v>364</v>
      </c>
      <c r="D127" s="5" t="s">
        <v>365</v>
      </c>
      <c r="E127" s="1" t="s">
        <v>363</v>
      </c>
      <c r="F127" s="7">
        <v>5</v>
      </c>
      <c r="G127" s="1">
        <v>5</v>
      </c>
      <c r="H127" s="1" t="s">
        <v>8</v>
      </c>
      <c r="I127" s="1" t="s">
        <v>8</v>
      </c>
      <c r="J127" s="1" t="s">
        <v>4</v>
      </c>
      <c r="K127" s="2">
        <v>3.1250003112270398E-5</v>
      </c>
      <c r="L127" s="2">
        <v>2.42355871746499E-5</v>
      </c>
      <c r="M127" s="1">
        <v>1.73493052112405E-2</v>
      </c>
      <c r="N127" s="1">
        <v>3.7309777097125898</v>
      </c>
    </row>
    <row r="128" spans="1:14">
      <c r="A128" s="1">
        <v>127</v>
      </c>
      <c r="B128" s="1" t="s">
        <v>366</v>
      </c>
      <c r="C128" s="1" t="s">
        <v>367</v>
      </c>
      <c r="D128" s="5" t="s">
        <v>151</v>
      </c>
      <c r="E128" s="1" t="s">
        <v>366</v>
      </c>
      <c r="F128" s="7">
        <v>4</v>
      </c>
      <c r="G128" s="1">
        <v>5</v>
      </c>
      <c r="H128" s="1" t="s">
        <v>68</v>
      </c>
      <c r="I128" s="1" t="s">
        <v>68</v>
      </c>
      <c r="J128" s="1" t="s">
        <v>4</v>
      </c>
      <c r="K128" s="2">
        <v>3.1250001179000698E-5</v>
      </c>
      <c r="L128" s="2">
        <v>1.0727959877694601E-5</v>
      </c>
      <c r="M128" s="1">
        <v>2.12199316021521E-3</v>
      </c>
      <c r="N128" s="1">
        <v>3.31768324035317</v>
      </c>
    </row>
    <row r="129" spans="1:14">
      <c r="A129" s="1">
        <v>128</v>
      </c>
      <c r="B129" s="1" t="s">
        <v>368</v>
      </c>
      <c r="C129" s="1" t="s">
        <v>369</v>
      </c>
      <c r="D129" s="5" t="s">
        <v>370</v>
      </c>
      <c r="E129" s="1" t="s">
        <v>368</v>
      </c>
      <c r="F129" s="7">
        <v>4</v>
      </c>
      <c r="G129" s="1">
        <v>5</v>
      </c>
      <c r="H129" s="1" t="s">
        <v>8</v>
      </c>
      <c r="I129" s="1" t="s">
        <v>8</v>
      </c>
      <c r="J129" s="1" t="s">
        <v>4</v>
      </c>
      <c r="K129" s="2">
        <v>3.1250000313105398E-5</v>
      </c>
      <c r="L129" s="2">
        <v>3.1244762321428497E-5</v>
      </c>
      <c r="M129" s="1">
        <v>1.307718362008E-2</v>
      </c>
      <c r="N129" s="1">
        <v>3.0290790092068498</v>
      </c>
    </row>
    <row r="130" spans="1:14">
      <c r="A130" s="1">
        <v>129</v>
      </c>
      <c r="B130" s="1" t="s">
        <v>371</v>
      </c>
      <c r="C130" s="1" t="s">
        <v>372</v>
      </c>
      <c r="D130" s="5" t="s">
        <v>47</v>
      </c>
      <c r="E130" s="1" t="s">
        <v>371</v>
      </c>
      <c r="F130" s="7">
        <v>4</v>
      </c>
      <c r="G130" s="1">
        <v>2</v>
      </c>
      <c r="H130" s="1" t="s">
        <v>12</v>
      </c>
      <c r="I130" s="1" t="s">
        <v>12</v>
      </c>
      <c r="J130" s="1" t="s">
        <v>4</v>
      </c>
      <c r="K130" s="2">
        <v>3.1250003528604601E-5</v>
      </c>
      <c r="L130" s="2">
        <v>1.1432654395875101E-5</v>
      </c>
      <c r="M130" s="1">
        <v>-2.0988946813671899E-2</v>
      </c>
      <c r="N130" s="1">
        <v>3.62724810292602</v>
      </c>
    </row>
    <row r="131" spans="1:14">
      <c r="A131" s="1">
        <v>130</v>
      </c>
      <c r="B131" s="1" t="s">
        <v>373</v>
      </c>
      <c r="C131" s="1" t="s">
        <v>374</v>
      </c>
      <c r="D131" s="5" t="s">
        <v>227</v>
      </c>
      <c r="E131" s="1" t="s">
        <v>373</v>
      </c>
      <c r="F131" s="7">
        <v>7</v>
      </c>
      <c r="G131" s="1">
        <v>3</v>
      </c>
      <c r="H131" s="1" t="s">
        <v>8</v>
      </c>
      <c r="I131" s="1" t="s">
        <v>8</v>
      </c>
      <c r="J131" s="1" t="s">
        <v>4</v>
      </c>
      <c r="K131" s="2">
        <v>3.1250002504346801E-5</v>
      </c>
      <c r="L131" s="2">
        <v>2.8161443848783201E-5</v>
      </c>
      <c r="M131" s="1">
        <v>1.86434949315223E-2</v>
      </c>
      <c r="N131" s="1">
        <v>3.5239255118889301</v>
      </c>
    </row>
    <row r="132" spans="1:14">
      <c r="A132" s="1">
        <v>131</v>
      </c>
      <c r="B132" s="1" t="s">
        <v>375</v>
      </c>
      <c r="C132" s="1" t="s">
        <v>376</v>
      </c>
      <c r="D132" s="5" t="s">
        <v>377</v>
      </c>
      <c r="E132" s="1" t="s">
        <v>375</v>
      </c>
      <c r="F132" s="7">
        <v>4</v>
      </c>
      <c r="G132" s="1">
        <v>5</v>
      </c>
      <c r="H132" s="1" t="s">
        <v>68</v>
      </c>
      <c r="I132" s="1" t="s">
        <v>68</v>
      </c>
      <c r="J132" s="1" t="s">
        <v>4</v>
      </c>
      <c r="K132" s="2">
        <v>3.1250002269161002E-5</v>
      </c>
      <c r="L132" s="2">
        <v>2.5634074093354901E-5</v>
      </c>
      <c r="M132" s="1">
        <v>-3.4165188795775202E-2</v>
      </c>
      <c r="N132" s="1">
        <v>3.8454225606863002</v>
      </c>
    </row>
    <row r="133" spans="1:14">
      <c r="A133" s="1">
        <v>132</v>
      </c>
      <c r="B133" s="1" t="s">
        <v>378</v>
      </c>
      <c r="C133" s="1" t="s">
        <v>379</v>
      </c>
      <c r="D133" s="5" t="s">
        <v>380</v>
      </c>
      <c r="E133" s="1" t="s">
        <v>378</v>
      </c>
      <c r="F133" s="7">
        <v>4</v>
      </c>
      <c r="G133" s="1">
        <v>5</v>
      </c>
      <c r="H133" s="1" t="s">
        <v>68</v>
      </c>
      <c r="I133" s="1" t="s">
        <v>68</v>
      </c>
      <c r="J133" s="1" t="s">
        <v>4</v>
      </c>
      <c r="K133" s="2">
        <v>3.12500057618927E-5</v>
      </c>
      <c r="L133" s="2">
        <v>1.9842565888515799E-5</v>
      </c>
      <c r="M133" s="1">
        <v>-4.5592242617740197E-3</v>
      </c>
      <c r="N133" s="1">
        <v>3.4033410197583298</v>
      </c>
    </row>
    <row r="134" spans="1:14">
      <c r="A134" s="1">
        <v>133</v>
      </c>
      <c r="B134" s="1" t="s">
        <v>381</v>
      </c>
      <c r="C134" s="1" t="s">
        <v>382</v>
      </c>
      <c r="D134" s="5" t="s">
        <v>383</v>
      </c>
      <c r="E134" s="1" t="s">
        <v>381</v>
      </c>
      <c r="F134" s="7">
        <v>4</v>
      </c>
      <c r="G134" s="1">
        <v>4</v>
      </c>
      <c r="H134" s="1" t="s">
        <v>8</v>
      </c>
      <c r="I134" s="1" t="s">
        <v>8</v>
      </c>
      <c r="J134" s="1" t="s">
        <v>4</v>
      </c>
      <c r="K134" s="2">
        <v>3.1250004016032699E-5</v>
      </c>
      <c r="L134" s="2">
        <v>3.1098760638726998E-5</v>
      </c>
      <c r="M134" s="1">
        <v>-3.1907382256832701E-3</v>
      </c>
      <c r="N134" s="1">
        <v>2.34270502537714</v>
      </c>
    </row>
    <row r="135" spans="1:14">
      <c r="A135" s="1">
        <v>134</v>
      </c>
      <c r="B135" s="1" t="s">
        <v>384</v>
      </c>
      <c r="C135" s="1" t="s">
        <v>385</v>
      </c>
      <c r="D135" s="5" t="s">
        <v>142</v>
      </c>
      <c r="E135" s="1" t="s">
        <v>384</v>
      </c>
      <c r="F135" s="7">
        <v>4</v>
      </c>
      <c r="G135" s="1">
        <v>2</v>
      </c>
      <c r="H135" s="1" t="s">
        <v>12</v>
      </c>
      <c r="I135" s="1" t="s">
        <v>12</v>
      </c>
      <c r="J135" s="1" t="s">
        <v>4</v>
      </c>
      <c r="K135" s="2">
        <v>3.1250003752698002E-5</v>
      </c>
      <c r="L135" s="2">
        <v>1.1195967394350501E-5</v>
      </c>
      <c r="M135" s="1">
        <v>-1.6277889713258199E-2</v>
      </c>
      <c r="N135" s="1">
        <v>3.7436607008151799</v>
      </c>
    </row>
    <row r="136" spans="1:14">
      <c r="A136" s="1">
        <v>135</v>
      </c>
      <c r="B136" s="1" t="s">
        <v>386</v>
      </c>
      <c r="C136" s="1" t="s">
        <v>387</v>
      </c>
      <c r="D136" s="5" t="s">
        <v>388</v>
      </c>
      <c r="E136" s="1" t="s">
        <v>386</v>
      </c>
      <c r="F136" s="7">
        <v>4</v>
      </c>
      <c r="G136" s="1">
        <v>5</v>
      </c>
      <c r="H136" s="1" t="s">
        <v>8</v>
      </c>
      <c r="I136" s="1" t="s">
        <v>8</v>
      </c>
      <c r="J136" s="1" t="s">
        <v>4</v>
      </c>
      <c r="K136" s="2">
        <v>3.1249998021470803E-5</v>
      </c>
      <c r="L136" s="2">
        <v>3.0930945650857998E-5</v>
      </c>
      <c r="M136" s="1">
        <v>1.51356444541281E-2</v>
      </c>
      <c r="N136" s="1">
        <v>2.50651580676826</v>
      </c>
    </row>
    <row r="137" spans="1:14">
      <c r="A137" s="1">
        <v>136</v>
      </c>
      <c r="B137" s="1" t="s">
        <v>389</v>
      </c>
      <c r="C137" s="1" t="s">
        <v>390</v>
      </c>
      <c r="D137" s="5" t="s">
        <v>391</v>
      </c>
      <c r="E137" s="1" t="s">
        <v>392</v>
      </c>
      <c r="F137" s="7">
        <v>7</v>
      </c>
      <c r="G137" s="1">
        <v>5</v>
      </c>
      <c r="H137" s="1" t="s">
        <v>8</v>
      </c>
      <c r="I137" s="1" t="s">
        <v>8</v>
      </c>
      <c r="J137" s="1" t="s">
        <v>180</v>
      </c>
      <c r="K137" s="2">
        <v>3.12500028102538E-5</v>
      </c>
      <c r="L137" s="2">
        <v>7.2524000291766799E-7</v>
      </c>
      <c r="M137" s="1">
        <v>2.6878213722170499E-2</v>
      </c>
      <c r="N137" s="1">
        <v>3.31755210526683</v>
      </c>
    </row>
    <row r="138" spans="1:14">
      <c r="A138" s="1">
        <v>137</v>
      </c>
      <c r="B138" s="1" t="s">
        <v>393</v>
      </c>
      <c r="C138" s="1" t="s">
        <v>394</v>
      </c>
      <c r="D138" s="5" t="s">
        <v>395</v>
      </c>
      <c r="E138" s="1" t="s">
        <v>393</v>
      </c>
      <c r="F138" s="7">
        <v>4</v>
      </c>
      <c r="G138" s="1">
        <v>7</v>
      </c>
      <c r="H138" s="1" t="s">
        <v>8</v>
      </c>
      <c r="I138" s="1" t="s">
        <v>8</v>
      </c>
      <c r="J138" s="1" t="s">
        <v>4</v>
      </c>
      <c r="K138" s="2">
        <v>3.1250004502147902E-5</v>
      </c>
      <c r="L138" s="2">
        <v>3.1218856446260602E-5</v>
      </c>
      <c r="M138" s="1">
        <v>1.05184499107338E-2</v>
      </c>
      <c r="N138" s="1">
        <v>2.6135455125718101</v>
      </c>
    </row>
    <row r="139" spans="1:14">
      <c r="A139" s="1">
        <v>138</v>
      </c>
      <c r="B139" s="1" t="s">
        <v>396</v>
      </c>
      <c r="C139" s="1" t="s">
        <v>397</v>
      </c>
      <c r="D139" s="5" t="s">
        <v>398</v>
      </c>
      <c r="E139" s="1" t="s">
        <v>396</v>
      </c>
      <c r="F139" s="7">
        <v>4</v>
      </c>
      <c r="G139" s="1">
        <v>3</v>
      </c>
      <c r="H139" s="1" t="s">
        <v>8</v>
      </c>
      <c r="I139" s="1" t="s">
        <v>8</v>
      </c>
      <c r="J139" s="1" t="s">
        <v>4</v>
      </c>
      <c r="K139" s="2">
        <v>3.1250007985647897E-5</v>
      </c>
      <c r="L139" s="2">
        <v>1.07351426189699E-5</v>
      </c>
      <c r="M139" s="1">
        <v>-3.6166039241305403E-2</v>
      </c>
      <c r="N139" s="1">
        <v>3.36268087057638</v>
      </c>
    </row>
    <row r="140" spans="1:14">
      <c r="A140" s="1">
        <v>139</v>
      </c>
      <c r="B140" s="1" t="s">
        <v>399</v>
      </c>
      <c r="C140" s="1" t="s">
        <v>400</v>
      </c>
      <c r="D140" s="5" t="s">
        <v>7</v>
      </c>
      <c r="E140" s="1" t="s">
        <v>399</v>
      </c>
      <c r="F140" s="7">
        <v>4</v>
      </c>
      <c r="G140" s="1">
        <v>3</v>
      </c>
      <c r="H140" s="1" t="s">
        <v>8</v>
      </c>
      <c r="I140" s="1" t="s">
        <v>8</v>
      </c>
      <c r="J140" s="1" t="s">
        <v>4</v>
      </c>
      <c r="K140" s="2">
        <v>3.1250011620628397E-5</v>
      </c>
      <c r="L140" s="2">
        <v>2.9427129510792002E-5</v>
      </c>
      <c r="M140" s="1">
        <v>-5.9511279345372198E-3</v>
      </c>
      <c r="N140" s="1">
        <v>3.7330290778139998</v>
      </c>
    </row>
    <row r="141" spans="1:14">
      <c r="A141" s="1">
        <v>140</v>
      </c>
      <c r="B141" s="1" t="s">
        <v>401</v>
      </c>
      <c r="C141" s="1" t="s">
        <v>402</v>
      </c>
      <c r="D141" s="5" t="s">
        <v>7</v>
      </c>
      <c r="E141" s="1" t="s">
        <v>401</v>
      </c>
      <c r="F141" s="7">
        <v>6</v>
      </c>
      <c r="G141" s="1">
        <v>3</v>
      </c>
      <c r="H141" s="1" t="s">
        <v>8</v>
      </c>
      <c r="I141" s="1" t="s">
        <v>8</v>
      </c>
      <c r="J141" s="1" t="s">
        <v>4</v>
      </c>
      <c r="K141" s="2">
        <v>3.12500173858263E-5</v>
      </c>
      <c r="L141" s="2">
        <v>3.0737017676850998E-5</v>
      </c>
      <c r="M141" s="1">
        <v>-1.3440143497234601E-2</v>
      </c>
      <c r="N141" s="1">
        <v>3.8049235670673101</v>
      </c>
    </row>
    <row r="142" spans="1:14">
      <c r="A142" s="1">
        <v>141</v>
      </c>
      <c r="B142" s="1" t="s">
        <v>403</v>
      </c>
      <c r="C142" s="1" t="s">
        <v>404</v>
      </c>
      <c r="D142" s="5" t="s">
        <v>101</v>
      </c>
      <c r="E142" s="1" t="s">
        <v>403</v>
      </c>
      <c r="F142" s="7">
        <v>4</v>
      </c>
      <c r="G142" s="1">
        <v>3</v>
      </c>
      <c r="H142" s="1" t="s">
        <v>8</v>
      </c>
      <c r="I142" s="1" t="s">
        <v>8</v>
      </c>
      <c r="J142" s="1" t="s">
        <v>4</v>
      </c>
      <c r="K142" s="2">
        <v>3.1250004655883901E-5</v>
      </c>
      <c r="L142" s="2">
        <v>1.60622636884621E-5</v>
      </c>
      <c r="M142" s="1">
        <v>-1.3102088149352601E-3</v>
      </c>
      <c r="N142" s="1">
        <v>3.0230133626761702</v>
      </c>
    </row>
    <row r="143" spans="1:14">
      <c r="A143" s="1">
        <v>142</v>
      </c>
      <c r="B143" s="1" t="s">
        <v>405</v>
      </c>
      <c r="C143" s="1" t="s">
        <v>406</v>
      </c>
      <c r="D143" s="5" t="s">
        <v>407</v>
      </c>
      <c r="E143" s="1" t="s">
        <v>405</v>
      </c>
      <c r="F143" s="7">
        <v>4</v>
      </c>
      <c r="G143" s="1">
        <v>4</v>
      </c>
      <c r="H143" s="1" t="s">
        <v>8</v>
      </c>
      <c r="I143" s="1" t="s">
        <v>8</v>
      </c>
      <c r="J143" s="1" t="s">
        <v>4</v>
      </c>
      <c r="K143" s="2">
        <v>3.1250008623447599E-5</v>
      </c>
      <c r="L143" s="2">
        <v>1.8004918486347901E-5</v>
      </c>
      <c r="M143" s="1">
        <v>3.72451414209251E-3</v>
      </c>
      <c r="N143" s="1">
        <v>3.4796020183297802</v>
      </c>
    </row>
    <row r="144" spans="1:14">
      <c r="A144" s="1">
        <v>143</v>
      </c>
      <c r="B144" s="1" t="s">
        <v>408</v>
      </c>
      <c r="C144" s="1" t="s">
        <v>409</v>
      </c>
      <c r="D144" s="5" t="s">
        <v>410</v>
      </c>
      <c r="E144" s="1" t="s">
        <v>408</v>
      </c>
      <c r="F144" s="7">
        <v>5</v>
      </c>
      <c r="G144" s="1">
        <v>5</v>
      </c>
      <c r="H144" s="1" t="s">
        <v>98</v>
      </c>
      <c r="I144" s="1" t="s">
        <v>98</v>
      </c>
      <c r="J144" s="1" t="s">
        <v>4</v>
      </c>
      <c r="K144" s="2">
        <v>3.1250007553089597E-5</v>
      </c>
      <c r="L144" s="2">
        <v>3.0496466309561501E-5</v>
      </c>
      <c r="M144" s="1">
        <v>-1.8392297622654E-2</v>
      </c>
      <c r="N144" s="1">
        <v>3.0137809619939602</v>
      </c>
    </row>
    <row r="145" spans="1:14">
      <c r="A145" s="1">
        <v>144</v>
      </c>
      <c r="B145" s="1" t="s">
        <v>411</v>
      </c>
      <c r="C145" s="1" t="s">
        <v>412</v>
      </c>
      <c r="D145" s="5" t="s">
        <v>413</v>
      </c>
      <c r="E145" s="1" t="s">
        <v>411</v>
      </c>
      <c r="F145" s="7">
        <v>5</v>
      </c>
      <c r="G145" s="1">
        <v>5</v>
      </c>
      <c r="H145" s="1" t="s">
        <v>8</v>
      </c>
      <c r="I145" s="1" t="s">
        <v>8</v>
      </c>
      <c r="J145" s="1" t="s">
        <v>4</v>
      </c>
      <c r="K145" s="2">
        <v>3.1249997851953998E-5</v>
      </c>
      <c r="L145" s="2">
        <v>2.9292457738938299E-5</v>
      </c>
      <c r="M145" s="1">
        <v>3.5225953158544598E-2</v>
      </c>
      <c r="N145" s="1">
        <v>3.3730683706479998</v>
      </c>
    </row>
    <row r="146" spans="1:14">
      <c r="A146" s="1">
        <v>145</v>
      </c>
      <c r="B146" s="1" t="s">
        <v>414</v>
      </c>
      <c r="C146" s="1" t="s">
        <v>415</v>
      </c>
      <c r="D146" s="5" t="s">
        <v>416</v>
      </c>
      <c r="E146" s="1" t="s">
        <v>414</v>
      </c>
      <c r="F146" s="7">
        <v>5</v>
      </c>
      <c r="G146" s="1">
        <v>7</v>
      </c>
      <c r="H146" s="1" t="s">
        <v>3</v>
      </c>
      <c r="I146" s="1" t="s">
        <v>3</v>
      </c>
      <c r="J146" s="1" t="s">
        <v>4</v>
      </c>
      <c r="K146" s="2">
        <v>3.1250005922778802E-5</v>
      </c>
      <c r="L146" s="2">
        <v>2.5939065118229999E-5</v>
      </c>
      <c r="M146" s="1">
        <v>-4.7802980980193796E-3</v>
      </c>
      <c r="N146" s="1">
        <v>3.8022943479089202</v>
      </c>
    </row>
    <row r="147" spans="1:14">
      <c r="A147" s="1">
        <v>146</v>
      </c>
      <c r="B147" s="1" t="s">
        <v>417</v>
      </c>
      <c r="C147" s="1" t="s">
        <v>418</v>
      </c>
      <c r="D147" s="5" t="s">
        <v>419</v>
      </c>
      <c r="E147" s="1" t="s">
        <v>2337</v>
      </c>
      <c r="F147" s="7">
        <v>4</v>
      </c>
      <c r="G147" s="1">
        <v>4</v>
      </c>
      <c r="H147" s="1" t="s">
        <v>8</v>
      </c>
      <c r="I147" s="1" t="s">
        <v>22</v>
      </c>
      <c r="J147" s="1" t="s">
        <v>180</v>
      </c>
      <c r="K147" s="2">
        <v>3.1250000919883399E-5</v>
      </c>
      <c r="L147" s="2">
        <v>1.09379714219462E-7</v>
      </c>
      <c r="M147" s="1">
        <v>2.8638684690747498E-2</v>
      </c>
      <c r="N147" s="1">
        <v>2.3989023636612101</v>
      </c>
    </row>
    <row r="148" spans="1:14">
      <c r="A148" s="1">
        <v>147</v>
      </c>
      <c r="B148" s="1" t="s">
        <v>420</v>
      </c>
      <c r="C148" s="1" t="s">
        <v>421</v>
      </c>
      <c r="D148" s="5" t="s">
        <v>422</v>
      </c>
      <c r="E148" s="1" t="s">
        <v>420</v>
      </c>
      <c r="F148" s="7">
        <v>4</v>
      </c>
      <c r="G148" s="1">
        <v>5</v>
      </c>
      <c r="H148" s="1" t="s">
        <v>3</v>
      </c>
      <c r="I148" s="1" t="s">
        <v>3</v>
      </c>
      <c r="J148" s="1" t="s">
        <v>4</v>
      </c>
      <c r="K148" s="2">
        <v>3.1250011111973897E-5</v>
      </c>
      <c r="L148" s="2">
        <v>2.7836654698645499E-5</v>
      </c>
      <c r="M148" s="1">
        <v>-2.8151419539966499E-2</v>
      </c>
      <c r="N148" s="1">
        <v>3.3962993589058299</v>
      </c>
    </row>
    <row r="149" spans="1:14">
      <c r="A149" s="1">
        <v>148</v>
      </c>
      <c r="B149" s="1" t="s">
        <v>423</v>
      </c>
      <c r="C149" s="1" t="s">
        <v>424</v>
      </c>
      <c r="D149" s="5" t="s">
        <v>425</v>
      </c>
      <c r="E149" s="1" t="s">
        <v>423</v>
      </c>
      <c r="F149" s="7">
        <v>5</v>
      </c>
      <c r="G149" s="1">
        <v>4</v>
      </c>
      <c r="H149" s="1" t="s">
        <v>8</v>
      </c>
      <c r="I149" s="1" t="s">
        <v>8</v>
      </c>
      <c r="J149" s="1" t="s">
        <v>4</v>
      </c>
      <c r="K149" s="2">
        <v>3.12500143156823E-5</v>
      </c>
      <c r="L149" s="2">
        <v>2.07962881427227E-5</v>
      </c>
      <c r="M149" s="1">
        <v>-9.0126029272141696E-4</v>
      </c>
      <c r="N149" s="1">
        <v>3.4248230931371801</v>
      </c>
    </row>
    <row r="150" spans="1:14">
      <c r="A150" s="1">
        <v>149</v>
      </c>
      <c r="B150" s="1" t="s">
        <v>426</v>
      </c>
      <c r="C150" s="1" t="s">
        <v>427</v>
      </c>
      <c r="D150" s="5" t="s">
        <v>168</v>
      </c>
      <c r="E150" s="1" t="s">
        <v>426</v>
      </c>
      <c r="F150" s="7">
        <v>4</v>
      </c>
      <c r="G150" s="1">
        <v>4</v>
      </c>
      <c r="H150" s="1" t="s">
        <v>12</v>
      </c>
      <c r="I150" s="1" t="s">
        <v>12</v>
      </c>
      <c r="J150" s="1" t="s">
        <v>4</v>
      </c>
      <c r="K150" s="2">
        <v>3.12500036219259E-5</v>
      </c>
      <c r="L150" s="2">
        <v>9.4832130346293495E-6</v>
      </c>
      <c r="M150" s="1">
        <v>1.6698677285086502E-2</v>
      </c>
      <c r="N150" s="1">
        <v>3.6023634080147899</v>
      </c>
    </row>
    <row r="151" spans="1:14">
      <c r="A151" s="1">
        <v>150</v>
      </c>
      <c r="B151" s="1" t="s">
        <v>428</v>
      </c>
      <c r="C151" s="1" t="s">
        <v>429</v>
      </c>
      <c r="D151" s="5" t="s">
        <v>430</v>
      </c>
      <c r="E151" s="1" t="s">
        <v>428</v>
      </c>
      <c r="F151" s="7">
        <v>4</v>
      </c>
      <c r="G151" s="1">
        <v>4</v>
      </c>
      <c r="H151" s="1" t="s">
        <v>68</v>
      </c>
      <c r="I151" s="1" t="s">
        <v>68</v>
      </c>
      <c r="J151" s="1" t="s">
        <v>4</v>
      </c>
      <c r="K151" s="2">
        <v>3.1250009195133201E-5</v>
      </c>
      <c r="L151" s="2">
        <v>2.0888105196676101E-5</v>
      </c>
      <c r="M151" s="1">
        <v>-1.00971142726002E-2</v>
      </c>
      <c r="N151" s="1">
        <v>3.5646564742354401</v>
      </c>
    </row>
    <row r="152" spans="1:14">
      <c r="A152" s="1">
        <v>151</v>
      </c>
      <c r="B152" s="1" t="s">
        <v>431</v>
      </c>
      <c r="C152" s="1" t="s">
        <v>432</v>
      </c>
      <c r="D152" s="5" t="s">
        <v>433</v>
      </c>
      <c r="E152" s="1" t="s">
        <v>431</v>
      </c>
      <c r="F152" s="7">
        <v>4</v>
      </c>
      <c r="G152" s="1">
        <v>9</v>
      </c>
      <c r="H152" s="1" t="s">
        <v>8</v>
      </c>
      <c r="I152" s="1" t="s">
        <v>8</v>
      </c>
      <c r="J152" s="1" t="s">
        <v>4</v>
      </c>
      <c r="K152" s="2">
        <v>3.1250000638242003E-5</v>
      </c>
      <c r="L152" s="2">
        <v>2.4918418414011799E-5</v>
      </c>
      <c r="M152" s="1">
        <v>2.4434155884346598E-2</v>
      </c>
      <c r="N152" s="1">
        <v>3.0830576201299298</v>
      </c>
    </row>
    <row r="153" spans="1:14">
      <c r="A153" s="1">
        <v>152</v>
      </c>
      <c r="B153" s="1" t="s">
        <v>434</v>
      </c>
      <c r="C153" s="1" t="s">
        <v>435</v>
      </c>
      <c r="D153" s="5" t="s">
        <v>436</v>
      </c>
      <c r="E153" s="1" t="s">
        <v>434</v>
      </c>
      <c r="F153" s="7">
        <v>4</v>
      </c>
      <c r="G153" s="1">
        <v>5</v>
      </c>
      <c r="H153" s="1" t="s">
        <v>8</v>
      </c>
      <c r="I153" s="1" t="s">
        <v>8</v>
      </c>
      <c r="J153" s="1" t="s">
        <v>4</v>
      </c>
      <c r="K153" s="2">
        <v>3.1250002304514097E-5</v>
      </c>
      <c r="L153" s="2">
        <v>2.7039223705458298E-5</v>
      </c>
      <c r="M153" s="1">
        <v>-2.2103396410741898E-3</v>
      </c>
      <c r="N153" s="1">
        <v>3.6285371889833602</v>
      </c>
    </row>
    <row r="154" spans="1:14">
      <c r="A154" s="1">
        <v>153</v>
      </c>
      <c r="B154" s="1" t="s">
        <v>437</v>
      </c>
      <c r="C154" s="1" t="s">
        <v>438</v>
      </c>
      <c r="D154" s="5" t="s">
        <v>439</v>
      </c>
      <c r="E154" s="1" t="s">
        <v>437</v>
      </c>
      <c r="F154" s="7">
        <v>7</v>
      </c>
      <c r="G154" s="1">
        <v>4</v>
      </c>
      <c r="H154" s="1" t="s">
        <v>8</v>
      </c>
      <c r="I154" s="1" t="s">
        <v>8</v>
      </c>
      <c r="J154" s="1" t="s">
        <v>4</v>
      </c>
      <c r="K154" s="2">
        <v>3.12499986766742E-5</v>
      </c>
      <c r="L154" s="2">
        <v>2.7630759341744802E-5</v>
      </c>
      <c r="M154" s="1">
        <v>3.1423601842703801E-3</v>
      </c>
      <c r="N154" s="1">
        <v>3.4453070689853398</v>
      </c>
    </row>
    <row r="155" spans="1:14">
      <c r="A155" s="1">
        <v>154</v>
      </c>
      <c r="B155" s="1" t="s">
        <v>440</v>
      </c>
      <c r="C155" s="1" t="s">
        <v>441</v>
      </c>
      <c r="D155" s="5" t="s">
        <v>112</v>
      </c>
      <c r="E155" s="1" t="s">
        <v>440</v>
      </c>
      <c r="F155" s="7">
        <v>4</v>
      </c>
      <c r="G155" s="1">
        <v>3</v>
      </c>
      <c r="H155" s="1" t="s">
        <v>8</v>
      </c>
      <c r="I155" s="1" t="s">
        <v>8</v>
      </c>
      <c r="J155" s="1" t="s">
        <v>4</v>
      </c>
      <c r="K155" s="2">
        <v>3.1250016374075097E-5</v>
      </c>
      <c r="L155" s="2">
        <v>2.9214526921873899E-5</v>
      </c>
      <c r="M155" s="1">
        <v>2.61750391024335E-2</v>
      </c>
      <c r="N155" s="1">
        <v>3.6267412220883699</v>
      </c>
    </row>
    <row r="156" spans="1:14">
      <c r="A156" s="1">
        <v>155</v>
      </c>
      <c r="B156" s="1" t="s">
        <v>442</v>
      </c>
      <c r="C156" s="1" t="s">
        <v>443</v>
      </c>
      <c r="D156" s="5" t="s">
        <v>444</v>
      </c>
      <c r="E156" s="1" t="s">
        <v>442</v>
      </c>
      <c r="F156" s="7">
        <v>4</v>
      </c>
      <c r="G156" s="1">
        <v>4</v>
      </c>
      <c r="H156" s="1" t="s">
        <v>98</v>
      </c>
      <c r="I156" s="1" t="s">
        <v>98</v>
      </c>
      <c r="J156" s="1" t="s">
        <v>4</v>
      </c>
      <c r="K156" s="2">
        <v>3.1249997179896502E-5</v>
      </c>
      <c r="L156" s="2">
        <v>3.0507708269944001E-5</v>
      </c>
      <c r="M156" s="1">
        <v>3.0778702447292899E-2</v>
      </c>
      <c r="N156" s="1">
        <v>2.5229139415557502</v>
      </c>
    </row>
    <row r="157" spans="1:14">
      <c r="A157" s="1">
        <v>156</v>
      </c>
      <c r="B157" s="1" t="s">
        <v>445</v>
      </c>
      <c r="C157" s="1" t="s">
        <v>446</v>
      </c>
      <c r="D157" s="5" t="s">
        <v>447</v>
      </c>
      <c r="E157" s="1" t="s">
        <v>445</v>
      </c>
      <c r="F157" s="7">
        <v>4</v>
      </c>
      <c r="G157" s="1">
        <v>3</v>
      </c>
      <c r="H157" s="1" t="s">
        <v>8</v>
      </c>
      <c r="I157" s="1" t="s">
        <v>8</v>
      </c>
      <c r="J157" s="1" t="s">
        <v>4</v>
      </c>
      <c r="K157" s="2">
        <v>3.1250010380858398E-5</v>
      </c>
      <c r="L157" s="2">
        <v>2.5975113182803398E-5</v>
      </c>
      <c r="M157" s="1">
        <v>-1.41442284669928E-2</v>
      </c>
      <c r="N157" s="1">
        <v>3.61885622221804</v>
      </c>
    </row>
    <row r="158" spans="1:14">
      <c r="A158" s="1">
        <v>157</v>
      </c>
      <c r="B158" s="1" t="s">
        <v>448</v>
      </c>
      <c r="C158" s="1" t="s">
        <v>449</v>
      </c>
      <c r="D158" s="5" t="s">
        <v>450</v>
      </c>
      <c r="E158" s="1" t="s">
        <v>448</v>
      </c>
      <c r="F158" s="7">
        <v>4</v>
      </c>
      <c r="G158" s="1">
        <v>4</v>
      </c>
      <c r="H158" s="1" t="s">
        <v>98</v>
      </c>
      <c r="I158" s="1" t="s">
        <v>98</v>
      </c>
      <c r="J158" s="1" t="s">
        <v>4</v>
      </c>
      <c r="K158" s="2">
        <v>3.1250013860921702E-5</v>
      </c>
      <c r="L158" s="2">
        <v>2.5665464283997799E-5</v>
      </c>
      <c r="M158" s="1">
        <v>1.1461946825122899E-2</v>
      </c>
      <c r="N158" s="1">
        <v>3.4446227926290498</v>
      </c>
    </row>
    <row r="159" spans="1:14">
      <c r="A159" s="1">
        <v>158</v>
      </c>
      <c r="B159" s="1" t="s">
        <v>451</v>
      </c>
      <c r="C159" s="1" t="s">
        <v>452</v>
      </c>
      <c r="D159" s="5" t="s">
        <v>453</v>
      </c>
      <c r="E159" s="1" t="s">
        <v>451</v>
      </c>
      <c r="F159" s="7">
        <v>4</v>
      </c>
      <c r="G159" s="1">
        <v>7</v>
      </c>
      <c r="H159" s="1" t="s">
        <v>8</v>
      </c>
      <c r="I159" s="1" t="s">
        <v>8</v>
      </c>
      <c r="J159" s="1" t="s">
        <v>4</v>
      </c>
      <c r="K159" s="2">
        <v>3.1249989011038598E-5</v>
      </c>
      <c r="L159" s="2">
        <v>3.0086975149157301E-5</v>
      </c>
      <c r="M159" s="1">
        <v>-6.3369287222485504E-3</v>
      </c>
      <c r="N159" s="1">
        <v>2.44689334276128</v>
      </c>
    </row>
    <row r="160" spans="1:14">
      <c r="A160" s="1">
        <v>159</v>
      </c>
      <c r="B160" s="1" t="s">
        <v>454</v>
      </c>
      <c r="C160" s="1" t="s">
        <v>455</v>
      </c>
      <c r="D160" s="5" t="s">
        <v>50</v>
      </c>
      <c r="E160" s="1" t="s">
        <v>454</v>
      </c>
      <c r="F160" s="7">
        <v>4</v>
      </c>
      <c r="G160" s="1">
        <v>3</v>
      </c>
      <c r="H160" s="1" t="s">
        <v>8</v>
      </c>
      <c r="I160" s="1" t="s">
        <v>8</v>
      </c>
      <c r="J160" s="1" t="s">
        <v>4</v>
      </c>
      <c r="K160" s="2">
        <v>3.1250003339632303E-5</v>
      </c>
      <c r="L160" s="2">
        <v>2.7521212601455198E-5</v>
      </c>
      <c r="M160" s="1">
        <v>2.0741337345469901E-2</v>
      </c>
      <c r="N160" s="1">
        <v>3.5496628500555598</v>
      </c>
    </row>
    <row r="161" spans="1:14">
      <c r="A161" s="1">
        <v>160</v>
      </c>
      <c r="B161" s="1" t="s">
        <v>456</v>
      </c>
      <c r="C161" s="1" t="s">
        <v>457</v>
      </c>
      <c r="D161" s="5" t="s">
        <v>425</v>
      </c>
      <c r="E161" s="1" t="s">
        <v>456</v>
      </c>
      <c r="F161" s="7">
        <v>5</v>
      </c>
      <c r="G161" s="1">
        <v>4</v>
      </c>
      <c r="H161" s="1" t="s">
        <v>8</v>
      </c>
      <c r="I161" s="1" t="s">
        <v>8</v>
      </c>
      <c r="J161" s="1" t="s">
        <v>4</v>
      </c>
      <c r="K161" s="2">
        <v>3.1250002232672699E-5</v>
      </c>
      <c r="L161" s="2">
        <v>2.5221956285399E-5</v>
      </c>
      <c r="M161" s="1">
        <v>-2.73222815994884E-2</v>
      </c>
      <c r="N161" s="1">
        <v>3.4910858353663499</v>
      </c>
    </row>
    <row r="162" spans="1:14">
      <c r="A162" s="1">
        <v>161</v>
      </c>
      <c r="B162" s="1" t="s">
        <v>458</v>
      </c>
      <c r="C162" s="1" t="s">
        <v>459</v>
      </c>
      <c r="D162" s="5" t="s">
        <v>460</v>
      </c>
      <c r="E162" s="1" t="s">
        <v>458</v>
      </c>
      <c r="F162" s="7">
        <v>5</v>
      </c>
      <c r="G162" s="1">
        <v>4</v>
      </c>
      <c r="H162" s="1" t="s">
        <v>8</v>
      </c>
      <c r="I162" s="1" t="s">
        <v>8</v>
      </c>
      <c r="J162" s="1" t="s">
        <v>4</v>
      </c>
      <c r="K162" s="2">
        <v>3.1250003899261801E-5</v>
      </c>
      <c r="L162" s="2">
        <v>2.7185407678569802E-5</v>
      </c>
      <c r="M162" s="1">
        <v>7.5029173388116901E-3</v>
      </c>
      <c r="N162" s="1">
        <v>3.40623588534487</v>
      </c>
    </row>
    <row r="163" spans="1:14">
      <c r="A163" s="1">
        <v>162</v>
      </c>
      <c r="B163" s="1" t="s">
        <v>461</v>
      </c>
      <c r="C163" s="1" t="s">
        <v>462</v>
      </c>
      <c r="D163" s="5" t="s">
        <v>463</v>
      </c>
      <c r="E163" s="1" t="s">
        <v>461</v>
      </c>
      <c r="F163" s="7">
        <v>4</v>
      </c>
      <c r="G163" s="1">
        <v>6</v>
      </c>
      <c r="H163" s="1" t="s">
        <v>8</v>
      </c>
      <c r="I163" s="1" t="s">
        <v>8</v>
      </c>
      <c r="J163" s="1" t="s">
        <v>4</v>
      </c>
      <c r="K163" s="2">
        <v>3.1250007083705998E-5</v>
      </c>
      <c r="L163" s="2">
        <v>3.1113731900382699E-5</v>
      </c>
      <c r="M163" s="1">
        <v>1.9838919857292501E-2</v>
      </c>
      <c r="N163" s="1">
        <v>2.8054400391420402</v>
      </c>
    </row>
    <row r="164" spans="1:14">
      <c r="A164" s="1">
        <v>163</v>
      </c>
      <c r="B164" s="1" t="s">
        <v>464</v>
      </c>
      <c r="C164" s="1" t="s">
        <v>465</v>
      </c>
      <c r="D164" s="5" t="s">
        <v>466</v>
      </c>
      <c r="E164" s="1" t="s">
        <v>464</v>
      </c>
      <c r="F164" s="7">
        <v>4</v>
      </c>
      <c r="G164" s="1">
        <v>6</v>
      </c>
      <c r="H164" s="1" t="s">
        <v>8</v>
      </c>
      <c r="I164" s="1" t="s">
        <v>8</v>
      </c>
      <c r="J164" s="1" t="s">
        <v>4</v>
      </c>
      <c r="K164" s="2">
        <v>3.12500076396668E-5</v>
      </c>
      <c r="L164" s="2">
        <v>1.8939623350980499E-5</v>
      </c>
      <c r="M164" s="1">
        <v>9.5509934326969397E-3</v>
      </c>
      <c r="N164" s="1">
        <v>3.4478001177885802</v>
      </c>
    </row>
    <row r="165" spans="1:14">
      <c r="A165" s="1">
        <v>164</v>
      </c>
      <c r="B165" s="1" t="s">
        <v>467</v>
      </c>
      <c r="C165" s="1" t="s">
        <v>468</v>
      </c>
      <c r="D165" s="5" t="s">
        <v>469</v>
      </c>
      <c r="E165" s="1" t="s">
        <v>467</v>
      </c>
      <c r="F165" s="7">
        <v>5</v>
      </c>
      <c r="G165" s="1">
        <v>5</v>
      </c>
      <c r="H165" s="1" t="s">
        <v>8</v>
      </c>
      <c r="I165" s="1" t="s">
        <v>8</v>
      </c>
      <c r="J165" s="1" t="s">
        <v>4</v>
      </c>
      <c r="K165" s="2">
        <v>3.1250006872783302E-5</v>
      </c>
      <c r="L165" s="2">
        <v>3.1138804853834898E-5</v>
      </c>
      <c r="M165" s="1">
        <v>2.1540604420849201E-2</v>
      </c>
      <c r="N165" s="1">
        <v>2.8127614736028499</v>
      </c>
    </row>
    <row r="166" spans="1:14">
      <c r="A166" s="1">
        <v>165</v>
      </c>
      <c r="B166" s="1" t="s">
        <v>470</v>
      </c>
      <c r="C166" s="1" t="s">
        <v>471</v>
      </c>
      <c r="D166" s="5" t="s">
        <v>472</v>
      </c>
      <c r="E166" s="1" t="s">
        <v>470</v>
      </c>
      <c r="F166" s="7">
        <v>6</v>
      </c>
      <c r="G166" s="1">
        <v>5</v>
      </c>
      <c r="H166" s="1" t="s">
        <v>8</v>
      </c>
      <c r="I166" s="1" t="s">
        <v>8</v>
      </c>
      <c r="J166" s="1" t="s">
        <v>4</v>
      </c>
      <c r="K166" s="2">
        <v>3.1250000378008701E-5</v>
      </c>
      <c r="L166" s="2">
        <v>3.0513913279220001E-5</v>
      </c>
      <c r="M166" s="1">
        <v>2.35493381203042E-2</v>
      </c>
      <c r="N166" s="1">
        <v>3.00797848762241</v>
      </c>
    </row>
    <row r="167" spans="1:14">
      <c r="A167" s="1">
        <v>166</v>
      </c>
      <c r="B167" s="1" t="s">
        <v>473</v>
      </c>
      <c r="C167" s="1" t="s">
        <v>474</v>
      </c>
      <c r="D167" s="5" t="s">
        <v>475</v>
      </c>
      <c r="E167" s="1" t="s">
        <v>473</v>
      </c>
      <c r="F167" s="7">
        <v>6</v>
      </c>
      <c r="G167" s="1">
        <v>5</v>
      </c>
      <c r="H167" s="1" t="s">
        <v>8</v>
      </c>
      <c r="I167" s="1" t="s">
        <v>8</v>
      </c>
      <c r="J167" s="1" t="s">
        <v>4</v>
      </c>
      <c r="K167" s="2">
        <v>3.12500127655716E-5</v>
      </c>
      <c r="L167" s="2">
        <v>2.9648777515573E-5</v>
      </c>
      <c r="M167" s="1">
        <v>9.2406430282601093E-3</v>
      </c>
      <c r="N167" s="1">
        <v>3.6650480988979899</v>
      </c>
    </row>
    <row r="168" spans="1:14">
      <c r="A168" s="1">
        <v>167</v>
      </c>
      <c r="B168" s="1" t="s">
        <v>476</v>
      </c>
      <c r="C168" s="1" t="s">
        <v>477</v>
      </c>
      <c r="D168" s="5" t="s">
        <v>478</v>
      </c>
      <c r="E168" s="1" t="s">
        <v>476</v>
      </c>
      <c r="F168" s="7">
        <v>7</v>
      </c>
      <c r="G168" s="1">
        <v>5</v>
      </c>
      <c r="H168" s="1" t="s">
        <v>8</v>
      </c>
      <c r="I168" s="1" t="s">
        <v>8</v>
      </c>
      <c r="J168" s="1" t="s">
        <v>4</v>
      </c>
      <c r="K168" s="2">
        <v>3.1250001931619097E-5</v>
      </c>
      <c r="L168" s="2">
        <v>3.1214890915260398E-5</v>
      </c>
      <c r="M168" s="1">
        <v>1.0070778026666E-2</v>
      </c>
      <c r="N168" s="1">
        <v>2.73015885773391</v>
      </c>
    </row>
    <row r="169" spans="1:14">
      <c r="A169" s="1">
        <v>168</v>
      </c>
      <c r="B169" s="1" t="s">
        <v>479</v>
      </c>
      <c r="C169" s="1" t="s">
        <v>480</v>
      </c>
      <c r="D169" s="5" t="s">
        <v>481</v>
      </c>
      <c r="E169" s="1" t="s">
        <v>479</v>
      </c>
      <c r="F169" s="7">
        <v>6</v>
      </c>
      <c r="G169" s="1">
        <v>6</v>
      </c>
      <c r="H169" s="1" t="s">
        <v>68</v>
      </c>
      <c r="I169" s="1" t="s">
        <v>68</v>
      </c>
      <c r="J169" s="1" t="s">
        <v>4</v>
      </c>
      <c r="K169" s="2">
        <v>3.1249998609260799E-5</v>
      </c>
      <c r="L169" s="2">
        <v>2.8574293446779E-5</v>
      </c>
      <c r="M169" s="1">
        <v>-2.8929318218473499E-2</v>
      </c>
      <c r="N169" s="1">
        <v>3.4609787749844099</v>
      </c>
    </row>
    <row r="170" spans="1:14">
      <c r="A170" s="1">
        <v>169</v>
      </c>
      <c r="B170" s="1" t="s">
        <v>482</v>
      </c>
      <c r="C170" s="1" t="s">
        <v>483</v>
      </c>
      <c r="D170" s="5" t="s">
        <v>484</v>
      </c>
      <c r="E170" s="1" t="s">
        <v>482</v>
      </c>
      <c r="F170" s="7">
        <v>8</v>
      </c>
      <c r="G170" s="1">
        <v>5</v>
      </c>
      <c r="H170" s="1" t="s">
        <v>8</v>
      </c>
      <c r="I170" s="1" t="s">
        <v>8</v>
      </c>
      <c r="J170" s="1" t="s">
        <v>4</v>
      </c>
      <c r="K170" s="2">
        <v>3.1250009882896802E-5</v>
      </c>
      <c r="L170" s="2">
        <v>2.7992235202069002E-5</v>
      </c>
      <c r="M170" s="1">
        <v>6.5566062005881698E-3</v>
      </c>
      <c r="N170" s="1">
        <v>3.7723083056851898</v>
      </c>
    </row>
    <row r="171" spans="1:14">
      <c r="A171" s="1">
        <v>170</v>
      </c>
      <c r="B171" s="1" t="s">
        <v>485</v>
      </c>
      <c r="C171" s="1" t="s">
        <v>486</v>
      </c>
      <c r="D171" s="5" t="s">
        <v>487</v>
      </c>
      <c r="E171" s="1" t="s">
        <v>485</v>
      </c>
      <c r="F171" s="7">
        <v>7</v>
      </c>
      <c r="G171" s="1">
        <v>5</v>
      </c>
      <c r="H171" s="1" t="s">
        <v>8</v>
      </c>
      <c r="I171" s="1" t="s">
        <v>8</v>
      </c>
      <c r="J171" s="1" t="s">
        <v>4</v>
      </c>
      <c r="K171" s="2">
        <v>3.1250015566604497E-5</v>
      </c>
      <c r="L171" s="2">
        <v>2.49042422941035E-5</v>
      </c>
      <c r="M171" s="1">
        <v>-1.7576228295812499E-2</v>
      </c>
      <c r="N171" s="1">
        <v>3.5824827561377899</v>
      </c>
    </row>
    <row r="172" spans="1:14">
      <c r="A172" s="1">
        <v>171</v>
      </c>
      <c r="B172" s="1" t="s">
        <v>488</v>
      </c>
      <c r="C172" s="1" t="s">
        <v>489</v>
      </c>
      <c r="D172" s="5" t="s">
        <v>439</v>
      </c>
      <c r="E172" s="1" t="s">
        <v>488</v>
      </c>
      <c r="F172" s="7">
        <v>5</v>
      </c>
      <c r="G172" s="1">
        <v>4</v>
      </c>
      <c r="H172" s="1" t="s">
        <v>8</v>
      </c>
      <c r="I172" s="1" t="s">
        <v>8</v>
      </c>
      <c r="J172" s="1" t="s">
        <v>4</v>
      </c>
      <c r="K172" s="2">
        <v>3.1250006106721398E-5</v>
      </c>
      <c r="L172" s="2">
        <v>2.4225967197046499E-5</v>
      </c>
      <c r="M172" s="1">
        <v>2.0079823790212E-2</v>
      </c>
      <c r="N172" s="1">
        <v>3.4230734723470602</v>
      </c>
    </row>
    <row r="173" spans="1:14">
      <c r="A173" s="1">
        <v>172</v>
      </c>
      <c r="B173" s="1" t="s">
        <v>490</v>
      </c>
      <c r="C173" s="1" t="s">
        <v>491</v>
      </c>
      <c r="D173" s="5" t="s">
        <v>47</v>
      </c>
      <c r="E173" s="1" t="s">
        <v>490</v>
      </c>
      <c r="F173" s="7">
        <v>5</v>
      </c>
      <c r="G173" s="1">
        <v>2</v>
      </c>
      <c r="H173" s="1" t="s">
        <v>12</v>
      </c>
      <c r="I173" s="1" t="s">
        <v>12</v>
      </c>
      <c r="J173" s="1" t="s">
        <v>4</v>
      </c>
      <c r="K173" s="2">
        <v>3.1250002161553198E-5</v>
      </c>
      <c r="L173" s="2">
        <v>1.92265845699005E-5</v>
      </c>
      <c r="M173" s="1">
        <v>-2.0978958062023802E-2</v>
      </c>
      <c r="N173" s="1">
        <v>3.79981435966535</v>
      </c>
    </row>
    <row r="174" spans="1:14">
      <c r="A174" s="1">
        <v>173</v>
      </c>
      <c r="B174" s="1" t="s">
        <v>492</v>
      </c>
      <c r="C174" s="1" t="s">
        <v>493</v>
      </c>
      <c r="D174" s="5" t="s">
        <v>494</v>
      </c>
      <c r="E174" s="1" t="s">
        <v>492</v>
      </c>
      <c r="F174" s="7">
        <v>4</v>
      </c>
      <c r="G174" s="1">
        <v>8</v>
      </c>
      <c r="H174" s="1" t="s">
        <v>8</v>
      </c>
      <c r="I174" s="1" t="s">
        <v>8</v>
      </c>
      <c r="J174" s="1" t="s">
        <v>4</v>
      </c>
      <c r="K174" s="2">
        <v>3.1250006847619599E-5</v>
      </c>
      <c r="L174" s="2">
        <v>3.0513576302058301E-5</v>
      </c>
      <c r="M174" s="1">
        <v>-1.9222478733013301E-2</v>
      </c>
      <c r="N174" s="1">
        <v>2.4854125895846</v>
      </c>
    </row>
    <row r="175" spans="1:14">
      <c r="A175" s="1">
        <v>174</v>
      </c>
      <c r="B175" s="1" t="s">
        <v>495</v>
      </c>
      <c r="C175" s="1" t="s">
        <v>496</v>
      </c>
      <c r="D175" s="5" t="s">
        <v>497</v>
      </c>
      <c r="E175" s="1" t="s">
        <v>495</v>
      </c>
      <c r="F175" s="7">
        <v>4</v>
      </c>
      <c r="G175" s="1">
        <v>6</v>
      </c>
      <c r="H175" s="1" t="s">
        <v>8</v>
      </c>
      <c r="I175" s="1" t="s">
        <v>8</v>
      </c>
      <c r="J175" s="1" t="s">
        <v>4</v>
      </c>
      <c r="K175" s="2">
        <v>3.1250001833676102E-5</v>
      </c>
      <c r="L175" s="2">
        <v>7.5206477398750199E-6</v>
      </c>
      <c r="M175" s="1">
        <v>3.4812406501899297E-2</v>
      </c>
      <c r="N175" s="1">
        <v>3.6592123452804599</v>
      </c>
    </row>
    <row r="176" spans="1:14">
      <c r="A176" s="1">
        <v>175</v>
      </c>
      <c r="B176" s="1" t="s">
        <v>498</v>
      </c>
      <c r="C176" s="1" t="s">
        <v>499</v>
      </c>
      <c r="D176" s="5" t="s">
        <v>500</v>
      </c>
      <c r="E176" s="1" t="s">
        <v>498</v>
      </c>
      <c r="F176" s="7">
        <v>4</v>
      </c>
      <c r="G176" s="1">
        <v>4</v>
      </c>
      <c r="H176" s="1" t="s">
        <v>98</v>
      </c>
      <c r="I176" s="1" t="s">
        <v>98</v>
      </c>
      <c r="J176" s="1" t="s">
        <v>4</v>
      </c>
      <c r="K176" s="2">
        <v>3.1250004587219501E-5</v>
      </c>
      <c r="L176" s="2">
        <v>1.54751289541922E-5</v>
      </c>
      <c r="M176" s="1">
        <v>-2.3442028316208199E-2</v>
      </c>
      <c r="N176" s="1">
        <v>2.8598179536741402</v>
      </c>
    </row>
    <row r="177" spans="1:14">
      <c r="A177" s="1">
        <v>176</v>
      </c>
      <c r="B177" s="1" t="s">
        <v>501</v>
      </c>
      <c r="C177" s="1" t="s">
        <v>502</v>
      </c>
      <c r="D177" s="5" t="s">
        <v>503</v>
      </c>
      <c r="E177" s="1" t="s">
        <v>501</v>
      </c>
      <c r="F177" s="7">
        <v>5</v>
      </c>
      <c r="G177" s="1">
        <v>3</v>
      </c>
      <c r="H177" s="1" t="s">
        <v>12</v>
      </c>
      <c r="I177" s="1" t="s">
        <v>12</v>
      </c>
      <c r="J177" s="1" t="s">
        <v>4</v>
      </c>
      <c r="K177" s="2">
        <v>3.1250008946127599E-5</v>
      </c>
      <c r="L177" s="2">
        <v>2.9999557876976299E-5</v>
      </c>
      <c r="M177" s="1">
        <v>-1.7896597564346799E-2</v>
      </c>
      <c r="N177" s="1">
        <v>3.7558607257137</v>
      </c>
    </row>
    <row r="178" spans="1:14">
      <c r="A178" s="1">
        <v>177</v>
      </c>
      <c r="B178" s="1" t="s">
        <v>504</v>
      </c>
      <c r="C178" s="1" t="s">
        <v>505</v>
      </c>
      <c r="D178" s="5" t="s">
        <v>506</v>
      </c>
      <c r="E178" s="1" t="s">
        <v>504</v>
      </c>
      <c r="F178" s="7">
        <v>4</v>
      </c>
      <c r="G178" s="1">
        <v>6</v>
      </c>
      <c r="H178" s="1" t="s">
        <v>68</v>
      </c>
      <c r="I178" s="1" t="s">
        <v>68</v>
      </c>
      <c r="J178" s="1" t="s">
        <v>4</v>
      </c>
      <c r="K178" s="2">
        <v>3.1250000372671797E-5</v>
      </c>
      <c r="L178" s="2">
        <v>3.0884150110370197E-5</v>
      </c>
      <c r="M178" s="1">
        <v>-9.6477628968258903E-3</v>
      </c>
      <c r="N178" s="1">
        <v>2.3248136940609898</v>
      </c>
    </row>
    <row r="179" spans="1:14">
      <c r="A179" s="1">
        <v>178</v>
      </c>
      <c r="B179" s="1" t="s">
        <v>507</v>
      </c>
      <c r="C179" s="1" t="s">
        <v>508</v>
      </c>
      <c r="D179" s="5" t="s">
        <v>509</v>
      </c>
      <c r="E179" s="1" t="s">
        <v>507</v>
      </c>
      <c r="F179" s="7">
        <v>5</v>
      </c>
      <c r="G179" s="1">
        <v>4</v>
      </c>
      <c r="H179" s="1" t="s">
        <v>8</v>
      </c>
      <c r="I179" s="1" t="s">
        <v>8</v>
      </c>
      <c r="J179" s="1" t="s">
        <v>4</v>
      </c>
      <c r="K179" s="2">
        <v>3.1250004347277801E-5</v>
      </c>
      <c r="L179" s="2">
        <v>2.74873993853838E-5</v>
      </c>
      <c r="M179" s="1">
        <v>1.22694954431068E-3</v>
      </c>
      <c r="N179" s="1">
        <v>3.7418617439543298</v>
      </c>
    </row>
    <row r="180" spans="1:14">
      <c r="A180" s="1">
        <v>179</v>
      </c>
      <c r="B180" s="1" t="s">
        <v>510</v>
      </c>
      <c r="C180" s="1" t="s">
        <v>511</v>
      </c>
      <c r="D180" s="5" t="s">
        <v>512</v>
      </c>
      <c r="E180" s="1" t="s">
        <v>510</v>
      </c>
      <c r="F180" s="7">
        <v>4</v>
      </c>
      <c r="G180" s="1">
        <v>4</v>
      </c>
      <c r="H180" s="1" t="s">
        <v>8</v>
      </c>
      <c r="I180" s="1" t="s">
        <v>8</v>
      </c>
      <c r="J180" s="1" t="s">
        <v>4</v>
      </c>
      <c r="K180" s="2">
        <v>3.1250016658710097E-5</v>
      </c>
      <c r="L180" s="2">
        <v>2.7382926980986999E-5</v>
      </c>
      <c r="M180" s="1">
        <v>-6.1168622804208496E-4</v>
      </c>
      <c r="N180" s="1">
        <v>3.5968324706082</v>
      </c>
    </row>
    <row r="181" spans="1:14">
      <c r="A181" s="1">
        <v>180</v>
      </c>
      <c r="B181" s="1" t="s">
        <v>513</v>
      </c>
      <c r="C181" s="1" t="s">
        <v>514</v>
      </c>
      <c r="D181" s="5" t="s">
        <v>515</v>
      </c>
      <c r="E181" s="1" t="s">
        <v>513</v>
      </c>
      <c r="F181" s="7">
        <v>5</v>
      </c>
      <c r="G181" s="1">
        <v>4</v>
      </c>
      <c r="H181" s="1" t="s">
        <v>98</v>
      </c>
      <c r="I181" s="1" t="s">
        <v>98</v>
      </c>
      <c r="J181" s="1" t="s">
        <v>4</v>
      </c>
      <c r="K181" s="2">
        <v>3.1250011334636199E-5</v>
      </c>
      <c r="L181" s="2">
        <v>2.54685670029388E-5</v>
      </c>
      <c r="M181" s="1">
        <v>1.17495498891173E-2</v>
      </c>
      <c r="N181" s="1">
        <v>3.6610247478409201</v>
      </c>
    </row>
    <row r="182" spans="1:14">
      <c r="A182" s="1">
        <v>181</v>
      </c>
      <c r="B182" s="1" t="s">
        <v>516</v>
      </c>
      <c r="C182" s="1" t="s">
        <v>517</v>
      </c>
      <c r="D182" s="5" t="s">
        <v>47</v>
      </c>
      <c r="E182" s="1" t="s">
        <v>516</v>
      </c>
      <c r="F182" s="7">
        <v>4</v>
      </c>
      <c r="G182" s="1">
        <v>2</v>
      </c>
      <c r="H182" s="1" t="s">
        <v>12</v>
      </c>
      <c r="I182" s="1" t="s">
        <v>12</v>
      </c>
      <c r="J182" s="1" t="s">
        <v>4</v>
      </c>
      <c r="K182" s="2">
        <v>3.1250019826090098E-5</v>
      </c>
      <c r="L182" s="2">
        <v>1.11954049973224E-5</v>
      </c>
      <c r="M182" s="1">
        <v>9.9037115201818793E-3</v>
      </c>
      <c r="N182" s="1">
        <v>3.7977054078250498</v>
      </c>
    </row>
    <row r="183" spans="1:14">
      <c r="A183" s="1">
        <v>182</v>
      </c>
      <c r="B183" s="1" t="s">
        <v>518</v>
      </c>
      <c r="C183" s="1" t="s">
        <v>519</v>
      </c>
      <c r="D183" s="5" t="s">
        <v>520</v>
      </c>
      <c r="E183" s="1" t="s">
        <v>518</v>
      </c>
      <c r="F183" s="7">
        <v>5</v>
      </c>
      <c r="G183" s="1">
        <v>4</v>
      </c>
      <c r="H183" s="1" t="s">
        <v>8</v>
      </c>
      <c r="I183" s="1" t="s">
        <v>8</v>
      </c>
      <c r="J183" s="1" t="s">
        <v>4</v>
      </c>
      <c r="K183" s="2">
        <v>3.12500019893057E-5</v>
      </c>
      <c r="L183" s="2">
        <v>2.6219616629974299E-5</v>
      </c>
      <c r="M183" s="1">
        <v>-2.4966659745004401E-2</v>
      </c>
      <c r="N183" s="1">
        <v>3.4924301403949198</v>
      </c>
    </row>
    <row r="184" spans="1:14">
      <c r="A184" s="1">
        <v>183</v>
      </c>
      <c r="B184" s="1" t="s">
        <v>521</v>
      </c>
      <c r="C184" s="1" t="s">
        <v>522</v>
      </c>
      <c r="D184" s="5" t="s">
        <v>112</v>
      </c>
      <c r="E184" s="1" t="s">
        <v>521</v>
      </c>
      <c r="F184" s="7">
        <v>4</v>
      </c>
      <c r="G184" s="1">
        <v>3</v>
      </c>
      <c r="H184" s="1" t="s">
        <v>113</v>
      </c>
      <c r="I184" s="1" t="s">
        <v>113</v>
      </c>
      <c r="J184" s="1" t="s">
        <v>4</v>
      </c>
      <c r="K184" s="2">
        <v>3.1250017464519103E-5</v>
      </c>
      <c r="L184" s="2">
        <v>1.61575437328486E-5</v>
      </c>
      <c r="M184" s="1">
        <v>-5.6673244879412703E-3</v>
      </c>
      <c r="N184" s="1">
        <v>3.8571437988551001</v>
      </c>
    </row>
    <row r="185" spans="1:14">
      <c r="A185" s="1">
        <v>184</v>
      </c>
      <c r="B185" s="1" t="s">
        <v>523</v>
      </c>
      <c r="C185" s="1" t="s">
        <v>524</v>
      </c>
      <c r="D185" s="5" t="s">
        <v>525</v>
      </c>
      <c r="E185" s="1" t="s">
        <v>523</v>
      </c>
      <c r="F185" s="7">
        <v>6</v>
      </c>
      <c r="G185" s="1">
        <v>4</v>
      </c>
      <c r="H185" s="1" t="s">
        <v>8</v>
      </c>
      <c r="I185" s="1" t="s">
        <v>8</v>
      </c>
      <c r="J185" s="1" t="s">
        <v>4</v>
      </c>
      <c r="K185" s="2">
        <v>3.1250014023605797E-5</v>
      </c>
      <c r="L185" s="2">
        <v>2.8044852486861299E-5</v>
      </c>
      <c r="M185" s="1">
        <v>1.5896990497823001E-2</v>
      </c>
      <c r="N185" s="1">
        <v>3.5586762473236</v>
      </c>
    </row>
    <row r="186" spans="1:14">
      <c r="A186" s="1">
        <v>185</v>
      </c>
      <c r="B186" s="1" t="s">
        <v>526</v>
      </c>
      <c r="C186" s="1" t="s">
        <v>527</v>
      </c>
      <c r="D186" s="5" t="s">
        <v>528</v>
      </c>
      <c r="E186" s="1" t="s">
        <v>526</v>
      </c>
      <c r="F186" s="7">
        <v>4</v>
      </c>
      <c r="G186" s="1">
        <v>8</v>
      </c>
      <c r="H186" s="1" t="s">
        <v>8</v>
      </c>
      <c r="I186" s="1" t="s">
        <v>8</v>
      </c>
      <c r="J186" s="1" t="s">
        <v>4</v>
      </c>
      <c r="K186" s="2">
        <v>3.1250005768343798E-5</v>
      </c>
      <c r="L186" s="2">
        <v>3.0257656182475399E-5</v>
      </c>
      <c r="M186" s="1">
        <v>2.7429182085825202E-3</v>
      </c>
      <c r="N186" s="1">
        <v>2.8576335377169699</v>
      </c>
    </row>
    <row r="187" spans="1:14">
      <c r="A187" s="1">
        <v>186</v>
      </c>
      <c r="B187" s="1" t="s">
        <v>529</v>
      </c>
      <c r="C187" s="1" t="s">
        <v>530</v>
      </c>
      <c r="D187" s="5" t="s">
        <v>531</v>
      </c>
      <c r="E187" s="1" t="s">
        <v>529</v>
      </c>
      <c r="F187" s="7">
        <v>4</v>
      </c>
      <c r="G187" s="1">
        <v>4</v>
      </c>
      <c r="H187" s="1" t="s">
        <v>8</v>
      </c>
      <c r="I187" s="1" t="s">
        <v>8</v>
      </c>
      <c r="J187" s="1" t="s">
        <v>4</v>
      </c>
      <c r="K187" s="2">
        <v>3.1250001608021801E-5</v>
      </c>
      <c r="L187" s="2">
        <v>5.6038036701192296E-6</v>
      </c>
      <c r="M187" s="1">
        <v>-3.1593474096744899E-3</v>
      </c>
      <c r="N187" s="1">
        <v>3.2061837137573601</v>
      </c>
    </row>
    <row r="188" spans="1:14">
      <c r="A188" s="1">
        <v>187</v>
      </c>
      <c r="B188" s="1" t="s">
        <v>532</v>
      </c>
      <c r="C188" s="1" t="s">
        <v>533</v>
      </c>
      <c r="D188" s="5" t="s">
        <v>534</v>
      </c>
      <c r="E188" s="1" t="s">
        <v>532</v>
      </c>
      <c r="F188" s="7">
        <v>6</v>
      </c>
      <c r="G188" s="1">
        <v>4</v>
      </c>
      <c r="H188" s="1" t="s">
        <v>8</v>
      </c>
      <c r="I188" s="1" t="s">
        <v>8</v>
      </c>
      <c r="J188" s="1" t="s">
        <v>4</v>
      </c>
      <c r="K188" s="2">
        <v>3.1249998892247202E-5</v>
      </c>
      <c r="L188" s="2">
        <v>2.2471220043445699E-5</v>
      </c>
      <c r="M188" s="1">
        <v>2.7331566953145901E-2</v>
      </c>
      <c r="N188" s="1">
        <v>3.58047037744908</v>
      </c>
    </row>
    <row r="189" spans="1:14">
      <c r="A189" s="1">
        <v>188</v>
      </c>
      <c r="B189" s="1" t="s">
        <v>535</v>
      </c>
      <c r="C189" s="1" t="s">
        <v>536</v>
      </c>
      <c r="D189" s="5" t="s">
        <v>537</v>
      </c>
      <c r="E189" s="1" t="s">
        <v>535</v>
      </c>
      <c r="F189" s="7">
        <v>4</v>
      </c>
      <c r="G189" s="1">
        <v>4</v>
      </c>
      <c r="H189" s="1" t="s">
        <v>8</v>
      </c>
      <c r="I189" s="1" t="s">
        <v>8</v>
      </c>
      <c r="J189" s="1" t="s">
        <v>4</v>
      </c>
      <c r="K189" s="2">
        <v>3.1249993092969599E-5</v>
      </c>
      <c r="L189" s="2">
        <v>3.1200329050898297E-5</v>
      </c>
      <c r="M189" s="1">
        <v>6.1682316527829004E-3</v>
      </c>
      <c r="N189" s="1">
        <v>2.97368673029285</v>
      </c>
    </row>
    <row r="190" spans="1:14">
      <c r="A190" s="1">
        <v>189</v>
      </c>
      <c r="B190" s="1" t="s">
        <v>538</v>
      </c>
      <c r="C190" s="1" t="s">
        <v>539</v>
      </c>
      <c r="D190" s="5" t="s">
        <v>7</v>
      </c>
      <c r="E190" s="1" t="s">
        <v>538</v>
      </c>
      <c r="F190" s="7">
        <v>6</v>
      </c>
      <c r="G190" s="1">
        <v>3</v>
      </c>
      <c r="H190" s="1" t="s">
        <v>8</v>
      </c>
      <c r="I190" s="1" t="s">
        <v>8</v>
      </c>
      <c r="J190" s="1" t="s">
        <v>4</v>
      </c>
      <c r="K190" s="2">
        <v>3.1249998501312698E-5</v>
      </c>
      <c r="L190" s="2">
        <v>2.9912296869325801E-5</v>
      </c>
      <c r="M190" s="1">
        <v>-8.7200370633020406E-3</v>
      </c>
      <c r="N190" s="1">
        <v>3.7130156578342999</v>
      </c>
    </row>
    <row r="191" spans="1:14">
      <c r="A191" s="1">
        <v>190</v>
      </c>
      <c r="B191" s="1" t="s">
        <v>540</v>
      </c>
      <c r="C191" s="1" t="s">
        <v>541</v>
      </c>
      <c r="D191" s="5" t="s">
        <v>542</v>
      </c>
      <c r="E191" s="1" t="s">
        <v>2338</v>
      </c>
      <c r="F191" s="7">
        <v>4</v>
      </c>
      <c r="G191" s="1">
        <v>4</v>
      </c>
      <c r="H191" s="1" t="s">
        <v>8</v>
      </c>
      <c r="I191" s="1" t="s">
        <v>68</v>
      </c>
      <c r="J191" s="1" t="s">
        <v>180</v>
      </c>
      <c r="K191" s="2">
        <v>3.1249998845141301E-5</v>
      </c>
      <c r="L191" s="2">
        <v>1.9850173651765198E-6</v>
      </c>
      <c r="M191" s="1">
        <v>-5.9260453202144299E-2</v>
      </c>
      <c r="N191" s="1">
        <v>3.51837517763067</v>
      </c>
    </row>
    <row r="192" spans="1:14">
      <c r="A192" s="1">
        <v>191</v>
      </c>
      <c r="B192" s="1" t="s">
        <v>543</v>
      </c>
      <c r="C192" s="1" t="s">
        <v>544</v>
      </c>
      <c r="D192" s="5" t="s">
        <v>257</v>
      </c>
      <c r="E192" s="1" t="s">
        <v>543</v>
      </c>
      <c r="F192" s="7">
        <v>4</v>
      </c>
      <c r="G192" s="1">
        <v>3</v>
      </c>
      <c r="H192" s="1" t="s">
        <v>3</v>
      </c>
      <c r="I192" s="1" t="s">
        <v>3</v>
      </c>
      <c r="J192" s="1" t="s">
        <v>4</v>
      </c>
      <c r="K192" s="2">
        <v>3.1249996962010802E-5</v>
      </c>
      <c r="L192" s="2">
        <v>2.34578298598696E-5</v>
      </c>
      <c r="M192" s="1">
        <v>4.0287485140268503E-2</v>
      </c>
      <c r="N192" s="1">
        <v>3.47408760935383</v>
      </c>
    </row>
    <row r="193" spans="1:14">
      <c r="A193" s="1">
        <v>192</v>
      </c>
      <c r="B193" s="1" t="s">
        <v>545</v>
      </c>
      <c r="C193" s="1" t="s">
        <v>546</v>
      </c>
      <c r="D193" s="5" t="s">
        <v>547</v>
      </c>
      <c r="E193" s="1" t="s">
        <v>545</v>
      </c>
      <c r="F193" s="7">
        <v>5</v>
      </c>
      <c r="G193" s="1">
        <v>7</v>
      </c>
      <c r="H193" s="1" t="s">
        <v>8</v>
      </c>
      <c r="I193" s="1" t="s">
        <v>8</v>
      </c>
      <c r="J193" s="1" t="s">
        <v>4</v>
      </c>
      <c r="K193" s="2">
        <v>3.1250009037480197E-5</v>
      </c>
      <c r="L193" s="2">
        <v>1.53352667248812E-5</v>
      </c>
      <c r="M193" s="1">
        <v>1.7242767815453398E-2</v>
      </c>
      <c r="N193" s="1">
        <v>3.32524346181158</v>
      </c>
    </row>
    <row r="194" spans="1:14">
      <c r="A194" s="1">
        <v>193</v>
      </c>
      <c r="B194" s="1" t="s">
        <v>548</v>
      </c>
      <c r="C194" s="1" t="s">
        <v>549</v>
      </c>
      <c r="D194" s="5" t="s">
        <v>550</v>
      </c>
      <c r="E194" s="1" t="s">
        <v>2339</v>
      </c>
      <c r="F194" s="7">
        <v>4</v>
      </c>
      <c r="G194" s="1">
        <v>4</v>
      </c>
      <c r="H194" s="1" t="s">
        <v>8</v>
      </c>
      <c r="I194" s="1" t="s">
        <v>68</v>
      </c>
      <c r="J194" s="1" t="s">
        <v>180</v>
      </c>
      <c r="K194" s="2">
        <v>3.1250003628599097E-5</v>
      </c>
      <c r="L194" s="2">
        <v>1.15470341251288E-5</v>
      </c>
      <c r="M194" s="2">
        <v>2.9508995289972901E-5</v>
      </c>
      <c r="N194" s="1">
        <v>3.9241778538704302</v>
      </c>
    </row>
    <row r="195" spans="1:14">
      <c r="A195" s="1">
        <v>194</v>
      </c>
      <c r="B195" s="1" t="s">
        <v>551</v>
      </c>
      <c r="C195" s="1" t="s">
        <v>552</v>
      </c>
      <c r="D195" s="5" t="s">
        <v>553</v>
      </c>
      <c r="E195" s="1" t="s">
        <v>551</v>
      </c>
      <c r="F195" s="7">
        <v>6</v>
      </c>
      <c r="G195" s="1">
        <v>4</v>
      </c>
      <c r="H195" s="1" t="s">
        <v>8</v>
      </c>
      <c r="I195" s="1" t="s">
        <v>8</v>
      </c>
      <c r="J195" s="1" t="s">
        <v>4</v>
      </c>
      <c r="K195" s="2">
        <v>3.1250003524073801E-5</v>
      </c>
      <c r="L195" s="2">
        <v>2.68146496269004E-5</v>
      </c>
      <c r="M195" s="1">
        <v>-6.3102689299867603E-3</v>
      </c>
      <c r="N195" s="1">
        <v>3.6351786360506799</v>
      </c>
    </row>
    <row r="196" spans="1:14">
      <c r="A196" s="1">
        <v>195</v>
      </c>
      <c r="B196" s="1" t="s">
        <v>554</v>
      </c>
      <c r="C196" s="1" t="s">
        <v>555</v>
      </c>
      <c r="D196" s="5" t="s">
        <v>556</v>
      </c>
      <c r="E196" s="1" t="s">
        <v>554</v>
      </c>
      <c r="F196" s="7">
        <v>4</v>
      </c>
      <c r="G196" s="1">
        <v>2</v>
      </c>
      <c r="H196" s="1" t="s">
        <v>12</v>
      </c>
      <c r="I196" s="1" t="s">
        <v>12</v>
      </c>
      <c r="J196" s="1" t="s">
        <v>4</v>
      </c>
      <c r="K196" s="2">
        <v>3.12499907817201E-5</v>
      </c>
      <c r="L196" s="2">
        <v>2.10115348121861E-5</v>
      </c>
      <c r="M196" s="1">
        <v>-1.9922832582995601E-2</v>
      </c>
      <c r="N196" s="1">
        <v>3.89984856486014</v>
      </c>
    </row>
    <row r="197" spans="1:14">
      <c r="A197" s="1">
        <v>196</v>
      </c>
      <c r="B197" s="1" t="s">
        <v>557</v>
      </c>
      <c r="C197" s="1" t="s">
        <v>558</v>
      </c>
      <c r="D197" s="5" t="s">
        <v>559</v>
      </c>
      <c r="E197" s="1" t="s">
        <v>557</v>
      </c>
      <c r="F197" s="7">
        <v>4</v>
      </c>
      <c r="G197" s="1">
        <v>6</v>
      </c>
      <c r="H197" s="1" t="s">
        <v>8</v>
      </c>
      <c r="I197" s="1" t="s">
        <v>8</v>
      </c>
      <c r="J197" s="1" t="s">
        <v>4</v>
      </c>
      <c r="K197" s="2">
        <v>3.1250001978853198E-5</v>
      </c>
      <c r="L197" s="2">
        <v>2.75495606573143E-5</v>
      </c>
      <c r="M197" s="1">
        <v>-5.8521214558027099E-3</v>
      </c>
      <c r="N197" s="1">
        <v>3.7016139849151801</v>
      </c>
    </row>
    <row r="198" spans="1:14">
      <c r="A198" s="1">
        <v>197</v>
      </c>
      <c r="B198" s="1" t="s">
        <v>560</v>
      </c>
      <c r="C198" s="1" t="s">
        <v>561</v>
      </c>
      <c r="D198" s="5" t="s">
        <v>562</v>
      </c>
      <c r="E198" s="1" t="s">
        <v>560</v>
      </c>
      <c r="F198" s="7">
        <v>5</v>
      </c>
      <c r="G198" s="1">
        <v>5</v>
      </c>
      <c r="H198" s="1" t="s">
        <v>123</v>
      </c>
      <c r="I198" s="1" t="s">
        <v>123</v>
      </c>
      <c r="J198" s="1" t="s">
        <v>4</v>
      </c>
      <c r="K198" s="2">
        <v>3.1250007546653299E-5</v>
      </c>
      <c r="L198" s="2">
        <v>2.22113924009738E-5</v>
      </c>
      <c r="M198" s="1">
        <v>-2.6809960243134802E-3</v>
      </c>
      <c r="N198" s="1">
        <v>3.1558123149398898</v>
      </c>
    </row>
    <row r="199" spans="1:14">
      <c r="A199" s="1">
        <v>198</v>
      </c>
      <c r="B199" s="1" t="s">
        <v>563</v>
      </c>
      <c r="C199" s="1" t="s">
        <v>564</v>
      </c>
      <c r="D199" s="5" t="s">
        <v>407</v>
      </c>
      <c r="E199" s="1" t="s">
        <v>563</v>
      </c>
      <c r="F199" s="7">
        <v>5</v>
      </c>
      <c r="G199" s="1">
        <v>4</v>
      </c>
      <c r="H199" s="1" t="s">
        <v>8</v>
      </c>
      <c r="I199" s="1" t="s">
        <v>8</v>
      </c>
      <c r="J199" s="1" t="s">
        <v>4</v>
      </c>
      <c r="K199" s="2">
        <v>3.1250003696327397E-5</v>
      </c>
      <c r="L199" s="2">
        <v>2.2142456950992601E-5</v>
      </c>
      <c r="M199" s="1">
        <v>6.2898704678673303E-3</v>
      </c>
      <c r="N199" s="1">
        <v>3.2854006142813201</v>
      </c>
    </row>
    <row r="200" spans="1:14">
      <c r="A200" s="1">
        <v>199</v>
      </c>
      <c r="B200" s="1" t="s">
        <v>565</v>
      </c>
      <c r="C200" s="1" t="s">
        <v>566</v>
      </c>
      <c r="D200" s="5" t="s">
        <v>567</v>
      </c>
      <c r="E200" s="1" t="s">
        <v>2340</v>
      </c>
      <c r="F200" s="7">
        <v>4</v>
      </c>
      <c r="G200" s="1">
        <v>6</v>
      </c>
      <c r="H200" s="1" t="s">
        <v>8</v>
      </c>
      <c r="I200" s="1" t="s">
        <v>8</v>
      </c>
      <c r="J200" s="1" t="s">
        <v>180</v>
      </c>
      <c r="K200" s="2">
        <v>3.12500037205851E-5</v>
      </c>
      <c r="L200" s="2">
        <v>1.04513539279395E-6</v>
      </c>
      <c r="M200" s="1">
        <v>-8.3264106869194096E-3</v>
      </c>
      <c r="N200" s="1">
        <v>3.5671969782290902</v>
      </c>
    </row>
    <row r="201" spans="1:14">
      <c r="A201" s="1">
        <v>200</v>
      </c>
      <c r="B201" s="1" t="s">
        <v>569</v>
      </c>
      <c r="C201" s="1" t="s">
        <v>570</v>
      </c>
      <c r="D201" s="5" t="s">
        <v>571</v>
      </c>
      <c r="E201" s="1" t="s">
        <v>569</v>
      </c>
      <c r="F201" s="7">
        <v>4</v>
      </c>
      <c r="G201" s="1">
        <v>6</v>
      </c>
      <c r="H201" s="1" t="s">
        <v>8</v>
      </c>
      <c r="I201" s="1" t="s">
        <v>8</v>
      </c>
      <c r="J201" s="1" t="s">
        <v>4</v>
      </c>
      <c r="K201" s="2">
        <v>3.1250002073638001E-5</v>
      </c>
      <c r="L201" s="2">
        <v>2.9062253303154799E-5</v>
      </c>
      <c r="M201" s="1">
        <v>2.1229838075079499E-2</v>
      </c>
      <c r="N201" s="1">
        <v>3.0803184525881</v>
      </c>
    </row>
    <row r="202" spans="1:14">
      <c r="A202" s="1">
        <v>201</v>
      </c>
      <c r="B202" s="1" t="s">
        <v>572</v>
      </c>
      <c r="C202" s="1" t="s">
        <v>573</v>
      </c>
      <c r="D202" s="5" t="s">
        <v>574</v>
      </c>
      <c r="E202" s="1" t="s">
        <v>572</v>
      </c>
      <c r="F202" s="7">
        <v>5</v>
      </c>
      <c r="G202" s="1">
        <v>4</v>
      </c>
      <c r="H202" s="1" t="s">
        <v>8</v>
      </c>
      <c r="I202" s="1" t="s">
        <v>8</v>
      </c>
      <c r="J202" s="1" t="s">
        <v>4</v>
      </c>
      <c r="K202" s="2">
        <v>3.1250004174466098E-5</v>
      </c>
      <c r="L202" s="2">
        <v>2.38235665535046E-5</v>
      </c>
      <c r="M202" s="1">
        <v>1.88711299624841E-2</v>
      </c>
      <c r="N202" s="1">
        <v>2.5112183325016502</v>
      </c>
    </row>
    <row r="203" spans="1:14">
      <c r="A203" s="1">
        <v>202</v>
      </c>
      <c r="B203" s="1" t="s">
        <v>575</v>
      </c>
      <c r="C203" s="1" t="s">
        <v>576</v>
      </c>
      <c r="D203" s="5" t="s">
        <v>577</v>
      </c>
      <c r="E203" s="1" t="s">
        <v>575</v>
      </c>
      <c r="F203" s="7">
        <v>4</v>
      </c>
      <c r="G203" s="1">
        <v>4</v>
      </c>
      <c r="H203" s="1" t="s">
        <v>12</v>
      </c>
      <c r="I203" s="1" t="s">
        <v>12</v>
      </c>
      <c r="J203" s="1" t="s">
        <v>4</v>
      </c>
      <c r="K203" s="2">
        <v>3.1250001340409602E-5</v>
      </c>
      <c r="L203" s="2">
        <v>4.64438446262506E-6</v>
      </c>
      <c r="M203" s="1">
        <v>-1.11169055024715E-2</v>
      </c>
      <c r="N203" s="1">
        <v>3.3454927134827201</v>
      </c>
    </row>
    <row r="204" spans="1:14">
      <c r="A204" s="1">
        <v>203</v>
      </c>
      <c r="B204" s="1" t="s">
        <v>578</v>
      </c>
      <c r="C204" s="1" t="s">
        <v>579</v>
      </c>
      <c r="D204" s="5" t="s">
        <v>580</v>
      </c>
      <c r="E204" s="1" t="s">
        <v>578</v>
      </c>
      <c r="F204" s="7">
        <v>5</v>
      </c>
      <c r="G204" s="1">
        <v>4</v>
      </c>
      <c r="H204" s="1" t="s">
        <v>8</v>
      </c>
      <c r="I204" s="1" t="s">
        <v>8</v>
      </c>
      <c r="J204" s="1" t="s">
        <v>4</v>
      </c>
      <c r="K204" s="2">
        <v>3.1249998917550197E-5</v>
      </c>
      <c r="L204" s="2">
        <v>2.9174585251461601E-5</v>
      </c>
      <c r="M204" s="1">
        <v>-3.45469087531569E-3</v>
      </c>
      <c r="N204" s="1">
        <v>3.7058773942377901</v>
      </c>
    </row>
    <row r="205" spans="1:14">
      <c r="A205" s="1">
        <v>204</v>
      </c>
      <c r="B205" s="1" t="s">
        <v>581</v>
      </c>
      <c r="C205" s="1" t="s">
        <v>582</v>
      </c>
      <c r="D205" s="5" t="s">
        <v>583</v>
      </c>
      <c r="E205" s="1" t="s">
        <v>581</v>
      </c>
      <c r="F205" s="7">
        <v>4</v>
      </c>
      <c r="G205" s="1">
        <v>6</v>
      </c>
      <c r="H205" s="1" t="s">
        <v>12</v>
      </c>
      <c r="I205" s="1" t="s">
        <v>12</v>
      </c>
      <c r="J205" s="1" t="s">
        <v>4</v>
      </c>
      <c r="K205" s="2">
        <v>3.1250011143084401E-5</v>
      </c>
      <c r="L205" s="2">
        <v>1.30416716077684E-5</v>
      </c>
      <c r="M205" s="1">
        <v>-3.4152132393131703E-2</v>
      </c>
      <c r="N205" s="1">
        <v>3.7912956401513598</v>
      </c>
    </row>
    <row r="206" spans="1:14">
      <c r="A206" s="1">
        <v>205</v>
      </c>
      <c r="B206" s="1" t="s">
        <v>584</v>
      </c>
      <c r="C206" s="1" t="s">
        <v>585</v>
      </c>
      <c r="D206" s="5" t="s">
        <v>586</v>
      </c>
      <c r="E206" s="1" t="s">
        <v>584</v>
      </c>
      <c r="F206" s="7">
        <v>4</v>
      </c>
      <c r="G206" s="1">
        <v>7</v>
      </c>
      <c r="H206" s="1" t="s">
        <v>8</v>
      </c>
      <c r="I206" s="1" t="s">
        <v>8</v>
      </c>
      <c r="J206" s="1" t="s">
        <v>4</v>
      </c>
      <c r="K206" s="2">
        <v>3.1250025910311E-5</v>
      </c>
      <c r="L206" s="2">
        <v>3.01702620289163E-5</v>
      </c>
      <c r="M206" s="1">
        <v>-5.4489386546947502E-3</v>
      </c>
      <c r="N206" s="1">
        <v>3.7956032979407901</v>
      </c>
    </row>
    <row r="207" spans="1:14">
      <c r="A207" s="1">
        <v>206</v>
      </c>
      <c r="B207" s="1" t="s">
        <v>587</v>
      </c>
      <c r="C207" s="1" t="s">
        <v>588</v>
      </c>
      <c r="D207" s="5" t="s">
        <v>475</v>
      </c>
      <c r="E207" s="1" t="s">
        <v>587</v>
      </c>
      <c r="F207" s="7">
        <v>4</v>
      </c>
      <c r="G207" s="1">
        <v>5</v>
      </c>
      <c r="H207" s="1" t="s">
        <v>8</v>
      </c>
      <c r="I207" s="1" t="s">
        <v>8</v>
      </c>
      <c r="J207" s="1" t="s">
        <v>4</v>
      </c>
      <c r="K207" s="2">
        <v>3.1249998092174703E-5</v>
      </c>
      <c r="L207" s="2">
        <v>1.8381958857772999E-5</v>
      </c>
      <c r="M207" s="1">
        <v>-7.9223777979535708E-3</v>
      </c>
      <c r="N207" s="1">
        <v>3.39057617222067</v>
      </c>
    </row>
    <row r="208" spans="1:14">
      <c r="A208" s="1">
        <v>207</v>
      </c>
      <c r="B208" s="1" t="s">
        <v>589</v>
      </c>
      <c r="C208" s="1" t="s">
        <v>590</v>
      </c>
      <c r="D208" s="5" t="s">
        <v>591</v>
      </c>
      <c r="E208" s="1" t="s">
        <v>589</v>
      </c>
      <c r="F208" s="7">
        <v>6</v>
      </c>
      <c r="G208" s="1">
        <v>6</v>
      </c>
      <c r="H208" s="1" t="s">
        <v>8</v>
      </c>
      <c r="I208" s="1" t="s">
        <v>8</v>
      </c>
      <c r="J208" s="1" t="s">
        <v>4</v>
      </c>
      <c r="K208" s="2">
        <v>3.1250003152857303E-5</v>
      </c>
      <c r="L208" s="2">
        <v>1.55627002620843E-6</v>
      </c>
      <c r="M208" s="1">
        <v>1.5563980674136699E-2</v>
      </c>
      <c r="N208" s="1">
        <v>3.4097554531155598</v>
      </c>
    </row>
    <row r="209" spans="1:14">
      <c r="A209" s="1">
        <v>208</v>
      </c>
      <c r="B209" s="1" t="s">
        <v>592</v>
      </c>
      <c r="C209" s="1" t="s">
        <v>593</v>
      </c>
      <c r="D209" s="5" t="s">
        <v>594</v>
      </c>
      <c r="E209" s="1" t="s">
        <v>592</v>
      </c>
      <c r="F209" s="7">
        <v>4</v>
      </c>
      <c r="G209" s="1">
        <v>6</v>
      </c>
      <c r="H209" s="1" t="s">
        <v>8</v>
      </c>
      <c r="I209" s="1" t="s">
        <v>8</v>
      </c>
      <c r="J209" s="1" t="s">
        <v>4</v>
      </c>
      <c r="K209" s="2">
        <v>3.1249999718978701E-5</v>
      </c>
      <c r="L209" s="2">
        <v>2.5691060341992401E-5</v>
      </c>
      <c r="M209" s="1">
        <v>1.21987892626123E-2</v>
      </c>
      <c r="N209" s="1">
        <v>3.5936260442955201</v>
      </c>
    </row>
    <row r="210" spans="1:14">
      <c r="A210" s="1">
        <v>209</v>
      </c>
      <c r="B210" s="1" t="s">
        <v>595</v>
      </c>
      <c r="C210" s="1" t="s">
        <v>596</v>
      </c>
      <c r="D210" s="5" t="s">
        <v>597</v>
      </c>
      <c r="E210" s="1" t="s">
        <v>595</v>
      </c>
      <c r="F210" s="7">
        <v>5</v>
      </c>
      <c r="G210" s="1">
        <v>4</v>
      </c>
      <c r="H210" s="1" t="s">
        <v>68</v>
      </c>
      <c r="I210" s="1" t="s">
        <v>68</v>
      </c>
      <c r="J210" s="1" t="s">
        <v>4</v>
      </c>
      <c r="K210" s="2">
        <v>3.1250008595080398E-5</v>
      </c>
      <c r="L210" s="2">
        <v>9.1773082591585406E-6</v>
      </c>
      <c r="M210" s="1">
        <v>2.62654212234565E-2</v>
      </c>
      <c r="N210" s="1">
        <v>3.0750188354331902</v>
      </c>
    </row>
    <row r="211" spans="1:14">
      <c r="A211" s="1">
        <v>210</v>
      </c>
      <c r="B211" s="1" t="s">
        <v>598</v>
      </c>
      <c r="C211" s="1" t="s">
        <v>599</v>
      </c>
      <c r="D211" s="5" t="s">
        <v>600</v>
      </c>
      <c r="E211" s="1" t="s">
        <v>598</v>
      </c>
      <c r="F211" s="7">
        <v>4</v>
      </c>
      <c r="G211" s="1">
        <v>5</v>
      </c>
      <c r="H211" s="1" t="s">
        <v>8</v>
      </c>
      <c r="I211" s="1" t="s">
        <v>8</v>
      </c>
      <c r="J211" s="1" t="s">
        <v>4</v>
      </c>
      <c r="K211" s="2">
        <v>3.1250007067752898E-5</v>
      </c>
      <c r="L211" s="2">
        <v>1.9947202022864899E-5</v>
      </c>
      <c r="M211" s="1">
        <v>5.79886922051287E-3</v>
      </c>
      <c r="N211" s="1">
        <v>3.2241999438173501</v>
      </c>
    </row>
    <row r="212" spans="1:14">
      <c r="A212" s="1">
        <v>211</v>
      </c>
      <c r="B212" s="1" t="s">
        <v>601</v>
      </c>
      <c r="C212" s="1" t="s">
        <v>602</v>
      </c>
      <c r="D212" s="5" t="s">
        <v>257</v>
      </c>
      <c r="E212" s="1" t="s">
        <v>601</v>
      </c>
      <c r="F212" s="7">
        <v>4</v>
      </c>
      <c r="G212" s="1">
        <v>3</v>
      </c>
      <c r="H212" s="1" t="s">
        <v>12</v>
      </c>
      <c r="I212" s="1" t="s">
        <v>12</v>
      </c>
      <c r="J212" s="1" t="s">
        <v>4</v>
      </c>
      <c r="K212" s="2">
        <v>3.12499969858441E-5</v>
      </c>
      <c r="L212" s="2">
        <v>2.7563276781989401E-5</v>
      </c>
      <c r="M212" s="1">
        <v>-2.02634536408473E-2</v>
      </c>
      <c r="N212" s="1">
        <v>3.70938525679674</v>
      </c>
    </row>
    <row r="213" spans="1:14">
      <c r="A213" s="1">
        <v>212</v>
      </c>
      <c r="B213" s="1" t="s">
        <v>603</v>
      </c>
      <c r="C213" s="1" t="s">
        <v>604</v>
      </c>
      <c r="D213" s="5" t="s">
        <v>605</v>
      </c>
      <c r="E213" s="1" t="s">
        <v>603</v>
      </c>
      <c r="F213" s="7">
        <v>4</v>
      </c>
      <c r="G213" s="1">
        <v>3</v>
      </c>
      <c r="H213" s="1" t="s">
        <v>8</v>
      </c>
      <c r="I213" s="1" t="s">
        <v>8</v>
      </c>
      <c r="J213" s="1" t="s">
        <v>4</v>
      </c>
      <c r="K213" s="2">
        <v>3.12500127170305E-5</v>
      </c>
      <c r="L213" s="2">
        <v>1.34051795870574E-5</v>
      </c>
      <c r="M213" s="1">
        <v>5.4602029484125E-2</v>
      </c>
      <c r="N213" s="1">
        <v>3.0361682555022198</v>
      </c>
    </row>
    <row r="214" spans="1:14">
      <c r="A214" s="1">
        <v>213</v>
      </c>
      <c r="B214" s="1" t="s">
        <v>606</v>
      </c>
      <c r="C214" s="1" t="s">
        <v>607</v>
      </c>
      <c r="D214" s="5" t="s">
        <v>608</v>
      </c>
      <c r="E214" s="1" t="s">
        <v>606</v>
      </c>
      <c r="F214" s="7">
        <v>6</v>
      </c>
      <c r="G214" s="1">
        <v>4</v>
      </c>
      <c r="H214" s="1" t="s">
        <v>8</v>
      </c>
      <c r="I214" s="1" t="s">
        <v>8</v>
      </c>
      <c r="J214" s="1" t="s">
        <v>4</v>
      </c>
      <c r="K214" s="2">
        <v>3.12500024519129E-5</v>
      </c>
      <c r="L214" s="2">
        <v>2.9820688908890301E-5</v>
      </c>
      <c r="M214" s="1">
        <v>9.8075153958196992E-3</v>
      </c>
      <c r="N214" s="1">
        <v>3.7293587142765099</v>
      </c>
    </row>
    <row r="215" spans="1:14">
      <c r="A215" s="1">
        <v>214</v>
      </c>
      <c r="B215" s="1" t="s">
        <v>609</v>
      </c>
      <c r="C215" s="1" t="s">
        <v>610</v>
      </c>
      <c r="D215" s="5" t="s">
        <v>611</v>
      </c>
      <c r="E215" s="1" t="s">
        <v>609</v>
      </c>
      <c r="F215" s="7">
        <v>4</v>
      </c>
      <c r="G215" s="1">
        <v>4</v>
      </c>
      <c r="H215" s="1" t="s">
        <v>8</v>
      </c>
      <c r="I215" s="1" t="s">
        <v>8</v>
      </c>
      <c r="J215" s="1" t="s">
        <v>4</v>
      </c>
      <c r="K215" s="2">
        <v>3.12500059987438E-5</v>
      </c>
      <c r="L215" s="2">
        <v>3.03592392631095E-5</v>
      </c>
      <c r="M215" s="1">
        <v>-2.2582527145518599E-2</v>
      </c>
      <c r="N215" s="1">
        <v>3.2625039304159902</v>
      </c>
    </row>
    <row r="216" spans="1:14">
      <c r="A216" s="1">
        <v>215</v>
      </c>
      <c r="B216" s="1" t="s">
        <v>612</v>
      </c>
      <c r="C216" s="1" t="s">
        <v>613</v>
      </c>
      <c r="D216" s="5" t="s">
        <v>614</v>
      </c>
      <c r="E216" s="1" t="s">
        <v>612</v>
      </c>
      <c r="F216" s="7">
        <v>5</v>
      </c>
      <c r="G216" s="1">
        <v>5</v>
      </c>
      <c r="H216" s="1" t="s">
        <v>8</v>
      </c>
      <c r="I216" s="1" t="s">
        <v>8</v>
      </c>
      <c r="J216" s="1" t="s">
        <v>4</v>
      </c>
      <c r="K216" s="2">
        <v>3.1250011292460803E-5</v>
      </c>
      <c r="L216" s="2">
        <v>3.11929332908059E-5</v>
      </c>
      <c r="M216" s="1">
        <v>4.4891489107072797E-3</v>
      </c>
      <c r="N216" s="1">
        <v>2.7258527758342099</v>
      </c>
    </row>
    <row r="217" spans="1:14">
      <c r="A217" s="1">
        <v>216</v>
      </c>
      <c r="B217" s="1" t="s">
        <v>615</v>
      </c>
      <c r="C217" s="1" t="s">
        <v>616</v>
      </c>
      <c r="D217" s="5" t="s">
        <v>617</v>
      </c>
      <c r="E217" s="1" t="s">
        <v>615</v>
      </c>
      <c r="F217" s="7">
        <v>5</v>
      </c>
      <c r="G217" s="1">
        <v>3</v>
      </c>
      <c r="H217" s="1" t="s">
        <v>3</v>
      </c>
      <c r="I217" s="1" t="s">
        <v>3</v>
      </c>
      <c r="J217" s="1" t="s">
        <v>4</v>
      </c>
      <c r="K217" s="2">
        <v>3.12500053410823E-5</v>
      </c>
      <c r="L217" s="2">
        <v>2.9319887647818599E-5</v>
      </c>
      <c r="M217" s="1">
        <v>-2.16834200787232E-2</v>
      </c>
      <c r="N217" s="1">
        <v>3.6685880290948401</v>
      </c>
    </row>
    <row r="218" spans="1:14">
      <c r="A218" s="1">
        <v>217</v>
      </c>
      <c r="B218" s="1" t="s">
        <v>618</v>
      </c>
      <c r="C218" s="1" t="s">
        <v>619</v>
      </c>
      <c r="D218" s="5" t="s">
        <v>620</v>
      </c>
      <c r="E218" s="1" t="s">
        <v>618</v>
      </c>
      <c r="F218" s="7">
        <v>8</v>
      </c>
      <c r="G218" s="1">
        <v>6</v>
      </c>
      <c r="H218" s="1" t="s">
        <v>8</v>
      </c>
      <c r="I218" s="1" t="s">
        <v>8</v>
      </c>
      <c r="J218" s="1" t="s">
        <v>4</v>
      </c>
      <c r="K218" s="2">
        <v>3.1249992379816403E-5</v>
      </c>
      <c r="L218" s="2">
        <v>3.1081921757328101E-5</v>
      </c>
      <c r="M218" s="1">
        <v>5.3711168560809597E-2</v>
      </c>
      <c r="N218" s="1">
        <v>3.2031919569432499</v>
      </c>
    </row>
    <row r="219" spans="1:14">
      <c r="A219" s="1">
        <v>218</v>
      </c>
      <c r="B219" s="1" t="s">
        <v>621</v>
      </c>
      <c r="C219" s="1" t="s">
        <v>622</v>
      </c>
      <c r="D219" s="5" t="s">
        <v>28</v>
      </c>
      <c r="E219" s="1" t="s">
        <v>621</v>
      </c>
      <c r="F219" s="7">
        <v>5</v>
      </c>
      <c r="G219" s="1">
        <v>3</v>
      </c>
      <c r="H219" s="1" t="s">
        <v>8</v>
      </c>
      <c r="I219" s="1" t="s">
        <v>8</v>
      </c>
      <c r="J219" s="1" t="s">
        <v>4</v>
      </c>
      <c r="K219" s="2">
        <v>3.1249991600287597E-5</v>
      </c>
      <c r="L219" s="2">
        <v>1.6898926795186501E-5</v>
      </c>
      <c r="M219" s="1">
        <v>-1.46952609739514E-3</v>
      </c>
      <c r="N219" s="1">
        <v>3.2944870965838802</v>
      </c>
    </row>
    <row r="220" spans="1:14">
      <c r="A220" s="1">
        <v>219</v>
      </c>
      <c r="B220" s="1" t="s">
        <v>623</v>
      </c>
      <c r="C220" s="1" t="s">
        <v>624</v>
      </c>
      <c r="D220" s="5" t="s">
        <v>625</v>
      </c>
      <c r="E220" s="1" t="s">
        <v>626</v>
      </c>
      <c r="F220" s="7">
        <v>4</v>
      </c>
      <c r="G220" s="1">
        <v>7</v>
      </c>
      <c r="H220" s="1" t="s">
        <v>8</v>
      </c>
      <c r="I220" s="1" t="s">
        <v>22</v>
      </c>
      <c r="J220" s="1" t="s">
        <v>180</v>
      </c>
      <c r="K220" s="2">
        <v>3.12499978442865E-5</v>
      </c>
      <c r="L220" s="2">
        <v>2.9062211385746601E-5</v>
      </c>
      <c r="M220" s="1">
        <v>8.4348933050506503E-3</v>
      </c>
      <c r="N220" s="1">
        <v>3.9316606387075099</v>
      </c>
    </row>
    <row r="221" spans="1:14">
      <c r="A221" s="1">
        <v>220</v>
      </c>
      <c r="B221" s="1" t="s">
        <v>627</v>
      </c>
      <c r="C221" s="1" t="s">
        <v>628</v>
      </c>
      <c r="D221" s="5" t="s">
        <v>119</v>
      </c>
      <c r="E221" s="1" t="s">
        <v>627</v>
      </c>
      <c r="F221" s="7">
        <v>4</v>
      </c>
      <c r="G221" s="1">
        <v>4</v>
      </c>
      <c r="H221" s="1" t="s">
        <v>8</v>
      </c>
      <c r="I221" s="1" t="s">
        <v>8</v>
      </c>
      <c r="J221" s="1" t="s">
        <v>4</v>
      </c>
      <c r="K221" s="2">
        <v>3.1250007981084598E-5</v>
      </c>
      <c r="L221" s="2">
        <v>2.5110622233671301E-5</v>
      </c>
      <c r="M221" s="1">
        <v>-2.4613022529469501E-2</v>
      </c>
      <c r="N221" s="1">
        <v>3.5837717482346201</v>
      </c>
    </row>
    <row r="222" spans="1:14">
      <c r="A222" s="1">
        <v>221</v>
      </c>
      <c r="B222" s="1" t="s">
        <v>629</v>
      </c>
      <c r="C222" s="1" t="s">
        <v>630</v>
      </c>
      <c r="D222" s="5" t="s">
        <v>212</v>
      </c>
      <c r="E222" s="1" t="s">
        <v>629</v>
      </c>
      <c r="F222" s="7">
        <v>5</v>
      </c>
      <c r="G222" s="1">
        <v>4</v>
      </c>
      <c r="H222" s="1" t="s">
        <v>8</v>
      </c>
      <c r="I222" s="1" t="s">
        <v>8</v>
      </c>
      <c r="J222" s="1" t="s">
        <v>4</v>
      </c>
      <c r="K222" s="2">
        <v>3.12500033024626E-5</v>
      </c>
      <c r="L222" s="2">
        <v>2.58501323802251E-5</v>
      </c>
      <c r="M222" s="1">
        <v>-1.2385461900841201E-2</v>
      </c>
      <c r="N222" s="1">
        <v>3.4146085367179002</v>
      </c>
    </row>
    <row r="223" spans="1:14">
      <c r="A223" s="1">
        <v>222</v>
      </c>
      <c r="B223" s="1" t="s">
        <v>631</v>
      </c>
      <c r="C223" s="1" t="s">
        <v>632</v>
      </c>
      <c r="D223" s="5" t="s">
        <v>633</v>
      </c>
      <c r="E223" s="1" t="s">
        <v>631</v>
      </c>
      <c r="F223" s="7">
        <v>4</v>
      </c>
      <c r="G223" s="1">
        <v>5</v>
      </c>
      <c r="H223" s="1" t="s">
        <v>123</v>
      </c>
      <c r="I223" s="1" t="s">
        <v>123</v>
      </c>
      <c r="J223" s="1" t="s">
        <v>4</v>
      </c>
      <c r="K223" s="2">
        <v>3.12500081487109E-5</v>
      </c>
      <c r="L223" s="2">
        <v>3.0569668890834002E-5</v>
      </c>
      <c r="M223" s="1">
        <v>-1.7284214282933599E-2</v>
      </c>
      <c r="N223" s="1">
        <v>3.4549523232561201</v>
      </c>
    </row>
    <row r="224" spans="1:14">
      <c r="A224" s="1">
        <v>223</v>
      </c>
      <c r="B224" s="1" t="s">
        <v>634</v>
      </c>
      <c r="C224" s="1" t="s">
        <v>635</v>
      </c>
      <c r="D224" s="5" t="s">
        <v>50</v>
      </c>
      <c r="E224" s="1" t="s">
        <v>634</v>
      </c>
      <c r="F224" s="7">
        <v>5</v>
      </c>
      <c r="G224" s="1">
        <v>3</v>
      </c>
      <c r="H224" s="1" t="s">
        <v>8</v>
      </c>
      <c r="I224" s="1" t="s">
        <v>8</v>
      </c>
      <c r="J224" s="1" t="s">
        <v>4</v>
      </c>
      <c r="K224" s="2">
        <v>3.1250002979218903E-5</v>
      </c>
      <c r="L224" s="2">
        <v>3.1046753955624503E-5</v>
      </c>
      <c r="M224" s="1">
        <v>-1.23065962282282E-2</v>
      </c>
      <c r="N224" s="1">
        <v>3.45985060500582</v>
      </c>
    </row>
    <row r="225" spans="1:14">
      <c r="A225" s="1">
        <v>224</v>
      </c>
      <c r="B225" s="1" t="s">
        <v>636</v>
      </c>
      <c r="C225" s="1" t="s">
        <v>637</v>
      </c>
      <c r="D225" s="5" t="s">
        <v>638</v>
      </c>
      <c r="E225" s="1" t="s">
        <v>636</v>
      </c>
      <c r="F225" s="7">
        <v>5</v>
      </c>
      <c r="G225" s="1">
        <v>5</v>
      </c>
      <c r="H225" s="1" t="s">
        <v>98</v>
      </c>
      <c r="I225" s="1" t="s">
        <v>98</v>
      </c>
      <c r="J225" s="1" t="s">
        <v>4</v>
      </c>
      <c r="K225" s="2">
        <v>3.12499936587125E-5</v>
      </c>
      <c r="L225" s="2">
        <v>3.1006674146838397E-5</v>
      </c>
      <c r="M225" s="1">
        <v>6.2055825974525096E-3</v>
      </c>
      <c r="N225" s="1">
        <v>1.6218692099410601</v>
      </c>
    </row>
    <row r="226" spans="1:14">
      <c r="A226" s="1">
        <v>225</v>
      </c>
      <c r="B226" s="1" t="s">
        <v>639</v>
      </c>
      <c r="C226" s="1" t="s">
        <v>640</v>
      </c>
      <c r="D226" s="5" t="s">
        <v>142</v>
      </c>
      <c r="E226" s="1" t="s">
        <v>639</v>
      </c>
      <c r="F226" s="7">
        <v>4</v>
      </c>
      <c r="G226" s="1">
        <v>2</v>
      </c>
      <c r="H226" s="1" t="s">
        <v>12</v>
      </c>
      <c r="I226" s="1" t="s">
        <v>12</v>
      </c>
      <c r="J226" s="1" t="s">
        <v>4</v>
      </c>
      <c r="K226" s="2">
        <v>3.1250013596701301E-5</v>
      </c>
      <c r="L226" s="2">
        <v>2.1354847784236001E-5</v>
      </c>
      <c r="M226" s="1">
        <v>-2.2572767226275599E-2</v>
      </c>
      <c r="N226" s="1">
        <v>3.7540070738676099</v>
      </c>
    </row>
    <row r="227" spans="1:14">
      <c r="A227" s="1">
        <v>226</v>
      </c>
      <c r="B227" s="1" t="s">
        <v>641</v>
      </c>
      <c r="C227" s="1" t="s">
        <v>642</v>
      </c>
      <c r="D227" s="5" t="s">
        <v>583</v>
      </c>
      <c r="E227" s="1" t="s">
        <v>641</v>
      </c>
      <c r="F227" s="7">
        <v>5</v>
      </c>
      <c r="G227" s="1">
        <v>6</v>
      </c>
      <c r="H227" s="1" t="s">
        <v>3</v>
      </c>
      <c r="I227" s="1" t="s">
        <v>3</v>
      </c>
      <c r="J227" s="1" t="s">
        <v>4</v>
      </c>
      <c r="K227" s="2">
        <v>3.1250017411069799E-5</v>
      </c>
      <c r="L227" s="2">
        <v>2.67222842711786E-5</v>
      </c>
      <c r="M227" s="1">
        <v>7.53624227935034E-3</v>
      </c>
      <c r="N227" s="1">
        <v>3.6542452948771902</v>
      </c>
    </row>
    <row r="228" spans="1:14">
      <c r="A228" s="1">
        <v>227</v>
      </c>
      <c r="B228" s="1" t="s">
        <v>643</v>
      </c>
      <c r="C228" s="1" t="s">
        <v>644</v>
      </c>
      <c r="D228" s="5" t="s">
        <v>645</v>
      </c>
      <c r="E228" s="1" t="s">
        <v>643</v>
      </c>
      <c r="F228" s="7">
        <v>6</v>
      </c>
      <c r="G228" s="1">
        <v>5</v>
      </c>
      <c r="H228" s="1" t="s">
        <v>8</v>
      </c>
      <c r="I228" s="1" t="s">
        <v>8</v>
      </c>
      <c r="J228" s="1" t="s">
        <v>4</v>
      </c>
      <c r="K228" s="2">
        <v>3.12500035634831E-5</v>
      </c>
      <c r="L228" s="2">
        <v>3.1071610225988299E-5</v>
      </c>
      <c r="M228" s="1">
        <v>-2.54732313874797E-2</v>
      </c>
      <c r="N228" s="1">
        <v>3.2870903889257299</v>
      </c>
    </row>
    <row r="229" spans="1:14">
      <c r="A229" s="1">
        <v>228</v>
      </c>
      <c r="B229" s="1" t="s">
        <v>646</v>
      </c>
      <c r="C229" s="1" t="s">
        <v>647</v>
      </c>
      <c r="D229" s="5" t="s">
        <v>648</v>
      </c>
      <c r="E229" s="1" t="s">
        <v>646</v>
      </c>
      <c r="F229" s="7">
        <v>5</v>
      </c>
      <c r="G229" s="1">
        <v>4</v>
      </c>
      <c r="H229" s="1" t="s">
        <v>98</v>
      </c>
      <c r="I229" s="1" t="s">
        <v>98</v>
      </c>
      <c r="J229" s="1" t="s">
        <v>4</v>
      </c>
      <c r="K229" s="2">
        <v>3.1250004385207103E-5</v>
      </c>
      <c r="L229" s="2">
        <v>2.5047892057242699E-5</v>
      </c>
      <c r="M229" s="1">
        <v>-1.34532089620229E-2</v>
      </c>
      <c r="N229" s="1">
        <v>3.5659355892009001</v>
      </c>
    </row>
    <row r="230" spans="1:14">
      <c r="A230" s="1">
        <v>229</v>
      </c>
      <c r="B230" s="1" t="s">
        <v>649</v>
      </c>
      <c r="C230" s="1" t="s">
        <v>650</v>
      </c>
      <c r="D230" s="5" t="s">
        <v>651</v>
      </c>
      <c r="E230" s="1" t="s">
        <v>649</v>
      </c>
      <c r="F230" s="7">
        <v>4</v>
      </c>
      <c r="G230" s="1">
        <v>3</v>
      </c>
      <c r="H230" s="1" t="s">
        <v>68</v>
      </c>
      <c r="I230" s="1" t="s">
        <v>68</v>
      </c>
      <c r="J230" s="1" t="s">
        <v>4</v>
      </c>
      <c r="K230" s="2">
        <v>3.1250000619642298E-5</v>
      </c>
      <c r="L230" s="2">
        <v>3.00987307949431E-5</v>
      </c>
      <c r="M230" s="1">
        <v>1.6099059262515401E-2</v>
      </c>
      <c r="N230" s="1">
        <v>3.31171995180696</v>
      </c>
    </row>
    <row r="231" spans="1:14">
      <c r="A231" s="1">
        <v>230</v>
      </c>
      <c r="B231" s="1" t="s">
        <v>652</v>
      </c>
      <c r="C231" s="1" t="s">
        <v>653</v>
      </c>
      <c r="D231" s="5" t="s">
        <v>654</v>
      </c>
      <c r="E231" s="1" t="s">
        <v>652</v>
      </c>
      <c r="F231" s="7">
        <v>4</v>
      </c>
      <c r="G231" s="1">
        <v>4</v>
      </c>
      <c r="H231" s="1" t="s">
        <v>3</v>
      </c>
      <c r="I231" s="1" t="s">
        <v>3</v>
      </c>
      <c r="J231" s="1" t="s">
        <v>4</v>
      </c>
      <c r="K231" s="2">
        <v>3.1250004655691903E-5</v>
      </c>
      <c r="L231" s="2">
        <v>1.00976719301013E-5</v>
      </c>
      <c r="M231" s="1">
        <v>2.90072141015098E-2</v>
      </c>
      <c r="N231" s="1">
        <v>3.5024241907565798</v>
      </c>
    </row>
    <row r="232" spans="1:14">
      <c r="A232" s="1">
        <v>231</v>
      </c>
      <c r="B232" s="1" t="s">
        <v>655</v>
      </c>
      <c r="C232" s="1" t="s">
        <v>656</v>
      </c>
      <c r="D232" s="5" t="s">
        <v>112</v>
      </c>
      <c r="E232" s="1" t="s">
        <v>655</v>
      </c>
      <c r="F232" s="7">
        <v>6</v>
      </c>
      <c r="G232" s="1">
        <v>3</v>
      </c>
      <c r="H232" s="1" t="s">
        <v>113</v>
      </c>
      <c r="I232" s="1" t="s">
        <v>113</v>
      </c>
      <c r="J232" s="1" t="s">
        <v>4</v>
      </c>
      <c r="K232" s="2">
        <v>3.1250012299775701E-5</v>
      </c>
      <c r="L232" s="2">
        <v>2.3112962642750799E-5</v>
      </c>
      <c r="M232" s="1">
        <v>1.6882449067033099E-2</v>
      </c>
      <c r="N232" s="1">
        <v>3.7463528035213098</v>
      </c>
    </row>
    <row r="233" spans="1:14">
      <c r="A233" s="1">
        <v>232</v>
      </c>
      <c r="B233" s="1" t="s">
        <v>657</v>
      </c>
      <c r="C233" s="1" t="s">
        <v>658</v>
      </c>
      <c r="D233" s="5" t="s">
        <v>407</v>
      </c>
      <c r="E233" s="1" t="s">
        <v>657</v>
      </c>
      <c r="F233" s="7">
        <v>7</v>
      </c>
      <c r="G233" s="1">
        <v>4</v>
      </c>
      <c r="H233" s="1" t="s">
        <v>8</v>
      </c>
      <c r="I233" s="1" t="s">
        <v>8</v>
      </c>
      <c r="J233" s="1" t="s">
        <v>4</v>
      </c>
      <c r="K233" s="2">
        <v>3.1250002170728902E-5</v>
      </c>
      <c r="L233" s="2">
        <v>3.0219032904630199E-5</v>
      </c>
      <c r="M233" s="1">
        <v>-3.6118160808626901E-3</v>
      </c>
      <c r="N233" s="1">
        <v>3.68447633763838</v>
      </c>
    </row>
    <row r="234" spans="1:14">
      <c r="A234" s="1">
        <v>233</v>
      </c>
      <c r="B234" s="1" t="s">
        <v>659</v>
      </c>
      <c r="C234" s="1" t="s">
        <v>660</v>
      </c>
      <c r="D234" s="5" t="s">
        <v>661</v>
      </c>
      <c r="E234" s="1" t="s">
        <v>659</v>
      </c>
      <c r="F234" s="7">
        <v>6</v>
      </c>
      <c r="G234" s="1">
        <v>7</v>
      </c>
      <c r="H234" s="1" t="s">
        <v>8</v>
      </c>
      <c r="I234" s="1" t="s">
        <v>8</v>
      </c>
      <c r="J234" s="1" t="s">
        <v>4</v>
      </c>
      <c r="K234" s="2">
        <v>3.1250008584935999E-5</v>
      </c>
      <c r="L234" s="2">
        <v>3.0705354659983298E-5</v>
      </c>
      <c r="M234" s="1">
        <v>1.3116131431157399E-2</v>
      </c>
      <c r="N234" s="1">
        <v>3.8400674071985099</v>
      </c>
    </row>
    <row r="235" spans="1:14">
      <c r="A235" s="1">
        <v>234</v>
      </c>
      <c r="B235" s="1" t="s">
        <v>662</v>
      </c>
      <c r="C235" s="1" t="s">
        <v>663</v>
      </c>
      <c r="D235" s="5" t="s">
        <v>664</v>
      </c>
      <c r="E235" s="1" t="s">
        <v>662</v>
      </c>
      <c r="F235" s="7">
        <v>4</v>
      </c>
      <c r="G235" s="1">
        <v>3</v>
      </c>
      <c r="H235" s="1" t="s">
        <v>68</v>
      </c>
      <c r="I235" s="1" t="s">
        <v>68</v>
      </c>
      <c r="J235" s="1" t="s">
        <v>4</v>
      </c>
      <c r="K235" s="2">
        <v>3.1249999763669101E-5</v>
      </c>
      <c r="L235" s="2">
        <v>2.8741913218477501E-5</v>
      </c>
      <c r="M235" s="1">
        <v>-5.0962067842050297E-2</v>
      </c>
      <c r="N235" s="1">
        <v>3.5034554149642401</v>
      </c>
    </row>
    <row r="236" spans="1:14">
      <c r="A236" s="1">
        <v>235</v>
      </c>
      <c r="B236" s="1" t="s">
        <v>665</v>
      </c>
      <c r="C236" s="1" t="s">
        <v>666</v>
      </c>
      <c r="D236" s="5" t="s">
        <v>667</v>
      </c>
      <c r="E236" s="1" t="s">
        <v>665</v>
      </c>
      <c r="F236" s="7">
        <v>4</v>
      </c>
      <c r="G236" s="1">
        <v>5</v>
      </c>
      <c r="H236" s="1" t="s">
        <v>8</v>
      </c>
      <c r="I236" s="1" t="s">
        <v>8</v>
      </c>
      <c r="J236" s="1" t="s">
        <v>4</v>
      </c>
      <c r="K236" s="2">
        <v>3.1250003921457398E-5</v>
      </c>
      <c r="L236" s="2">
        <v>3.1120368233675397E-5</v>
      </c>
      <c r="M236" s="1">
        <v>-2.98430234652187E-2</v>
      </c>
      <c r="N236" s="1">
        <v>2.7644817473945</v>
      </c>
    </row>
    <row r="237" spans="1:14">
      <c r="A237" s="1">
        <v>236</v>
      </c>
      <c r="B237" s="1" t="s">
        <v>668</v>
      </c>
      <c r="C237" s="1" t="s">
        <v>669</v>
      </c>
      <c r="D237" s="5" t="s">
        <v>670</v>
      </c>
      <c r="E237" s="1" t="s">
        <v>671</v>
      </c>
      <c r="F237" s="7">
        <v>4</v>
      </c>
      <c r="G237" s="1">
        <v>8</v>
      </c>
      <c r="H237" s="1" t="s">
        <v>123</v>
      </c>
      <c r="I237" s="1" t="s">
        <v>8</v>
      </c>
      <c r="J237" s="1" t="s">
        <v>180</v>
      </c>
      <c r="K237" s="2">
        <v>3.1249998760344399E-5</v>
      </c>
      <c r="L237" s="2">
        <v>2.4559357778465598E-7</v>
      </c>
      <c r="M237" s="1">
        <v>3.2018797519927297E-2</v>
      </c>
      <c r="N237" s="1">
        <v>2.4859028018372702</v>
      </c>
    </row>
    <row r="238" spans="1:14">
      <c r="A238" s="1">
        <v>237</v>
      </c>
      <c r="B238" s="1" t="s">
        <v>672</v>
      </c>
      <c r="C238" s="1" t="s">
        <v>673</v>
      </c>
      <c r="D238" s="5" t="s">
        <v>674</v>
      </c>
      <c r="E238" s="1" t="s">
        <v>672</v>
      </c>
      <c r="F238" s="7">
        <v>4</v>
      </c>
      <c r="G238" s="1">
        <v>3</v>
      </c>
      <c r="H238" s="1" t="s">
        <v>8</v>
      </c>
      <c r="I238" s="1" t="s">
        <v>8</v>
      </c>
      <c r="J238" s="1" t="s">
        <v>4</v>
      </c>
      <c r="K238" s="2">
        <v>3.1249992187776903E-5</v>
      </c>
      <c r="L238" s="2">
        <v>1.0488766729527599E-5</v>
      </c>
      <c r="M238" s="1">
        <v>5.3279381030613103E-3</v>
      </c>
      <c r="N238" s="1">
        <v>3.4426715081418702</v>
      </c>
    </row>
    <row r="239" spans="1:14">
      <c r="A239" s="1">
        <v>238</v>
      </c>
      <c r="B239" s="1" t="s">
        <v>675</v>
      </c>
      <c r="C239" s="1" t="s">
        <v>676</v>
      </c>
      <c r="D239" s="5" t="s">
        <v>677</v>
      </c>
      <c r="E239" s="1" t="s">
        <v>675</v>
      </c>
      <c r="F239" s="7">
        <v>4</v>
      </c>
      <c r="G239" s="1">
        <v>2</v>
      </c>
      <c r="H239" s="1" t="s">
        <v>12</v>
      </c>
      <c r="I239" s="1" t="s">
        <v>12</v>
      </c>
      <c r="J239" s="1" t="s">
        <v>4</v>
      </c>
      <c r="K239" s="2">
        <v>3.1249990985372299E-5</v>
      </c>
      <c r="L239" s="2">
        <v>2.2531026134336501E-5</v>
      </c>
      <c r="M239" s="1">
        <v>-7.8214662772985805E-2</v>
      </c>
      <c r="N239" s="1">
        <v>3.5415938077933098</v>
      </c>
    </row>
    <row r="240" spans="1:14">
      <c r="A240" s="1">
        <v>239</v>
      </c>
      <c r="B240" s="1" t="s">
        <v>678</v>
      </c>
      <c r="C240" s="1" t="s">
        <v>679</v>
      </c>
      <c r="D240" s="5" t="s">
        <v>677</v>
      </c>
      <c r="E240" s="1" t="s">
        <v>678</v>
      </c>
      <c r="F240" s="7">
        <v>5</v>
      </c>
      <c r="G240" s="1">
        <v>2</v>
      </c>
      <c r="H240" s="1" t="s">
        <v>12</v>
      </c>
      <c r="I240" s="1" t="s">
        <v>12</v>
      </c>
      <c r="J240" s="1" t="s">
        <v>4</v>
      </c>
      <c r="K240" s="2">
        <v>3.1250010574711998E-5</v>
      </c>
      <c r="L240" s="2">
        <v>3.0050955379700399E-5</v>
      </c>
      <c r="M240" s="1">
        <v>-1.56568699329717E-2</v>
      </c>
      <c r="N240" s="1">
        <v>3.66700853721591</v>
      </c>
    </row>
    <row r="241" spans="1:14">
      <c r="A241" s="1">
        <v>240</v>
      </c>
      <c r="B241" s="1" t="s">
        <v>680</v>
      </c>
      <c r="C241" s="1" t="s">
        <v>681</v>
      </c>
      <c r="D241" s="5" t="s">
        <v>682</v>
      </c>
      <c r="E241" s="1" t="s">
        <v>2341</v>
      </c>
      <c r="F241" s="7">
        <v>4</v>
      </c>
      <c r="G241" s="1">
        <v>4</v>
      </c>
      <c r="H241" s="1" t="s">
        <v>8</v>
      </c>
      <c r="I241" s="1" t="s">
        <v>8</v>
      </c>
      <c r="J241" s="1" t="s">
        <v>180</v>
      </c>
      <c r="K241" s="2">
        <v>3.1250003171793903E-5</v>
      </c>
      <c r="L241" s="2">
        <v>3.5410642883022098E-6</v>
      </c>
      <c r="M241" s="1">
        <v>-1.32689674769466E-2</v>
      </c>
      <c r="N241" s="1">
        <v>3.73717728259113</v>
      </c>
    </row>
    <row r="242" spans="1:14">
      <c r="A242" s="1">
        <v>241</v>
      </c>
      <c r="B242" s="1" t="s">
        <v>683</v>
      </c>
      <c r="C242" s="1" t="s">
        <v>684</v>
      </c>
      <c r="D242" s="5" t="s">
        <v>685</v>
      </c>
      <c r="E242" s="1" t="s">
        <v>683</v>
      </c>
      <c r="F242" s="7">
        <v>6</v>
      </c>
      <c r="G242" s="1">
        <v>3</v>
      </c>
      <c r="H242" s="1" t="s">
        <v>8</v>
      </c>
      <c r="I242" s="1" t="s">
        <v>8</v>
      </c>
      <c r="J242" s="1" t="s">
        <v>4</v>
      </c>
      <c r="K242" s="2">
        <v>3.1250019102797802E-5</v>
      </c>
      <c r="L242" s="2">
        <v>1.9553415515797999E-5</v>
      </c>
      <c r="M242" s="1">
        <v>-2.5628188572394298E-2</v>
      </c>
      <c r="N242" s="1">
        <v>3.5197833235817302</v>
      </c>
    </row>
    <row r="243" spans="1:14">
      <c r="A243" s="1">
        <v>242</v>
      </c>
      <c r="B243" s="1" t="s">
        <v>686</v>
      </c>
      <c r="C243" s="1" t="s">
        <v>687</v>
      </c>
      <c r="D243" s="5" t="s">
        <v>688</v>
      </c>
      <c r="E243" s="1" t="s">
        <v>686</v>
      </c>
      <c r="F243" s="7">
        <v>4</v>
      </c>
      <c r="G243" s="1">
        <v>7</v>
      </c>
      <c r="H243" s="1" t="s">
        <v>8</v>
      </c>
      <c r="I243" s="1" t="s">
        <v>8</v>
      </c>
      <c r="J243" s="1" t="s">
        <v>4</v>
      </c>
      <c r="K243" s="2">
        <v>3.1249993077848198E-5</v>
      </c>
      <c r="L243" s="2">
        <v>3.0399249651462299E-5</v>
      </c>
      <c r="M243" s="1">
        <v>-6.5171019741434499E-3</v>
      </c>
      <c r="N243" s="1">
        <v>2.9488003291030802</v>
      </c>
    </row>
    <row r="244" spans="1:14">
      <c r="A244" s="1">
        <v>243</v>
      </c>
      <c r="B244" s="1" t="s">
        <v>689</v>
      </c>
      <c r="C244" s="1" t="s">
        <v>690</v>
      </c>
      <c r="D244" s="5" t="s">
        <v>97</v>
      </c>
      <c r="E244" s="1" t="s">
        <v>689</v>
      </c>
      <c r="F244" s="7">
        <v>6</v>
      </c>
      <c r="G244" s="1">
        <v>3</v>
      </c>
      <c r="H244" s="1" t="s">
        <v>98</v>
      </c>
      <c r="I244" s="1" t="s">
        <v>98</v>
      </c>
      <c r="J244" s="1" t="s">
        <v>4</v>
      </c>
      <c r="K244" s="2">
        <v>3.1250004000945402E-5</v>
      </c>
      <c r="L244" s="2">
        <v>1.9702318152861199E-5</v>
      </c>
      <c r="M244" s="1">
        <v>3.9318949113491498E-3</v>
      </c>
      <c r="N244" s="1">
        <v>3.6429483159493001</v>
      </c>
    </row>
    <row r="245" spans="1:14">
      <c r="A245" s="1">
        <v>244</v>
      </c>
      <c r="B245" s="1" t="s">
        <v>691</v>
      </c>
      <c r="C245" s="1" t="s">
        <v>692</v>
      </c>
      <c r="D245" s="5" t="s">
        <v>693</v>
      </c>
      <c r="E245" s="1" t="s">
        <v>691</v>
      </c>
      <c r="F245" s="7">
        <v>5</v>
      </c>
      <c r="G245" s="1">
        <v>5</v>
      </c>
      <c r="H245" s="1" t="s">
        <v>12</v>
      </c>
      <c r="I245" s="1" t="s">
        <v>12</v>
      </c>
      <c r="J245" s="1" t="s">
        <v>4</v>
      </c>
      <c r="K245" s="2">
        <v>3.1250013206906401E-5</v>
      </c>
      <c r="L245" s="2">
        <v>2.8887945199263699E-5</v>
      </c>
      <c r="M245" s="1">
        <v>-2.7681606384575699E-2</v>
      </c>
      <c r="N245" s="1">
        <v>3.6513883347549201</v>
      </c>
    </row>
    <row r="246" spans="1:14">
      <c r="A246" s="1">
        <v>245</v>
      </c>
      <c r="B246" s="1" t="s">
        <v>694</v>
      </c>
      <c r="C246" s="1" t="s">
        <v>695</v>
      </c>
      <c r="D246" s="5" t="s">
        <v>33</v>
      </c>
      <c r="E246" s="1" t="s">
        <v>694</v>
      </c>
      <c r="F246" s="7">
        <v>4</v>
      </c>
      <c r="G246" s="1">
        <v>2</v>
      </c>
      <c r="H246" s="1" t="s">
        <v>12</v>
      </c>
      <c r="I246" s="1" t="s">
        <v>12</v>
      </c>
      <c r="J246" s="1" t="s">
        <v>4</v>
      </c>
      <c r="K246" s="2">
        <v>3.1249997512942999E-5</v>
      </c>
      <c r="L246" s="2">
        <v>1.6230489038781E-5</v>
      </c>
      <c r="M246" s="1">
        <v>-1.02899233985453E-2</v>
      </c>
      <c r="N246" s="1">
        <v>3.49070829739125</v>
      </c>
    </row>
    <row r="247" spans="1:14">
      <c r="A247" s="1">
        <v>246</v>
      </c>
      <c r="B247" s="1" t="s">
        <v>696</v>
      </c>
      <c r="C247" s="1" t="s">
        <v>697</v>
      </c>
      <c r="D247" s="5" t="s">
        <v>142</v>
      </c>
      <c r="E247" s="1" t="s">
        <v>696</v>
      </c>
      <c r="F247" s="7">
        <v>4</v>
      </c>
      <c r="G247" s="1">
        <v>2</v>
      </c>
      <c r="H247" s="1" t="s">
        <v>12</v>
      </c>
      <c r="I247" s="1" t="s">
        <v>12</v>
      </c>
      <c r="J247" s="1" t="s">
        <v>4</v>
      </c>
      <c r="K247" s="2">
        <v>3.1250012522566399E-5</v>
      </c>
      <c r="L247" s="2">
        <v>2.4333989502585899E-5</v>
      </c>
      <c r="M247" s="1">
        <v>7.6858460998976402E-3</v>
      </c>
      <c r="N247" s="1">
        <v>3.8259313852689099</v>
      </c>
    </row>
    <row r="248" spans="1:14">
      <c r="A248" s="1">
        <v>247</v>
      </c>
      <c r="B248" s="1" t="s">
        <v>698</v>
      </c>
      <c r="C248" s="1" t="s">
        <v>699</v>
      </c>
      <c r="D248" s="5" t="s">
        <v>700</v>
      </c>
      <c r="E248" s="1" t="s">
        <v>698</v>
      </c>
      <c r="F248" s="7">
        <v>9</v>
      </c>
      <c r="G248" s="1">
        <v>7</v>
      </c>
      <c r="H248" s="1" t="s">
        <v>8</v>
      </c>
      <c r="I248" s="1" t="s">
        <v>8</v>
      </c>
      <c r="J248" s="1" t="s">
        <v>4</v>
      </c>
      <c r="K248" s="2">
        <v>3.1250002820425501E-5</v>
      </c>
      <c r="L248" s="2">
        <v>3.1062159961188699E-5</v>
      </c>
      <c r="M248" s="1">
        <v>-2.3176881240309401E-2</v>
      </c>
      <c r="N248" s="1">
        <v>2.4712952594751298</v>
      </c>
    </row>
    <row r="249" spans="1:14">
      <c r="A249" s="1">
        <v>248</v>
      </c>
      <c r="B249" s="1" t="s">
        <v>701</v>
      </c>
      <c r="C249" s="1" t="s">
        <v>702</v>
      </c>
      <c r="D249" s="5" t="s">
        <v>703</v>
      </c>
      <c r="E249" s="1" t="s">
        <v>701</v>
      </c>
      <c r="F249" s="7">
        <v>5</v>
      </c>
      <c r="G249" s="1">
        <v>5</v>
      </c>
      <c r="H249" s="1" t="s">
        <v>8</v>
      </c>
      <c r="I249" s="1" t="s">
        <v>8</v>
      </c>
      <c r="J249" s="1" t="s">
        <v>4</v>
      </c>
      <c r="K249" s="2">
        <v>3.1249995772984399E-5</v>
      </c>
      <c r="L249" s="2">
        <v>3.0652624222946001E-5</v>
      </c>
      <c r="M249" s="1">
        <v>-2.0233060319735902E-2</v>
      </c>
      <c r="N249" s="1">
        <v>3.7912634470229101</v>
      </c>
    </row>
    <row r="250" spans="1:14">
      <c r="A250" s="1">
        <v>249</v>
      </c>
      <c r="B250" s="1" t="s">
        <v>704</v>
      </c>
      <c r="C250" s="1" t="s">
        <v>705</v>
      </c>
      <c r="D250" s="5" t="s">
        <v>706</v>
      </c>
      <c r="E250" s="1" t="s">
        <v>704</v>
      </c>
      <c r="F250" s="7">
        <v>4</v>
      </c>
      <c r="G250" s="1">
        <v>5</v>
      </c>
      <c r="H250" s="1" t="s">
        <v>68</v>
      </c>
      <c r="I250" s="1" t="s">
        <v>68</v>
      </c>
      <c r="J250" s="1" t="s">
        <v>4</v>
      </c>
      <c r="K250" s="2">
        <v>3.1250003463872398E-5</v>
      </c>
      <c r="L250" s="2">
        <v>1.6771259415741E-5</v>
      </c>
      <c r="M250" s="1">
        <v>-3.0162345650523999E-3</v>
      </c>
      <c r="N250" s="1">
        <v>3.1719899889472201</v>
      </c>
    </row>
    <row r="251" spans="1:14">
      <c r="A251" s="1">
        <v>250</v>
      </c>
      <c r="B251" s="1" t="s">
        <v>707</v>
      </c>
      <c r="C251" s="1" t="s">
        <v>708</v>
      </c>
      <c r="D251" s="5" t="s">
        <v>709</v>
      </c>
      <c r="E251" s="1" t="s">
        <v>707</v>
      </c>
      <c r="F251" s="7">
        <v>6</v>
      </c>
      <c r="G251" s="1">
        <v>5</v>
      </c>
      <c r="H251" s="1" t="s">
        <v>8</v>
      </c>
      <c r="I251" s="1" t="s">
        <v>8</v>
      </c>
      <c r="J251" s="1" t="s">
        <v>4</v>
      </c>
      <c r="K251" s="2">
        <v>3.1250007570244399E-5</v>
      </c>
      <c r="L251" s="2">
        <v>2.81441309621121E-5</v>
      </c>
      <c r="M251" s="1">
        <v>1.6010956197419501E-2</v>
      </c>
      <c r="N251" s="1">
        <v>3.7040802151744199</v>
      </c>
    </row>
    <row r="252" spans="1:14">
      <c r="A252" s="1">
        <v>251</v>
      </c>
      <c r="B252" s="1" t="s">
        <v>710</v>
      </c>
      <c r="C252" s="1" t="s">
        <v>711</v>
      </c>
      <c r="D252" s="5" t="s">
        <v>712</v>
      </c>
      <c r="E252" s="1" t="s">
        <v>710</v>
      </c>
      <c r="F252" s="7">
        <v>5</v>
      </c>
      <c r="G252" s="1">
        <v>6</v>
      </c>
      <c r="H252" s="1" t="s">
        <v>68</v>
      </c>
      <c r="I252" s="1" t="s">
        <v>68</v>
      </c>
      <c r="J252" s="1" t="s">
        <v>4</v>
      </c>
      <c r="K252" s="2">
        <v>3.12500101851814E-5</v>
      </c>
      <c r="L252" s="2">
        <v>2.73028086828617E-5</v>
      </c>
      <c r="M252" s="1">
        <v>-2.2203505062222399E-2</v>
      </c>
      <c r="N252" s="1">
        <v>3.2832073889752902</v>
      </c>
    </row>
    <row r="253" spans="1:14">
      <c r="A253" s="1">
        <v>252</v>
      </c>
      <c r="B253" s="1" t="s">
        <v>713</v>
      </c>
      <c r="C253" s="1" t="s">
        <v>714</v>
      </c>
      <c r="D253" s="5" t="s">
        <v>594</v>
      </c>
      <c r="E253" s="1" t="s">
        <v>713</v>
      </c>
      <c r="F253" s="7">
        <v>4</v>
      </c>
      <c r="G253" s="1">
        <v>6</v>
      </c>
      <c r="H253" s="1" t="s">
        <v>8</v>
      </c>
      <c r="I253" s="1" t="s">
        <v>8</v>
      </c>
      <c r="J253" s="1" t="s">
        <v>4</v>
      </c>
      <c r="K253" s="2">
        <v>3.12500100480633E-5</v>
      </c>
      <c r="L253" s="2">
        <v>2.4513255948308199E-5</v>
      </c>
      <c r="M253" s="1">
        <v>1.7518519387218399E-2</v>
      </c>
      <c r="N253" s="1">
        <v>3.6156423375520599</v>
      </c>
    </row>
    <row r="254" spans="1:14">
      <c r="A254" s="1">
        <v>253</v>
      </c>
      <c r="B254" s="1" t="s">
        <v>715</v>
      </c>
      <c r="C254" s="1" t="s">
        <v>716</v>
      </c>
      <c r="D254" s="5" t="s">
        <v>717</v>
      </c>
      <c r="E254" s="1" t="s">
        <v>715</v>
      </c>
      <c r="F254" s="7">
        <v>6</v>
      </c>
      <c r="G254" s="1">
        <v>7</v>
      </c>
      <c r="H254" s="1" t="s">
        <v>8</v>
      </c>
      <c r="I254" s="1" t="s">
        <v>8</v>
      </c>
      <c r="J254" s="1" t="s">
        <v>4</v>
      </c>
      <c r="K254" s="2">
        <v>3.1250003143342202E-5</v>
      </c>
      <c r="L254" s="2">
        <v>3.1102398064378499E-5</v>
      </c>
      <c r="M254" s="1">
        <v>1.89081322275228E-2</v>
      </c>
      <c r="N254" s="1">
        <v>2.7962305076405398</v>
      </c>
    </row>
    <row r="255" spans="1:14">
      <c r="A255" s="1">
        <v>254</v>
      </c>
      <c r="B255" s="1" t="s">
        <v>718</v>
      </c>
      <c r="C255" s="1" t="s">
        <v>719</v>
      </c>
      <c r="D255" s="5" t="s">
        <v>53</v>
      </c>
      <c r="E255" s="1" t="s">
        <v>718</v>
      </c>
      <c r="F255" s="7">
        <v>4</v>
      </c>
      <c r="G255" s="1">
        <v>4</v>
      </c>
      <c r="H255" s="1" t="s">
        <v>8</v>
      </c>
      <c r="I255" s="1" t="s">
        <v>8</v>
      </c>
      <c r="J255" s="1" t="s">
        <v>4</v>
      </c>
      <c r="K255" s="2">
        <v>3.1250012781713697E-5</v>
      </c>
      <c r="L255" s="2">
        <v>2.65522859564117E-5</v>
      </c>
      <c r="M255" s="1">
        <v>4.7257346757696404E-3</v>
      </c>
      <c r="N255" s="1">
        <v>3.5973889116493898</v>
      </c>
    </row>
    <row r="256" spans="1:14">
      <c r="A256" s="1">
        <v>255</v>
      </c>
      <c r="B256" s="1" t="s">
        <v>720</v>
      </c>
      <c r="C256" s="1" t="s">
        <v>721</v>
      </c>
      <c r="D256" s="5" t="s">
        <v>722</v>
      </c>
      <c r="E256" s="1" t="s">
        <v>720</v>
      </c>
      <c r="F256" s="7">
        <v>4</v>
      </c>
      <c r="G256" s="1">
        <v>5</v>
      </c>
      <c r="H256" s="1" t="s">
        <v>8</v>
      </c>
      <c r="I256" s="1" t="s">
        <v>8</v>
      </c>
      <c r="J256" s="1" t="s">
        <v>4</v>
      </c>
      <c r="K256" s="2">
        <v>3.1250008262851599E-5</v>
      </c>
      <c r="L256" s="2">
        <v>1.2134591770436299E-5</v>
      </c>
      <c r="M256" s="1">
        <v>4.51052084970626E-2</v>
      </c>
      <c r="N256" s="1">
        <v>3.2496334666819999</v>
      </c>
    </row>
    <row r="257" spans="1:14">
      <c r="A257" s="1">
        <v>256</v>
      </c>
      <c r="B257" s="1" t="s">
        <v>723</v>
      </c>
      <c r="C257" s="1" t="s">
        <v>724</v>
      </c>
      <c r="D257" s="5" t="s">
        <v>725</v>
      </c>
      <c r="E257" s="1" t="s">
        <v>723</v>
      </c>
      <c r="F257" s="7">
        <v>6</v>
      </c>
      <c r="G257" s="1">
        <v>5</v>
      </c>
      <c r="H257" s="1" t="s">
        <v>8</v>
      </c>
      <c r="I257" s="1" t="s">
        <v>8</v>
      </c>
      <c r="J257" s="1" t="s">
        <v>4</v>
      </c>
      <c r="K257" s="2">
        <v>3.1250033902007599E-5</v>
      </c>
      <c r="L257" s="2">
        <v>2.4392942674740801E-5</v>
      </c>
      <c r="M257" s="1">
        <v>4.6624397975688403E-2</v>
      </c>
      <c r="N257" s="1">
        <v>3.47837945499673</v>
      </c>
    </row>
    <row r="258" spans="1:14">
      <c r="A258" s="1">
        <v>257</v>
      </c>
      <c r="B258" s="1" t="s">
        <v>726</v>
      </c>
      <c r="C258" s="1" t="s">
        <v>727</v>
      </c>
      <c r="D258" s="5" t="s">
        <v>503</v>
      </c>
      <c r="E258" s="1" t="s">
        <v>726</v>
      </c>
      <c r="F258" s="7">
        <v>4</v>
      </c>
      <c r="G258" s="1">
        <v>3</v>
      </c>
      <c r="H258" s="1" t="s">
        <v>12</v>
      </c>
      <c r="I258" s="1" t="s">
        <v>12</v>
      </c>
      <c r="J258" s="1" t="s">
        <v>4</v>
      </c>
      <c r="K258" s="2">
        <v>3.1250012224216899E-5</v>
      </c>
      <c r="L258" s="2">
        <v>2.8715252157674398E-5</v>
      </c>
      <c r="M258" s="1">
        <v>-3.6812343451430203E-2</v>
      </c>
      <c r="N258" s="1">
        <v>3.6681045817392799</v>
      </c>
    </row>
    <row r="259" spans="1:14">
      <c r="A259" s="1">
        <v>258</v>
      </c>
      <c r="B259" s="1" t="s">
        <v>728</v>
      </c>
      <c r="C259" s="1" t="s">
        <v>729</v>
      </c>
      <c r="D259" s="5" t="s">
        <v>556</v>
      </c>
      <c r="E259" s="1" t="s">
        <v>728</v>
      </c>
      <c r="F259" s="7">
        <v>5</v>
      </c>
      <c r="G259" s="1">
        <v>2</v>
      </c>
      <c r="H259" s="1" t="s">
        <v>12</v>
      </c>
      <c r="I259" s="1" t="s">
        <v>12</v>
      </c>
      <c r="J259" s="1" t="s">
        <v>4</v>
      </c>
      <c r="K259" s="2">
        <v>3.1250018632269299E-5</v>
      </c>
      <c r="L259" s="2">
        <v>2.8805786106457401E-5</v>
      </c>
      <c r="M259" s="1">
        <v>6.3398164187162803E-3</v>
      </c>
      <c r="N259" s="1">
        <v>3.61820442439616</v>
      </c>
    </row>
    <row r="260" spans="1:14">
      <c r="A260" s="1">
        <v>259</v>
      </c>
      <c r="B260" s="1" t="s">
        <v>730</v>
      </c>
      <c r="C260" s="1" t="s">
        <v>731</v>
      </c>
      <c r="D260" s="5" t="s">
        <v>413</v>
      </c>
      <c r="E260" s="1" t="s">
        <v>730</v>
      </c>
      <c r="F260" s="7">
        <v>5</v>
      </c>
      <c r="G260" s="1">
        <v>5</v>
      </c>
      <c r="H260" s="1" t="s">
        <v>8</v>
      </c>
      <c r="I260" s="1" t="s">
        <v>8</v>
      </c>
      <c r="J260" s="1" t="s">
        <v>4</v>
      </c>
      <c r="K260" s="2">
        <v>3.1250004937843497E-5</v>
      </c>
      <c r="L260" s="2">
        <v>2.5073544386598001E-5</v>
      </c>
      <c r="M260" s="1">
        <v>-2.3930656385289201E-3</v>
      </c>
      <c r="N260" s="1">
        <v>3.5823328408486601</v>
      </c>
    </row>
    <row r="261" spans="1:14">
      <c r="A261" s="1">
        <v>260</v>
      </c>
      <c r="B261" s="1" t="s">
        <v>732</v>
      </c>
      <c r="C261" s="1" t="s">
        <v>733</v>
      </c>
      <c r="D261" s="5" t="s">
        <v>142</v>
      </c>
      <c r="E261" s="1" t="s">
        <v>732</v>
      </c>
      <c r="F261" s="7">
        <v>4</v>
      </c>
      <c r="G261" s="1">
        <v>2</v>
      </c>
      <c r="H261" s="1" t="s">
        <v>12</v>
      </c>
      <c r="I261" s="1" t="s">
        <v>12</v>
      </c>
      <c r="J261" s="1" t="s">
        <v>4</v>
      </c>
      <c r="K261" s="2">
        <v>3.1250003235051001E-5</v>
      </c>
      <c r="L261" s="2">
        <v>3.0591154996165901E-6</v>
      </c>
      <c r="M261" s="1">
        <v>6.8776597381514596E-3</v>
      </c>
      <c r="N261" s="1">
        <v>3.6301828115887602</v>
      </c>
    </row>
    <row r="262" spans="1:14">
      <c r="A262" s="1">
        <v>261</v>
      </c>
      <c r="B262" s="1" t="s">
        <v>734</v>
      </c>
      <c r="C262" s="1" t="s">
        <v>735</v>
      </c>
      <c r="D262" s="5" t="s">
        <v>736</v>
      </c>
      <c r="E262" s="1" t="s">
        <v>737</v>
      </c>
      <c r="F262" s="7">
        <v>4</v>
      </c>
      <c r="G262" s="1">
        <v>6</v>
      </c>
      <c r="H262" s="1" t="s">
        <v>8</v>
      </c>
      <c r="I262" s="1" t="s">
        <v>12</v>
      </c>
      <c r="J262" s="1" t="s">
        <v>180</v>
      </c>
      <c r="K262" s="2">
        <v>3.1250004436714702E-5</v>
      </c>
      <c r="L262" s="2">
        <v>5.5085993901919197E-6</v>
      </c>
      <c r="M262" s="1">
        <v>-2.4929712927992301E-2</v>
      </c>
      <c r="N262" s="1">
        <v>3.4140343957586898</v>
      </c>
    </row>
    <row r="263" spans="1:14">
      <c r="A263" s="1">
        <v>262</v>
      </c>
      <c r="B263" s="1" t="s">
        <v>738</v>
      </c>
      <c r="C263" s="1" t="s">
        <v>739</v>
      </c>
      <c r="D263" s="5" t="s">
        <v>740</v>
      </c>
      <c r="E263" s="1" t="s">
        <v>738</v>
      </c>
      <c r="F263" s="7">
        <v>5</v>
      </c>
      <c r="G263" s="1">
        <v>4</v>
      </c>
      <c r="H263" s="1" t="s">
        <v>8</v>
      </c>
      <c r="I263" s="1" t="s">
        <v>8</v>
      </c>
      <c r="J263" s="1" t="s">
        <v>4</v>
      </c>
      <c r="K263" s="2">
        <v>3.12500056678261E-5</v>
      </c>
      <c r="L263" s="2">
        <v>3.0517896235923901E-5</v>
      </c>
      <c r="M263" s="1">
        <v>-1.7742523454273801E-3</v>
      </c>
      <c r="N263" s="1">
        <v>3.7047661425901701</v>
      </c>
    </row>
    <row r="264" spans="1:14">
      <c r="A264" s="1">
        <v>263</v>
      </c>
      <c r="B264" s="1" t="s">
        <v>741</v>
      </c>
      <c r="C264" s="1" t="s">
        <v>742</v>
      </c>
      <c r="D264" s="5" t="s">
        <v>743</v>
      </c>
      <c r="E264" s="1" t="s">
        <v>741</v>
      </c>
      <c r="F264" s="7">
        <v>4</v>
      </c>
      <c r="G264" s="1">
        <v>6</v>
      </c>
      <c r="H264" s="1" t="s">
        <v>8</v>
      </c>
      <c r="I264" s="1" t="s">
        <v>8</v>
      </c>
      <c r="J264" s="1" t="s">
        <v>4</v>
      </c>
      <c r="K264" s="2">
        <v>3.1249998716894102E-5</v>
      </c>
      <c r="L264" s="2">
        <v>3.1151515753184098E-5</v>
      </c>
      <c r="M264" s="1">
        <v>1.26902045249011E-2</v>
      </c>
      <c r="N264" s="1">
        <v>2.6780668178921099</v>
      </c>
    </row>
    <row r="265" spans="1:14">
      <c r="A265" s="1">
        <v>264</v>
      </c>
      <c r="B265" s="1" t="s">
        <v>744</v>
      </c>
      <c r="C265" s="1" t="s">
        <v>745</v>
      </c>
      <c r="D265" s="5" t="s">
        <v>531</v>
      </c>
      <c r="E265" s="1" t="s">
        <v>744</v>
      </c>
      <c r="F265" s="7">
        <v>5</v>
      </c>
      <c r="G265" s="1">
        <v>4</v>
      </c>
      <c r="H265" s="1" t="s">
        <v>8</v>
      </c>
      <c r="I265" s="1" t="s">
        <v>8</v>
      </c>
      <c r="J265" s="1" t="s">
        <v>4</v>
      </c>
      <c r="K265" s="2">
        <v>3.1250003580750301E-5</v>
      </c>
      <c r="L265" s="2">
        <v>5.0363589504260603E-6</v>
      </c>
      <c r="M265" s="1">
        <v>3.8692193086768902E-3</v>
      </c>
      <c r="N265" s="1">
        <v>3.3258737287993498</v>
      </c>
    </row>
    <row r="266" spans="1:14">
      <c r="A266" s="1">
        <v>265</v>
      </c>
      <c r="B266" s="1" t="s">
        <v>746</v>
      </c>
      <c r="C266" s="1" t="s">
        <v>747</v>
      </c>
      <c r="D266" s="5" t="s">
        <v>748</v>
      </c>
      <c r="E266" s="1" t="s">
        <v>746</v>
      </c>
      <c r="F266" s="7">
        <v>4</v>
      </c>
      <c r="G266" s="1">
        <v>5</v>
      </c>
      <c r="H266" s="1" t="s">
        <v>8</v>
      </c>
      <c r="I266" s="1" t="s">
        <v>8</v>
      </c>
      <c r="J266" s="1" t="s">
        <v>4</v>
      </c>
      <c r="K266" s="2">
        <v>3.1250009554904503E-5</v>
      </c>
      <c r="L266" s="2">
        <v>2.44386380086344E-5</v>
      </c>
      <c r="M266" s="1">
        <v>-2.0756175160514E-2</v>
      </c>
      <c r="N266" s="1">
        <v>3.5980779463750601</v>
      </c>
    </row>
    <row r="267" spans="1:14">
      <c r="A267" s="1">
        <v>266</v>
      </c>
      <c r="B267" s="1" t="s">
        <v>749</v>
      </c>
      <c r="C267" s="1" t="s">
        <v>750</v>
      </c>
      <c r="D267" s="5" t="s">
        <v>47</v>
      </c>
      <c r="E267" s="1" t="s">
        <v>749</v>
      </c>
      <c r="F267" s="7">
        <v>5</v>
      </c>
      <c r="G267" s="1">
        <v>2</v>
      </c>
      <c r="H267" s="1" t="s">
        <v>12</v>
      </c>
      <c r="I267" s="1" t="s">
        <v>12</v>
      </c>
      <c r="J267" s="1" t="s">
        <v>4</v>
      </c>
      <c r="K267" s="2">
        <v>3.1250000766769E-5</v>
      </c>
      <c r="L267" s="2">
        <v>2.51229177017625E-5</v>
      </c>
      <c r="M267" s="1">
        <v>-3.9981487221964998E-2</v>
      </c>
      <c r="N267" s="1">
        <v>3.73232236906999</v>
      </c>
    </row>
    <row r="268" spans="1:14">
      <c r="A268" s="1">
        <v>267</v>
      </c>
      <c r="B268" s="1" t="s">
        <v>751</v>
      </c>
      <c r="C268" s="1" t="s">
        <v>752</v>
      </c>
      <c r="D268" s="5" t="s">
        <v>142</v>
      </c>
      <c r="E268" s="1" t="s">
        <v>751</v>
      </c>
      <c r="F268" s="7">
        <v>4</v>
      </c>
      <c r="G268" s="1">
        <v>2</v>
      </c>
      <c r="H268" s="1" t="s">
        <v>12</v>
      </c>
      <c r="I268" s="1" t="s">
        <v>12</v>
      </c>
      <c r="J268" s="1" t="s">
        <v>4</v>
      </c>
      <c r="K268" s="2">
        <v>3.1250002861526697E-5</v>
      </c>
      <c r="L268" s="2">
        <v>2.3792122911271999E-5</v>
      </c>
      <c r="M268" s="1">
        <v>2.52751617756601E-2</v>
      </c>
      <c r="N268" s="1">
        <v>3.7740628902231799</v>
      </c>
    </row>
    <row r="269" spans="1:14">
      <c r="A269" s="1">
        <v>268</v>
      </c>
      <c r="B269" s="1" t="s">
        <v>753</v>
      </c>
      <c r="C269" s="1" t="s">
        <v>754</v>
      </c>
      <c r="D269" s="5" t="s">
        <v>755</v>
      </c>
      <c r="E269" s="1" t="s">
        <v>753</v>
      </c>
      <c r="F269" s="7">
        <v>7</v>
      </c>
      <c r="G269" s="1">
        <v>6</v>
      </c>
      <c r="H269" s="1" t="s">
        <v>8</v>
      </c>
      <c r="I269" s="1" t="s">
        <v>8</v>
      </c>
      <c r="J269" s="1" t="s">
        <v>4</v>
      </c>
      <c r="K269" s="2">
        <v>3.12500147972615E-5</v>
      </c>
      <c r="L269" s="2">
        <v>3.1011043706464898E-5</v>
      </c>
      <c r="M269" s="1">
        <v>5.1064360321646501E-3</v>
      </c>
      <c r="N269" s="1">
        <v>3.0283134342239002</v>
      </c>
    </row>
    <row r="270" spans="1:14">
      <c r="A270" s="1">
        <v>269</v>
      </c>
      <c r="B270" s="1" t="s">
        <v>756</v>
      </c>
      <c r="C270" s="1" t="s">
        <v>757</v>
      </c>
      <c r="D270" s="5" t="s">
        <v>758</v>
      </c>
      <c r="E270" s="1" t="s">
        <v>756</v>
      </c>
      <c r="F270" s="7">
        <v>7</v>
      </c>
      <c r="G270" s="1">
        <v>3</v>
      </c>
      <c r="H270" s="1" t="s">
        <v>8</v>
      </c>
      <c r="I270" s="1" t="s">
        <v>8</v>
      </c>
      <c r="J270" s="1" t="s">
        <v>4</v>
      </c>
      <c r="K270" s="2">
        <v>3.1250013650005097E-5</v>
      </c>
      <c r="L270" s="2">
        <v>2.6639723697138702E-5</v>
      </c>
      <c r="M270" s="1">
        <v>2.8026129843482201E-2</v>
      </c>
      <c r="N270" s="1">
        <v>3.76721788549531</v>
      </c>
    </row>
    <row r="271" spans="1:14">
      <c r="A271" s="1">
        <v>270</v>
      </c>
      <c r="B271" s="1" t="s">
        <v>759</v>
      </c>
      <c r="C271" s="1" t="s">
        <v>760</v>
      </c>
      <c r="D271" s="5" t="s">
        <v>142</v>
      </c>
      <c r="E271" s="1" t="s">
        <v>759</v>
      </c>
      <c r="F271" s="7">
        <v>4</v>
      </c>
      <c r="G271" s="1">
        <v>2</v>
      </c>
      <c r="H271" s="1" t="s">
        <v>12</v>
      </c>
      <c r="I271" s="1" t="s">
        <v>12</v>
      </c>
      <c r="J271" s="1" t="s">
        <v>4</v>
      </c>
      <c r="K271" s="2">
        <v>3.1250010621236299E-5</v>
      </c>
      <c r="L271" s="2">
        <v>2.46889138827602E-5</v>
      </c>
      <c r="M271" s="1">
        <v>-1.1817201352840799E-2</v>
      </c>
      <c r="N271" s="1">
        <v>3.5455936758878401</v>
      </c>
    </row>
    <row r="272" spans="1:14">
      <c r="A272" s="1">
        <v>271</v>
      </c>
      <c r="B272" s="1" t="s">
        <v>761</v>
      </c>
      <c r="C272" s="1" t="s">
        <v>762</v>
      </c>
      <c r="D272" s="5" t="s">
        <v>763</v>
      </c>
      <c r="E272" s="1" t="s">
        <v>761</v>
      </c>
      <c r="F272" s="7">
        <v>4</v>
      </c>
      <c r="G272" s="1">
        <v>5</v>
      </c>
      <c r="H272" s="1" t="s">
        <v>8</v>
      </c>
      <c r="I272" s="1" t="s">
        <v>8</v>
      </c>
      <c r="J272" s="1" t="s">
        <v>4</v>
      </c>
      <c r="K272" s="2">
        <v>3.1250003305304497E-5</v>
      </c>
      <c r="L272" s="2">
        <v>2.9776116706115499E-5</v>
      </c>
      <c r="M272" s="1">
        <v>1.29694309710011E-2</v>
      </c>
      <c r="N272" s="1">
        <v>3.5656241676053702</v>
      </c>
    </row>
    <row r="273" spans="1:14">
      <c r="A273" s="1">
        <v>272</v>
      </c>
      <c r="B273" s="1" t="s">
        <v>764</v>
      </c>
      <c r="C273" s="1" t="s">
        <v>765</v>
      </c>
      <c r="D273" s="5" t="s">
        <v>257</v>
      </c>
      <c r="E273" s="1" t="s">
        <v>764</v>
      </c>
      <c r="F273" s="7">
        <v>4</v>
      </c>
      <c r="G273" s="1">
        <v>3</v>
      </c>
      <c r="H273" s="1" t="s">
        <v>12</v>
      </c>
      <c r="I273" s="1" t="s">
        <v>12</v>
      </c>
      <c r="J273" s="1" t="s">
        <v>4</v>
      </c>
      <c r="K273" s="2">
        <v>3.1250005349748701E-5</v>
      </c>
      <c r="L273" s="2">
        <v>1.7764817512540801E-5</v>
      </c>
      <c r="M273" s="1">
        <v>-1.4373522941620601E-2</v>
      </c>
      <c r="N273" s="1">
        <v>3.7247578453302701</v>
      </c>
    </row>
    <row r="274" spans="1:14">
      <c r="A274" s="1">
        <v>273</v>
      </c>
      <c r="B274" s="1" t="s">
        <v>766</v>
      </c>
      <c r="C274" s="1" t="s">
        <v>767</v>
      </c>
      <c r="D274" s="5" t="s">
        <v>768</v>
      </c>
      <c r="E274" s="1" t="s">
        <v>766</v>
      </c>
      <c r="F274" s="7">
        <v>4</v>
      </c>
      <c r="G274" s="1">
        <v>4</v>
      </c>
      <c r="H274" s="1" t="s">
        <v>3</v>
      </c>
      <c r="I274" s="1" t="s">
        <v>3</v>
      </c>
      <c r="J274" s="1" t="s">
        <v>4</v>
      </c>
      <c r="K274" s="2">
        <v>3.1250009423854703E-5</v>
      </c>
      <c r="L274" s="2">
        <v>2.7289934441397299E-5</v>
      </c>
      <c r="M274" s="1">
        <v>-8.3426056048310198E-3</v>
      </c>
      <c r="N274" s="1">
        <v>3.4967696783768201</v>
      </c>
    </row>
    <row r="275" spans="1:14">
      <c r="A275" s="1">
        <v>274</v>
      </c>
      <c r="B275" s="1" t="s">
        <v>769</v>
      </c>
      <c r="C275" s="1" t="s">
        <v>770</v>
      </c>
      <c r="D275" s="5" t="s">
        <v>771</v>
      </c>
      <c r="E275" s="1" t="s">
        <v>769</v>
      </c>
      <c r="F275" s="7">
        <v>6</v>
      </c>
      <c r="G275" s="1">
        <v>5</v>
      </c>
      <c r="H275" s="1" t="s">
        <v>8</v>
      </c>
      <c r="I275" s="1" t="s">
        <v>8</v>
      </c>
      <c r="J275" s="1" t="s">
        <v>4</v>
      </c>
      <c r="K275" s="2">
        <v>3.1250007019984102E-5</v>
      </c>
      <c r="L275" s="2">
        <v>3.0928742378965199E-5</v>
      </c>
      <c r="M275" s="1">
        <v>9.6231282120271492E-3</v>
      </c>
      <c r="N275" s="1">
        <v>2.45646482451165</v>
      </c>
    </row>
    <row r="276" spans="1:14">
      <c r="A276" s="1">
        <v>275</v>
      </c>
      <c r="B276" s="1" t="s">
        <v>772</v>
      </c>
      <c r="C276" s="1" t="s">
        <v>773</v>
      </c>
      <c r="D276" s="5" t="s">
        <v>774</v>
      </c>
      <c r="E276" s="1" t="s">
        <v>772</v>
      </c>
      <c r="F276" s="7">
        <v>6</v>
      </c>
      <c r="G276" s="1">
        <v>11</v>
      </c>
      <c r="H276" s="1" t="s">
        <v>8</v>
      </c>
      <c r="I276" s="1" t="s">
        <v>8</v>
      </c>
      <c r="J276" s="1" t="s">
        <v>4</v>
      </c>
      <c r="K276" s="2">
        <v>3.1250012737700699E-5</v>
      </c>
      <c r="L276" s="2">
        <v>3.1193462097881801E-5</v>
      </c>
      <c r="M276" s="1">
        <v>-1.1327434739868599E-2</v>
      </c>
      <c r="N276" s="1">
        <v>2.9711743171588898</v>
      </c>
    </row>
    <row r="277" spans="1:14">
      <c r="A277" s="1">
        <v>276</v>
      </c>
      <c r="B277" s="1" t="s">
        <v>775</v>
      </c>
      <c r="C277" s="1" t="s">
        <v>776</v>
      </c>
      <c r="D277" s="5" t="s">
        <v>777</v>
      </c>
      <c r="E277" s="1" t="s">
        <v>775</v>
      </c>
      <c r="F277" s="7">
        <v>5</v>
      </c>
      <c r="G277" s="1">
        <v>4</v>
      </c>
      <c r="H277" s="1" t="s">
        <v>8</v>
      </c>
      <c r="I277" s="1" t="s">
        <v>8</v>
      </c>
      <c r="J277" s="1" t="s">
        <v>4</v>
      </c>
      <c r="K277" s="2">
        <v>3.1250001556000799E-5</v>
      </c>
      <c r="L277" s="2">
        <v>3.0958973662601002E-5</v>
      </c>
      <c r="M277" s="1">
        <v>-1.4949761605578199E-2</v>
      </c>
      <c r="N277" s="1">
        <v>3.0491543310731899</v>
      </c>
    </row>
    <row r="278" spans="1:14">
      <c r="A278" s="1">
        <v>277</v>
      </c>
      <c r="B278" s="1" t="s">
        <v>778</v>
      </c>
      <c r="C278" s="1" t="s">
        <v>779</v>
      </c>
      <c r="D278" s="5" t="s">
        <v>780</v>
      </c>
      <c r="E278" s="1" t="s">
        <v>2342</v>
      </c>
      <c r="F278" s="7">
        <v>7</v>
      </c>
      <c r="G278" s="1">
        <v>9</v>
      </c>
      <c r="H278" s="1" t="s">
        <v>8</v>
      </c>
      <c r="I278" s="1" t="s">
        <v>8</v>
      </c>
      <c r="J278" s="1" t="s">
        <v>180</v>
      </c>
      <c r="K278" s="2">
        <v>3.12500045357765E-5</v>
      </c>
      <c r="L278" s="2">
        <v>4.3092196255879701E-6</v>
      </c>
      <c r="M278" s="1">
        <v>9.90356837064609E-4</v>
      </c>
      <c r="N278" s="1">
        <v>3.7166000695768</v>
      </c>
    </row>
    <row r="279" spans="1:14">
      <c r="A279" s="1">
        <v>278</v>
      </c>
      <c r="B279" s="1" t="s">
        <v>781</v>
      </c>
      <c r="C279" s="1" t="s">
        <v>782</v>
      </c>
      <c r="D279" s="5" t="s">
        <v>783</v>
      </c>
      <c r="E279" s="1" t="s">
        <v>781</v>
      </c>
      <c r="F279" s="7">
        <v>8</v>
      </c>
      <c r="G279" s="1">
        <v>5</v>
      </c>
      <c r="H279" s="1" t="s">
        <v>8</v>
      </c>
      <c r="I279" s="1" t="s">
        <v>8</v>
      </c>
      <c r="J279" s="1" t="s">
        <v>4</v>
      </c>
      <c r="K279" s="2">
        <v>3.1250023799831498E-5</v>
      </c>
      <c r="L279" s="2">
        <v>3.0650702436453601E-5</v>
      </c>
      <c r="M279" s="1">
        <v>-1.36487453060709E-2</v>
      </c>
      <c r="N279" s="1">
        <v>2.81063571668389</v>
      </c>
    </row>
    <row r="280" spans="1:14">
      <c r="A280" s="1">
        <v>279</v>
      </c>
      <c r="B280" s="1" t="s">
        <v>784</v>
      </c>
      <c r="C280" s="1" t="s">
        <v>785</v>
      </c>
      <c r="D280" s="5" t="s">
        <v>61</v>
      </c>
      <c r="E280" s="1" t="s">
        <v>784</v>
      </c>
      <c r="F280" s="7">
        <v>9</v>
      </c>
      <c r="G280" s="1">
        <v>2</v>
      </c>
      <c r="H280" s="1" t="s">
        <v>22</v>
      </c>
      <c r="I280" s="1" t="s">
        <v>22</v>
      </c>
      <c r="J280" s="1" t="s">
        <v>4</v>
      </c>
      <c r="K280" s="2">
        <v>3.1250011156787802E-5</v>
      </c>
      <c r="L280" s="2">
        <v>2.6943825752793E-5</v>
      </c>
      <c r="M280" s="1">
        <v>2.6493713718878098E-3</v>
      </c>
      <c r="N280" s="1">
        <v>3.6661658714937801</v>
      </c>
    </row>
    <row r="281" spans="1:14">
      <c r="A281" s="1">
        <v>280</v>
      </c>
      <c r="B281" s="1" t="s">
        <v>786</v>
      </c>
      <c r="C281" s="1" t="s">
        <v>787</v>
      </c>
      <c r="D281" s="5" t="s">
        <v>525</v>
      </c>
      <c r="E281" s="1" t="s">
        <v>786</v>
      </c>
      <c r="F281" s="7">
        <v>7</v>
      </c>
      <c r="G281" s="1">
        <v>4</v>
      </c>
      <c r="H281" s="1" t="s">
        <v>8</v>
      </c>
      <c r="I281" s="1" t="s">
        <v>8</v>
      </c>
      <c r="J281" s="1" t="s">
        <v>4</v>
      </c>
      <c r="K281" s="2">
        <v>3.1250008801209599E-5</v>
      </c>
      <c r="L281" s="2">
        <v>2.91507204661537E-5</v>
      </c>
      <c r="M281" s="1">
        <v>-5.2913022326350704E-3</v>
      </c>
      <c r="N281" s="1">
        <v>3.5659749531312799</v>
      </c>
    </row>
    <row r="282" spans="1:14">
      <c r="A282" s="1">
        <v>281</v>
      </c>
      <c r="B282" s="1" t="s">
        <v>788</v>
      </c>
      <c r="C282" s="1" t="s">
        <v>789</v>
      </c>
      <c r="D282" s="5" t="s">
        <v>413</v>
      </c>
      <c r="E282" s="1" t="s">
        <v>788</v>
      </c>
      <c r="F282" s="7">
        <v>4</v>
      </c>
      <c r="G282" s="1">
        <v>5</v>
      </c>
      <c r="H282" s="1" t="s">
        <v>8</v>
      </c>
      <c r="I282" s="1" t="s">
        <v>8</v>
      </c>
      <c r="J282" s="1" t="s">
        <v>4</v>
      </c>
      <c r="K282" s="2">
        <v>3.1250003736499399E-5</v>
      </c>
      <c r="L282" s="2">
        <v>3.0031759814049702E-5</v>
      </c>
      <c r="M282" s="1">
        <v>-7.8274519401446696E-3</v>
      </c>
      <c r="N282" s="1">
        <v>3.6825773215527202</v>
      </c>
    </row>
    <row r="283" spans="1:14">
      <c r="A283" s="1">
        <v>282</v>
      </c>
      <c r="B283" s="1" t="s">
        <v>790</v>
      </c>
      <c r="C283" s="1" t="s">
        <v>791</v>
      </c>
      <c r="D283" s="5" t="s">
        <v>792</v>
      </c>
      <c r="E283" s="1" t="s">
        <v>2343</v>
      </c>
      <c r="F283" s="7">
        <v>4</v>
      </c>
      <c r="G283" s="1">
        <v>4</v>
      </c>
      <c r="H283" s="1" t="s">
        <v>8</v>
      </c>
      <c r="I283" s="1" t="s">
        <v>8</v>
      </c>
      <c r="J283" s="1" t="s">
        <v>180</v>
      </c>
      <c r="K283" s="2">
        <v>3.12499976936889E-5</v>
      </c>
      <c r="L283" s="2">
        <v>1.77049502863505E-6</v>
      </c>
      <c r="M283" s="1">
        <v>-4.9474081058775701E-3</v>
      </c>
      <c r="N283" s="1">
        <v>3.6486234448538002</v>
      </c>
    </row>
    <row r="284" spans="1:14">
      <c r="A284" s="1">
        <v>283</v>
      </c>
      <c r="B284" s="1" t="s">
        <v>793</v>
      </c>
      <c r="C284" s="1" t="s">
        <v>794</v>
      </c>
      <c r="D284" s="5" t="s">
        <v>795</v>
      </c>
      <c r="E284" s="1" t="s">
        <v>793</v>
      </c>
      <c r="F284" s="7">
        <v>6</v>
      </c>
      <c r="G284" s="1">
        <v>10</v>
      </c>
      <c r="H284" s="1" t="s">
        <v>8</v>
      </c>
      <c r="I284" s="1" t="s">
        <v>8</v>
      </c>
      <c r="J284" s="1" t="s">
        <v>4</v>
      </c>
      <c r="K284" s="2">
        <v>3.1249997193884702E-5</v>
      </c>
      <c r="L284" s="2">
        <v>2.4876919979023399E-5</v>
      </c>
      <c r="M284" s="1">
        <v>-4.3364251381689201E-2</v>
      </c>
      <c r="N284" s="1">
        <v>3.8272372026052999</v>
      </c>
    </row>
    <row r="285" spans="1:14">
      <c r="A285" s="1">
        <v>284</v>
      </c>
      <c r="B285" s="1" t="s">
        <v>796</v>
      </c>
      <c r="C285" s="1" t="s">
        <v>797</v>
      </c>
      <c r="D285" s="5" t="s">
        <v>556</v>
      </c>
      <c r="E285" s="1" t="s">
        <v>796</v>
      </c>
      <c r="F285" s="7">
        <v>4</v>
      </c>
      <c r="G285" s="1">
        <v>2</v>
      </c>
      <c r="H285" s="1" t="s">
        <v>12</v>
      </c>
      <c r="I285" s="1" t="s">
        <v>12</v>
      </c>
      <c r="J285" s="1" t="s">
        <v>4</v>
      </c>
      <c r="K285" s="2">
        <v>3.1250005536586103E-5</v>
      </c>
      <c r="L285" s="2">
        <v>1.0863029357517899E-5</v>
      </c>
      <c r="M285" s="1">
        <v>1.1501468368848499E-3</v>
      </c>
      <c r="N285" s="1">
        <v>3.7333876567008999</v>
      </c>
    </row>
    <row r="286" spans="1:14">
      <c r="A286" s="1">
        <v>285</v>
      </c>
      <c r="B286" s="1" t="s">
        <v>798</v>
      </c>
      <c r="C286" s="1" t="s">
        <v>799</v>
      </c>
      <c r="D286" s="5" t="s">
        <v>800</v>
      </c>
      <c r="E286" s="1" t="s">
        <v>798</v>
      </c>
      <c r="F286" s="7">
        <v>4</v>
      </c>
      <c r="G286" s="1">
        <v>6</v>
      </c>
      <c r="H286" s="1" t="s">
        <v>8</v>
      </c>
      <c r="I286" s="1" t="s">
        <v>8</v>
      </c>
      <c r="J286" s="1" t="s">
        <v>4</v>
      </c>
      <c r="K286" s="2">
        <v>3.1250007104730399E-5</v>
      </c>
      <c r="L286" s="2">
        <v>1.6058939113536001E-5</v>
      </c>
      <c r="M286" s="1">
        <v>-3.6794640882931103E-4</v>
      </c>
      <c r="N286" s="1">
        <v>3.3239656788868399</v>
      </c>
    </row>
    <row r="287" spans="1:14">
      <c r="A287" s="1">
        <v>286</v>
      </c>
      <c r="B287" s="1" t="s">
        <v>801</v>
      </c>
      <c r="C287" s="1" t="s">
        <v>802</v>
      </c>
      <c r="D287" s="5" t="s">
        <v>803</v>
      </c>
      <c r="E287" s="1" t="s">
        <v>801</v>
      </c>
      <c r="F287" s="7">
        <v>5</v>
      </c>
      <c r="G287" s="1">
        <v>2</v>
      </c>
      <c r="H287" s="1" t="s">
        <v>22</v>
      </c>
      <c r="I287" s="1" t="s">
        <v>22</v>
      </c>
      <c r="J287" s="1" t="s">
        <v>4</v>
      </c>
      <c r="K287" s="2">
        <v>3.12500148552917E-5</v>
      </c>
      <c r="L287" s="2">
        <v>2.4384140848049599E-5</v>
      </c>
      <c r="M287" s="1">
        <v>-3.1018992603151201E-3</v>
      </c>
      <c r="N287" s="1">
        <v>3.7078827818573199</v>
      </c>
    </row>
    <row r="288" spans="1:14">
      <c r="A288" s="1">
        <v>287</v>
      </c>
      <c r="B288" s="1" t="s">
        <v>804</v>
      </c>
      <c r="C288" s="1" t="s">
        <v>805</v>
      </c>
      <c r="D288" s="5" t="s">
        <v>503</v>
      </c>
      <c r="E288" s="1" t="s">
        <v>804</v>
      </c>
      <c r="F288" s="7">
        <v>4</v>
      </c>
      <c r="G288" s="1">
        <v>3</v>
      </c>
      <c r="H288" s="1" t="s">
        <v>12</v>
      </c>
      <c r="I288" s="1" t="s">
        <v>12</v>
      </c>
      <c r="J288" s="1" t="s">
        <v>4</v>
      </c>
      <c r="K288" s="2">
        <v>3.1250009611313299E-5</v>
      </c>
      <c r="L288" s="2">
        <v>3.0191034121865801E-5</v>
      </c>
      <c r="M288" s="1">
        <v>-1.2296433327364201E-2</v>
      </c>
      <c r="N288" s="1">
        <v>3.7258341418916299</v>
      </c>
    </row>
    <row r="289" spans="1:14">
      <c r="A289" s="1">
        <v>288</v>
      </c>
      <c r="B289" s="1" t="s">
        <v>806</v>
      </c>
      <c r="C289" s="1" t="s">
        <v>493</v>
      </c>
      <c r="D289" s="5" t="s">
        <v>807</v>
      </c>
      <c r="E289" s="1" t="s">
        <v>808</v>
      </c>
      <c r="F289" s="7">
        <v>4</v>
      </c>
      <c r="G289" s="1">
        <v>4</v>
      </c>
      <c r="H289" s="1" t="s">
        <v>8</v>
      </c>
      <c r="I289" s="1" t="s">
        <v>8</v>
      </c>
      <c r="J289" s="1" t="s">
        <v>180</v>
      </c>
      <c r="K289" s="2">
        <v>3.1250006471025898E-5</v>
      </c>
      <c r="L289" s="2">
        <v>1.13960867032156E-5</v>
      </c>
      <c r="M289" s="1">
        <v>-3.8530451426034E-2</v>
      </c>
      <c r="N289" s="1">
        <v>3.5348932426028998</v>
      </c>
    </row>
    <row r="290" spans="1:14">
      <c r="A290" s="1">
        <v>289</v>
      </c>
      <c r="B290" s="1" t="s">
        <v>809</v>
      </c>
      <c r="C290" s="1" t="s">
        <v>810</v>
      </c>
      <c r="D290" s="5" t="s">
        <v>811</v>
      </c>
      <c r="E290" s="1" t="s">
        <v>809</v>
      </c>
      <c r="F290" s="7">
        <v>4</v>
      </c>
      <c r="G290" s="1">
        <v>4</v>
      </c>
      <c r="H290" s="1" t="s">
        <v>8</v>
      </c>
      <c r="I290" s="1" t="s">
        <v>8</v>
      </c>
      <c r="J290" s="1" t="s">
        <v>4</v>
      </c>
      <c r="K290" s="2">
        <v>3.1249997283676998E-5</v>
      </c>
      <c r="L290" s="2">
        <v>2.3314177049263401E-5</v>
      </c>
      <c r="M290" s="1">
        <v>9.1627959640057099E-3</v>
      </c>
      <c r="N290" s="1">
        <v>3.0463170272056801</v>
      </c>
    </row>
    <row r="291" spans="1:14">
      <c r="A291" s="1">
        <v>290</v>
      </c>
      <c r="B291" s="1" t="s">
        <v>812</v>
      </c>
      <c r="C291" s="1" t="s">
        <v>813</v>
      </c>
      <c r="D291" s="5" t="s">
        <v>553</v>
      </c>
      <c r="E291" s="1" t="s">
        <v>812</v>
      </c>
      <c r="F291" s="7">
        <v>6</v>
      </c>
      <c r="G291" s="1">
        <v>4</v>
      </c>
      <c r="H291" s="1" t="s">
        <v>8</v>
      </c>
      <c r="I291" s="1" t="s">
        <v>8</v>
      </c>
      <c r="J291" s="1" t="s">
        <v>4</v>
      </c>
      <c r="K291" s="2">
        <v>3.1250004229448301E-5</v>
      </c>
      <c r="L291" s="2">
        <v>2.28641814465977E-5</v>
      </c>
      <c r="M291" s="1">
        <v>-1.26402100896285E-2</v>
      </c>
      <c r="N291" s="1">
        <v>3.4887118070300298</v>
      </c>
    </row>
    <row r="292" spans="1:14">
      <c r="A292" s="1">
        <v>291</v>
      </c>
      <c r="B292" s="1" t="s">
        <v>814</v>
      </c>
      <c r="C292" s="1" t="s">
        <v>815</v>
      </c>
      <c r="D292" s="5" t="s">
        <v>816</v>
      </c>
      <c r="E292" s="1" t="s">
        <v>814</v>
      </c>
      <c r="F292" s="7">
        <v>7</v>
      </c>
      <c r="G292" s="1">
        <v>3</v>
      </c>
      <c r="H292" s="1" t="s">
        <v>8</v>
      </c>
      <c r="I292" s="1" t="s">
        <v>8</v>
      </c>
      <c r="J292" s="1" t="s">
        <v>4</v>
      </c>
      <c r="K292" s="2">
        <v>3.1250004810539297E-5</v>
      </c>
      <c r="L292" s="2">
        <v>1.99839444075423E-5</v>
      </c>
      <c r="M292" s="1">
        <v>4.39672907174326E-3</v>
      </c>
      <c r="N292" s="1">
        <v>3.4606329648581799</v>
      </c>
    </row>
    <row r="293" spans="1:14">
      <c r="A293" s="1">
        <v>292</v>
      </c>
      <c r="B293" s="1" t="s">
        <v>817</v>
      </c>
      <c r="C293" s="1" t="s">
        <v>818</v>
      </c>
      <c r="D293" s="5" t="s">
        <v>819</v>
      </c>
      <c r="E293" s="1" t="s">
        <v>817</v>
      </c>
      <c r="F293" s="7">
        <v>6</v>
      </c>
      <c r="G293" s="1">
        <v>5</v>
      </c>
      <c r="H293" s="1" t="s">
        <v>8</v>
      </c>
      <c r="I293" s="1" t="s">
        <v>8</v>
      </c>
      <c r="J293" s="1" t="s">
        <v>4</v>
      </c>
      <c r="K293" s="2">
        <v>3.1250011038953403E-5</v>
      </c>
      <c r="L293" s="2">
        <v>2.97851523374382E-5</v>
      </c>
      <c r="M293" s="1">
        <v>-6.0503480295395198E-3</v>
      </c>
      <c r="N293" s="1">
        <v>3.64461832099233</v>
      </c>
    </row>
    <row r="294" spans="1:14">
      <c r="A294" s="1">
        <v>293</v>
      </c>
      <c r="B294" s="1" t="s">
        <v>820</v>
      </c>
      <c r="C294" s="1" t="s">
        <v>821</v>
      </c>
      <c r="D294" s="5" t="s">
        <v>822</v>
      </c>
      <c r="E294" s="1" t="s">
        <v>820</v>
      </c>
      <c r="F294" s="7">
        <v>4</v>
      </c>
      <c r="G294" s="1">
        <v>3</v>
      </c>
      <c r="H294" s="1" t="s">
        <v>68</v>
      </c>
      <c r="I294" s="1" t="s">
        <v>68</v>
      </c>
      <c r="J294" s="1" t="s">
        <v>4</v>
      </c>
      <c r="K294" s="2">
        <v>3.1250008654589402E-5</v>
      </c>
      <c r="L294" s="2">
        <v>1.0104964574275599E-5</v>
      </c>
      <c r="M294" s="1">
        <v>-8.04151251102069E-3</v>
      </c>
      <c r="N294" s="1">
        <v>3.3629150018415301</v>
      </c>
    </row>
    <row r="295" spans="1:14">
      <c r="A295" s="1">
        <v>294</v>
      </c>
      <c r="B295" s="1" t="s">
        <v>823</v>
      </c>
      <c r="C295" s="1" t="s">
        <v>824</v>
      </c>
      <c r="D295" s="5" t="s">
        <v>825</v>
      </c>
      <c r="E295" s="1" t="s">
        <v>826</v>
      </c>
      <c r="F295" s="7">
        <v>4</v>
      </c>
      <c r="G295" s="1">
        <v>6</v>
      </c>
      <c r="H295" s="1" t="s">
        <v>8</v>
      </c>
      <c r="I295" s="1" t="s">
        <v>8</v>
      </c>
      <c r="J295" s="1" t="s">
        <v>180</v>
      </c>
      <c r="K295" s="2">
        <v>3.1249997995438303E-5</v>
      </c>
      <c r="L295" s="2">
        <v>1.7056212749933099E-6</v>
      </c>
      <c r="M295" s="1">
        <v>1.9726104625213702E-2</v>
      </c>
      <c r="N295" s="1">
        <v>2.9435215039462101</v>
      </c>
    </row>
    <row r="296" spans="1:14">
      <c r="A296" s="1">
        <v>295</v>
      </c>
      <c r="B296" s="1" t="s">
        <v>827</v>
      </c>
      <c r="C296" s="1" t="s">
        <v>828</v>
      </c>
      <c r="D296" s="5" t="s">
        <v>829</v>
      </c>
      <c r="E296" s="1" t="s">
        <v>827</v>
      </c>
      <c r="F296" s="7">
        <v>6</v>
      </c>
      <c r="G296" s="1">
        <v>5</v>
      </c>
      <c r="H296" s="1" t="s">
        <v>8</v>
      </c>
      <c r="I296" s="1" t="s">
        <v>8</v>
      </c>
      <c r="J296" s="1" t="s">
        <v>4</v>
      </c>
      <c r="K296" s="2">
        <v>3.1249994483036697E-5</v>
      </c>
      <c r="L296" s="2">
        <v>2.8509814726778901E-5</v>
      </c>
      <c r="M296" s="1">
        <v>-7.9539503030545602E-3</v>
      </c>
      <c r="N296" s="1">
        <v>3.5180691738057801</v>
      </c>
    </row>
    <row r="297" spans="1:14">
      <c r="A297" s="1">
        <v>296</v>
      </c>
      <c r="B297" s="1" t="s">
        <v>830</v>
      </c>
      <c r="C297" s="1" t="s">
        <v>831</v>
      </c>
      <c r="D297" s="5" t="s">
        <v>7</v>
      </c>
      <c r="E297" s="1" t="s">
        <v>830</v>
      </c>
      <c r="F297" s="7">
        <v>4</v>
      </c>
      <c r="G297" s="1">
        <v>3</v>
      </c>
      <c r="H297" s="1" t="s">
        <v>8</v>
      </c>
      <c r="I297" s="1" t="s">
        <v>8</v>
      </c>
      <c r="J297" s="1" t="s">
        <v>4</v>
      </c>
      <c r="K297" s="2">
        <v>3.1250009921752602E-5</v>
      </c>
      <c r="L297" s="2">
        <v>1.3756287793655599E-5</v>
      </c>
      <c r="M297" s="1">
        <v>-8.6072801599072993E-3</v>
      </c>
      <c r="N297" s="1">
        <v>3.6540328395723298</v>
      </c>
    </row>
    <row r="298" spans="1:14">
      <c r="A298" s="1">
        <v>297</v>
      </c>
      <c r="B298" s="1" t="s">
        <v>832</v>
      </c>
      <c r="C298" s="1" t="s">
        <v>833</v>
      </c>
      <c r="D298" s="5" t="s">
        <v>47</v>
      </c>
      <c r="E298" s="1" t="s">
        <v>832</v>
      </c>
      <c r="F298" s="7">
        <v>5</v>
      </c>
      <c r="G298" s="1">
        <v>2</v>
      </c>
      <c r="H298" s="1" t="s">
        <v>12</v>
      </c>
      <c r="I298" s="1" t="s">
        <v>12</v>
      </c>
      <c r="J298" s="1" t="s">
        <v>4</v>
      </c>
      <c r="K298" s="2">
        <v>3.1250011194723297E-5</v>
      </c>
      <c r="L298" s="2">
        <v>2.92260064731294E-5</v>
      </c>
      <c r="M298" s="1">
        <v>-3.4042077847775597E-2</v>
      </c>
      <c r="N298" s="1">
        <v>3.6299279561372599</v>
      </c>
    </row>
    <row r="299" spans="1:14">
      <c r="A299" s="1">
        <v>298</v>
      </c>
      <c r="B299" s="1" t="s">
        <v>834</v>
      </c>
      <c r="C299" s="1" t="s">
        <v>835</v>
      </c>
      <c r="D299" s="5" t="s">
        <v>295</v>
      </c>
      <c r="E299" s="1" t="s">
        <v>834</v>
      </c>
      <c r="F299" s="7">
        <v>5</v>
      </c>
      <c r="G299" s="1">
        <v>5</v>
      </c>
      <c r="H299" s="1" t="s">
        <v>8</v>
      </c>
      <c r="I299" s="1" t="s">
        <v>8</v>
      </c>
      <c r="J299" s="1" t="s">
        <v>4</v>
      </c>
      <c r="K299" s="2">
        <v>3.1249996285579099E-5</v>
      </c>
      <c r="L299" s="2">
        <v>1.354936769279E-5</v>
      </c>
      <c r="M299" s="1">
        <v>-3.27739020208071E-2</v>
      </c>
      <c r="N299" s="1">
        <v>3.5837614817700598</v>
      </c>
    </row>
    <row r="300" spans="1:14">
      <c r="A300" s="1">
        <v>299</v>
      </c>
      <c r="B300" s="1" t="s">
        <v>836</v>
      </c>
      <c r="C300" s="1" t="s">
        <v>837</v>
      </c>
      <c r="D300" s="5" t="s">
        <v>61</v>
      </c>
      <c r="E300" s="1" t="s">
        <v>836</v>
      </c>
      <c r="F300" s="7">
        <v>5</v>
      </c>
      <c r="G300" s="1">
        <v>2</v>
      </c>
      <c r="H300" s="1" t="s">
        <v>22</v>
      </c>
      <c r="I300" s="1" t="s">
        <v>22</v>
      </c>
      <c r="J300" s="1" t="s">
        <v>4</v>
      </c>
      <c r="K300" s="2">
        <v>3.12500092397559E-5</v>
      </c>
      <c r="L300" s="2">
        <v>2.49576931366086E-5</v>
      </c>
      <c r="M300" s="1">
        <v>3.6605620754812601E-3</v>
      </c>
      <c r="N300" s="1">
        <v>3.5705812283350902</v>
      </c>
    </row>
    <row r="301" spans="1:14">
      <c r="A301" s="1">
        <v>300</v>
      </c>
      <c r="B301" s="1" t="s">
        <v>838</v>
      </c>
      <c r="C301" s="1" t="s">
        <v>839</v>
      </c>
      <c r="D301" s="5" t="s">
        <v>840</v>
      </c>
      <c r="E301" s="1" t="s">
        <v>838</v>
      </c>
      <c r="F301" s="7">
        <v>6</v>
      </c>
      <c r="G301" s="1">
        <v>4</v>
      </c>
      <c r="H301" s="1" t="s">
        <v>8</v>
      </c>
      <c r="I301" s="1" t="s">
        <v>8</v>
      </c>
      <c r="J301" s="1" t="s">
        <v>4</v>
      </c>
      <c r="K301" s="2">
        <v>3.1250004840301602E-5</v>
      </c>
      <c r="L301" s="2">
        <v>1.8709315928557498E-5</v>
      </c>
      <c r="M301" s="1">
        <v>1.6946651362858601E-2</v>
      </c>
      <c r="N301" s="1">
        <v>3.4212178877822899</v>
      </c>
    </row>
    <row r="302" spans="1:14">
      <c r="A302" s="1">
        <v>301</v>
      </c>
      <c r="B302" s="1" t="s">
        <v>841</v>
      </c>
      <c r="C302" s="1" t="s">
        <v>842</v>
      </c>
      <c r="D302" s="5" t="s">
        <v>257</v>
      </c>
      <c r="E302" s="1" t="s">
        <v>841</v>
      </c>
      <c r="F302" s="7">
        <v>4</v>
      </c>
      <c r="G302" s="1">
        <v>3</v>
      </c>
      <c r="H302" s="1" t="s">
        <v>12</v>
      </c>
      <c r="I302" s="1" t="s">
        <v>12</v>
      </c>
      <c r="J302" s="1" t="s">
        <v>4</v>
      </c>
      <c r="K302" s="2">
        <v>3.1250004628090202E-5</v>
      </c>
      <c r="L302" s="2">
        <v>2.0821091479903401E-5</v>
      </c>
      <c r="M302" s="1">
        <v>-2.5888046647087201E-2</v>
      </c>
      <c r="N302" s="1">
        <v>3.8847763891688198</v>
      </c>
    </row>
    <row r="303" spans="1:14">
      <c r="A303" s="1">
        <v>302</v>
      </c>
      <c r="B303" s="1" t="s">
        <v>843</v>
      </c>
      <c r="C303" s="1" t="s">
        <v>844</v>
      </c>
      <c r="D303" s="5" t="s">
        <v>803</v>
      </c>
      <c r="E303" s="1" t="s">
        <v>843</v>
      </c>
      <c r="F303" s="7">
        <v>5</v>
      </c>
      <c r="G303" s="1">
        <v>2</v>
      </c>
      <c r="H303" s="1" t="s">
        <v>22</v>
      </c>
      <c r="I303" s="1" t="s">
        <v>22</v>
      </c>
      <c r="J303" s="1" t="s">
        <v>4</v>
      </c>
      <c r="K303" s="2">
        <v>3.1250009415916703E-5</v>
      </c>
      <c r="L303" s="2">
        <v>1.88730961926531E-5</v>
      </c>
      <c r="M303" s="1">
        <v>6.5608522071158798E-3</v>
      </c>
      <c r="N303" s="1">
        <v>3.5835589933496501</v>
      </c>
    </row>
    <row r="304" spans="1:14">
      <c r="A304" s="1">
        <v>303</v>
      </c>
      <c r="B304" s="1" t="s">
        <v>845</v>
      </c>
      <c r="C304" s="1" t="s">
        <v>846</v>
      </c>
      <c r="D304" s="5" t="s">
        <v>847</v>
      </c>
      <c r="E304" s="1" t="s">
        <v>2414</v>
      </c>
      <c r="F304" s="7">
        <v>7</v>
      </c>
      <c r="G304" s="1">
        <v>3</v>
      </c>
      <c r="H304" s="1" t="s">
        <v>34</v>
      </c>
      <c r="I304" s="1" t="s">
        <v>8</v>
      </c>
      <c r="J304" s="1" t="s">
        <v>180</v>
      </c>
      <c r="K304" s="2">
        <v>3.1250002016435603E-5</v>
      </c>
      <c r="L304" s="2">
        <v>3.0876879508073399E-5</v>
      </c>
      <c r="M304" s="1">
        <v>7.5960999095876502E-3</v>
      </c>
      <c r="N304" s="1">
        <v>3.3883737487747898</v>
      </c>
    </row>
    <row r="305" spans="1:14">
      <c r="A305" s="1">
        <v>304</v>
      </c>
      <c r="B305" s="1" t="s">
        <v>848</v>
      </c>
      <c r="C305" s="1" t="s">
        <v>849</v>
      </c>
      <c r="D305" s="5" t="s">
        <v>334</v>
      </c>
      <c r="E305" s="1" t="s">
        <v>848</v>
      </c>
      <c r="F305" s="7">
        <v>5</v>
      </c>
      <c r="G305" s="1">
        <v>5</v>
      </c>
      <c r="H305" s="1" t="s">
        <v>8</v>
      </c>
      <c r="I305" s="1" t="s">
        <v>8</v>
      </c>
      <c r="J305" s="1" t="s">
        <v>4</v>
      </c>
      <c r="K305" s="2">
        <v>3.12500104488415E-5</v>
      </c>
      <c r="L305" s="2">
        <v>3.1244821913220197E-5</v>
      </c>
      <c r="M305" s="1">
        <v>-1.88455371055056E-2</v>
      </c>
      <c r="N305" s="1">
        <v>3.0288927021964098</v>
      </c>
    </row>
    <row r="306" spans="1:14">
      <c r="A306" s="1">
        <v>305</v>
      </c>
      <c r="B306" s="1" t="s">
        <v>850</v>
      </c>
      <c r="C306" s="1" t="s">
        <v>851</v>
      </c>
      <c r="D306" s="5" t="s">
        <v>852</v>
      </c>
      <c r="E306" s="1" t="s">
        <v>850</v>
      </c>
      <c r="F306" s="7">
        <v>6</v>
      </c>
      <c r="G306" s="1">
        <v>5</v>
      </c>
      <c r="H306" s="1" t="s">
        <v>8</v>
      </c>
      <c r="I306" s="1" t="s">
        <v>8</v>
      </c>
      <c r="J306" s="1" t="s">
        <v>4</v>
      </c>
      <c r="K306" s="2">
        <v>3.1250004477525197E-5</v>
      </c>
      <c r="L306" s="2">
        <v>3.1058532107478901E-5</v>
      </c>
      <c r="M306" s="1">
        <v>-3.0306911414115199E-3</v>
      </c>
      <c r="N306" s="1">
        <v>3.6871587739985898</v>
      </c>
    </row>
    <row r="307" spans="1:14">
      <c r="A307" s="1">
        <v>306</v>
      </c>
      <c r="B307" s="1" t="s">
        <v>853</v>
      </c>
      <c r="C307" s="1" t="s">
        <v>854</v>
      </c>
      <c r="D307" s="5" t="s">
        <v>855</v>
      </c>
      <c r="E307" s="1" t="s">
        <v>853</v>
      </c>
      <c r="F307" s="7">
        <v>4</v>
      </c>
      <c r="G307" s="1">
        <v>8</v>
      </c>
      <c r="H307" s="1" t="s">
        <v>3</v>
      </c>
      <c r="I307" s="1" t="s">
        <v>3</v>
      </c>
      <c r="J307" s="1" t="s">
        <v>4</v>
      </c>
      <c r="K307" s="2">
        <v>3.1250010131862398E-5</v>
      </c>
      <c r="L307" s="2">
        <v>1.75350386820723E-5</v>
      </c>
      <c r="M307" s="1">
        <v>2.5044436537832799E-2</v>
      </c>
      <c r="N307" s="1">
        <v>3.39935566970702</v>
      </c>
    </row>
    <row r="308" spans="1:14">
      <c r="A308" s="1">
        <v>307</v>
      </c>
      <c r="B308" s="1" t="s">
        <v>856</v>
      </c>
      <c r="C308" s="1" t="s">
        <v>857</v>
      </c>
      <c r="D308" s="5" t="s">
        <v>858</v>
      </c>
      <c r="E308" s="1" t="s">
        <v>856</v>
      </c>
      <c r="F308" s="7">
        <v>4</v>
      </c>
      <c r="G308" s="1">
        <v>5</v>
      </c>
      <c r="H308" s="1" t="s">
        <v>8</v>
      </c>
      <c r="I308" s="1" t="s">
        <v>8</v>
      </c>
      <c r="J308" s="1" t="s">
        <v>4</v>
      </c>
      <c r="K308" s="2">
        <v>3.1250000310842098E-5</v>
      </c>
      <c r="L308" s="2">
        <v>4.0592035053254203E-7</v>
      </c>
      <c r="M308" s="1">
        <v>4.1973307804918002E-2</v>
      </c>
      <c r="N308" s="1">
        <v>3.22820967073184</v>
      </c>
    </row>
    <row r="309" spans="1:14">
      <c r="A309" s="1">
        <v>308</v>
      </c>
      <c r="B309" s="1" t="s">
        <v>859</v>
      </c>
      <c r="C309" s="1" t="s">
        <v>860</v>
      </c>
      <c r="D309" s="5" t="s">
        <v>861</v>
      </c>
      <c r="E309" s="1" t="s">
        <v>859</v>
      </c>
      <c r="F309" s="7">
        <v>6</v>
      </c>
      <c r="G309" s="1">
        <v>4</v>
      </c>
      <c r="H309" s="1" t="s">
        <v>8</v>
      </c>
      <c r="I309" s="1" t="s">
        <v>8</v>
      </c>
      <c r="J309" s="1" t="s">
        <v>4</v>
      </c>
      <c r="K309" s="2">
        <v>3.1250004587459699E-5</v>
      </c>
      <c r="L309" s="2">
        <v>2.98084211984874E-5</v>
      </c>
      <c r="M309" s="1">
        <v>1.16581701913309E-2</v>
      </c>
      <c r="N309" s="1">
        <v>3.5874863908955699</v>
      </c>
    </row>
    <row r="310" spans="1:14">
      <c r="A310" s="1">
        <v>309</v>
      </c>
      <c r="B310" s="1" t="s">
        <v>862</v>
      </c>
      <c r="C310" s="1" t="s">
        <v>863</v>
      </c>
      <c r="D310" s="5" t="s">
        <v>864</v>
      </c>
      <c r="E310" s="1" t="s">
        <v>862</v>
      </c>
      <c r="F310" s="7">
        <v>7</v>
      </c>
      <c r="G310" s="1">
        <v>5</v>
      </c>
      <c r="H310" s="1" t="s">
        <v>8</v>
      </c>
      <c r="I310" s="1" t="s">
        <v>8</v>
      </c>
      <c r="J310" s="1" t="s">
        <v>4</v>
      </c>
      <c r="K310" s="2">
        <v>3.12500080981933E-5</v>
      </c>
      <c r="L310" s="2">
        <v>2.47032459214203E-5</v>
      </c>
      <c r="M310" s="1">
        <v>2.6335789546294498E-3</v>
      </c>
      <c r="N310" s="1">
        <v>3.48309817166558</v>
      </c>
    </row>
    <row r="311" spans="1:14">
      <c r="A311" s="1">
        <v>310</v>
      </c>
      <c r="B311" s="1" t="s">
        <v>865</v>
      </c>
      <c r="C311" s="1" t="s">
        <v>866</v>
      </c>
      <c r="D311" s="5" t="s">
        <v>867</v>
      </c>
      <c r="E311" s="1" t="s">
        <v>865</v>
      </c>
      <c r="F311" s="7">
        <v>4</v>
      </c>
      <c r="G311" s="1">
        <v>3</v>
      </c>
      <c r="H311" s="1" t="s">
        <v>34</v>
      </c>
      <c r="I311" s="1" t="s">
        <v>34</v>
      </c>
      <c r="J311" s="1" t="s">
        <v>4</v>
      </c>
      <c r="K311" s="2">
        <v>3.1250007945215097E-5</v>
      </c>
      <c r="L311" s="2">
        <v>2.53169080156112E-5</v>
      </c>
      <c r="M311" s="1">
        <v>-1.6597609748657701E-2</v>
      </c>
      <c r="N311" s="1">
        <v>3.6747773558591899</v>
      </c>
    </row>
    <row r="312" spans="1:14">
      <c r="A312" s="1">
        <v>311</v>
      </c>
      <c r="B312" s="1" t="s">
        <v>868</v>
      </c>
      <c r="C312" s="1" t="s">
        <v>869</v>
      </c>
      <c r="D312" s="5" t="s">
        <v>870</v>
      </c>
      <c r="E312" s="1" t="s">
        <v>868</v>
      </c>
      <c r="F312" s="7">
        <v>6</v>
      </c>
      <c r="G312" s="1">
        <v>5</v>
      </c>
      <c r="H312" s="1" t="s">
        <v>98</v>
      </c>
      <c r="I312" s="1" t="s">
        <v>98</v>
      </c>
      <c r="J312" s="1" t="s">
        <v>4</v>
      </c>
      <c r="K312" s="2">
        <v>3.1250001331488597E-5</v>
      </c>
      <c r="L312" s="2">
        <v>3.0907815478441698E-5</v>
      </c>
      <c r="M312" s="1">
        <v>-1.1742767756920999E-2</v>
      </c>
      <c r="N312" s="1">
        <v>3.77989525552817</v>
      </c>
    </row>
    <row r="313" spans="1:14">
      <c r="A313" s="1">
        <v>312</v>
      </c>
      <c r="B313" s="1" t="s">
        <v>871</v>
      </c>
      <c r="C313" s="1" t="s">
        <v>872</v>
      </c>
      <c r="D313" s="5" t="s">
        <v>873</v>
      </c>
      <c r="E313" s="1" t="s">
        <v>871</v>
      </c>
      <c r="F313" s="7">
        <v>4</v>
      </c>
      <c r="G313" s="1">
        <v>4</v>
      </c>
      <c r="H313" s="1" t="s">
        <v>8</v>
      </c>
      <c r="I313" s="1" t="s">
        <v>8</v>
      </c>
      <c r="J313" s="1" t="s">
        <v>4</v>
      </c>
      <c r="K313" s="2">
        <v>3.1250000228944597E-5</v>
      </c>
      <c r="L313" s="2">
        <v>2.7906429897798498E-5</v>
      </c>
      <c r="M313" s="1">
        <v>-1.14833425538094E-2</v>
      </c>
      <c r="N313" s="1">
        <v>3.1830104806123698</v>
      </c>
    </row>
    <row r="314" spans="1:14">
      <c r="A314" s="1">
        <v>313</v>
      </c>
      <c r="B314" s="1" t="s">
        <v>874</v>
      </c>
      <c r="C314" s="1" t="s">
        <v>875</v>
      </c>
      <c r="D314" s="5" t="s">
        <v>840</v>
      </c>
      <c r="E314" s="1" t="s">
        <v>874</v>
      </c>
      <c r="F314" s="7">
        <v>6</v>
      </c>
      <c r="G314" s="1">
        <v>4</v>
      </c>
      <c r="H314" s="1" t="s">
        <v>8</v>
      </c>
      <c r="I314" s="1" t="s">
        <v>8</v>
      </c>
      <c r="J314" s="1" t="s">
        <v>4</v>
      </c>
      <c r="K314" s="2">
        <v>3.1250006108157499E-5</v>
      </c>
      <c r="L314" s="2">
        <v>2.5906821445378101E-5</v>
      </c>
      <c r="M314" s="1">
        <v>1.58371058853745E-2</v>
      </c>
      <c r="N314" s="1">
        <v>3.4430030099897699</v>
      </c>
    </row>
    <row r="315" spans="1:14">
      <c r="A315" s="1">
        <v>314</v>
      </c>
      <c r="B315" s="1" t="s">
        <v>876</v>
      </c>
      <c r="C315" s="1" t="s">
        <v>877</v>
      </c>
      <c r="D315" s="5" t="s">
        <v>878</v>
      </c>
      <c r="E315" s="1" t="s">
        <v>876</v>
      </c>
      <c r="F315" s="7">
        <v>5</v>
      </c>
      <c r="G315" s="1">
        <v>4</v>
      </c>
      <c r="H315" s="1" t="s">
        <v>8</v>
      </c>
      <c r="I315" s="1" t="s">
        <v>8</v>
      </c>
      <c r="J315" s="1" t="s">
        <v>4</v>
      </c>
      <c r="K315" s="2">
        <v>3.1250003467180299E-5</v>
      </c>
      <c r="L315" s="2">
        <v>3.1158253874592202E-5</v>
      </c>
      <c r="M315" s="1">
        <v>-1.19681475332811E-4</v>
      </c>
      <c r="N315" s="1">
        <v>2.7881925230983402</v>
      </c>
    </row>
    <row r="316" spans="1:14">
      <c r="A316" s="1">
        <v>315</v>
      </c>
      <c r="B316" s="1" t="s">
        <v>879</v>
      </c>
      <c r="C316" s="1" t="s">
        <v>880</v>
      </c>
      <c r="D316" s="5" t="s">
        <v>881</v>
      </c>
      <c r="E316" s="1" t="s">
        <v>879</v>
      </c>
      <c r="F316" s="7">
        <v>6</v>
      </c>
      <c r="G316" s="1">
        <v>4</v>
      </c>
      <c r="H316" s="1" t="s">
        <v>123</v>
      </c>
      <c r="I316" s="1" t="s">
        <v>123</v>
      </c>
      <c r="J316" s="1" t="s">
        <v>4</v>
      </c>
      <c r="K316" s="2">
        <v>3.1249996367112397E-5</v>
      </c>
      <c r="L316" s="2">
        <v>3.1036087816693098E-5</v>
      </c>
      <c r="M316" s="1">
        <v>1.4019874771836501E-2</v>
      </c>
      <c r="N316" s="1">
        <v>2.3005480530160298</v>
      </c>
    </row>
    <row r="317" spans="1:14">
      <c r="A317" s="1">
        <v>316</v>
      </c>
      <c r="B317" s="1" t="s">
        <v>882</v>
      </c>
      <c r="C317" s="1" t="s">
        <v>883</v>
      </c>
      <c r="D317" s="5" t="s">
        <v>884</v>
      </c>
      <c r="E317" s="1" t="s">
        <v>882</v>
      </c>
      <c r="F317" s="7">
        <v>6</v>
      </c>
      <c r="G317" s="1">
        <v>4</v>
      </c>
      <c r="H317" s="1" t="s">
        <v>8</v>
      </c>
      <c r="I317" s="1" t="s">
        <v>8</v>
      </c>
      <c r="J317" s="1" t="s">
        <v>4</v>
      </c>
      <c r="K317" s="2">
        <v>3.1250010269496402E-5</v>
      </c>
      <c r="L317" s="2">
        <v>2.3021373372525001E-5</v>
      </c>
      <c r="M317" s="1">
        <v>1.0513676091299801E-2</v>
      </c>
      <c r="N317" s="1">
        <v>3.40277522759003</v>
      </c>
    </row>
    <row r="318" spans="1:14">
      <c r="A318" s="1">
        <v>317</v>
      </c>
      <c r="B318" s="1" t="s">
        <v>885</v>
      </c>
      <c r="C318" s="1" t="s">
        <v>886</v>
      </c>
      <c r="D318" s="5" t="s">
        <v>142</v>
      </c>
      <c r="E318" s="1" t="s">
        <v>2344</v>
      </c>
      <c r="F318" s="7">
        <v>4</v>
      </c>
      <c r="G318" s="1">
        <v>2</v>
      </c>
      <c r="H318" s="1" t="s">
        <v>12</v>
      </c>
      <c r="I318" s="1" t="s">
        <v>12</v>
      </c>
      <c r="J318" s="1" t="s">
        <v>180</v>
      </c>
      <c r="K318" s="2">
        <v>3.1249996336715102E-5</v>
      </c>
      <c r="L318" s="2">
        <v>2.4297652105218301E-6</v>
      </c>
      <c r="M318" s="1">
        <v>4.1486898677538502E-3</v>
      </c>
      <c r="N318" s="1">
        <v>3.27012845253148</v>
      </c>
    </row>
    <row r="319" spans="1:14">
      <c r="A319" s="1">
        <v>318</v>
      </c>
      <c r="B319" s="1" t="s">
        <v>887</v>
      </c>
      <c r="C319" s="1" t="s">
        <v>888</v>
      </c>
      <c r="D319" s="5" t="s">
        <v>889</v>
      </c>
      <c r="E319" s="1" t="s">
        <v>887</v>
      </c>
      <c r="F319" s="7">
        <v>4</v>
      </c>
      <c r="G319" s="1">
        <v>4</v>
      </c>
      <c r="H319" s="1" t="s">
        <v>8</v>
      </c>
      <c r="I319" s="1" t="s">
        <v>8</v>
      </c>
      <c r="J319" s="1" t="s">
        <v>4</v>
      </c>
      <c r="K319" s="2">
        <v>3.1250009746683103E-5</v>
      </c>
      <c r="L319" s="2">
        <v>3.0852012353058201E-5</v>
      </c>
      <c r="M319" s="1">
        <v>-1.7563742922179701E-2</v>
      </c>
      <c r="N319" s="1">
        <v>2.2830118379225302</v>
      </c>
    </row>
    <row r="320" spans="1:14">
      <c r="A320" s="1">
        <v>319</v>
      </c>
      <c r="B320" s="1" t="s">
        <v>890</v>
      </c>
      <c r="C320" s="1" t="s">
        <v>891</v>
      </c>
      <c r="D320" s="5" t="s">
        <v>892</v>
      </c>
      <c r="E320" s="1" t="s">
        <v>890</v>
      </c>
      <c r="F320" s="7">
        <v>7</v>
      </c>
      <c r="G320" s="1">
        <v>4</v>
      </c>
      <c r="H320" s="1" t="s">
        <v>8</v>
      </c>
      <c r="I320" s="1" t="s">
        <v>8</v>
      </c>
      <c r="J320" s="1" t="s">
        <v>4</v>
      </c>
      <c r="K320" s="2">
        <v>3.1250006910430501E-5</v>
      </c>
      <c r="L320" s="2">
        <v>2.71459329252044E-5</v>
      </c>
      <c r="M320" s="1">
        <v>5.6952315220577497E-3</v>
      </c>
      <c r="N320" s="1">
        <v>3.57787982526047</v>
      </c>
    </row>
    <row r="321" spans="1:14">
      <c r="A321" s="1">
        <v>320</v>
      </c>
      <c r="B321" s="1" t="s">
        <v>893</v>
      </c>
      <c r="C321" s="1" t="s">
        <v>894</v>
      </c>
      <c r="D321" s="5" t="s">
        <v>895</v>
      </c>
      <c r="E321" s="1" t="s">
        <v>893</v>
      </c>
      <c r="F321" s="7">
        <v>7</v>
      </c>
      <c r="G321" s="1">
        <v>2</v>
      </c>
      <c r="H321" s="1" t="s">
        <v>98</v>
      </c>
      <c r="I321" s="1" t="s">
        <v>98</v>
      </c>
      <c r="J321" s="1" t="s">
        <v>4</v>
      </c>
      <c r="K321" s="2">
        <v>3.12499946492356E-5</v>
      </c>
      <c r="L321" s="2">
        <v>2.3417537806887999E-5</v>
      </c>
      <c r="M321" s="1">
        <v>1.0263757734207899E-2</v>
      </c>
      <c r="N321" s="1">
        <v>3.5118092102038201</v>
      </c>
    </row>
    <row r="322" spans="1:14">
      <c r="A322" s="1">
        <v>321</v>
      </c>
      <c r="B322" s="1" t="s">
        <v>896</v>
      </c>
      <c r="C322" s="1" t="s">
        <v>897</v>
      </c>
      <c r="D322" s="5" t="s">
        <v>377</v>
      </c>
      <c r="E322" s="1" t="s">
        <v>896</v>
      </c>
      <c r="F322" s="7">
        <v>4</v>
      </c>
      <c r="G322" s="1">
        <v>5</v>
      </c>
      <c r="H322" s="1" t="s">
        <v>68</v>
      </c>
      <c r="I322" s="1" t="s">
        <v>68</v>
      </c>
      <c r="J322" s="1" t="s">
        <v>4</v>
      </c>
      <c r="K322" s="2">
        <v>3.12499999007488E-5</v>
      </c>
      <c r="L322" s="2">
        <v>4.4544024393195501E-6</v>
      </c>
      <c r="M322" s="1">
        <v>-2.1139738094834801E-2</v>
      </c>
      <c r="N322" s="1">
        <v>3.37074054554685</v>
      </c>
    </row>
    <row r="323" spans="1:14">
      <c r="A323" s="1">
        <v>322</v>
      </c>
      <c r="B323" s="1" t="s">
        <v>898</v>
      </c>
      <c r="C323" s="1" t="s">
        <v>899</v>
      </c>
      <c r="D323" s="5" t="s">
        <v>900</v>
      </c>
      <c r="E323" s="1" t="s">
        <v>898</v>
      </c>
      <c r="F323" s="7">
        <v>4</v>
      </c>
      <c r="G323" s="1">
        <v>5</v>
      </c>
      <c r="H323" s="1" t="s">
        <v>8</v>
      </c>
      <c r="I323" s="1" t="s">
        <v>8</v>
      </c>
      <c r="J323" s="1" t="s">
        <v>4</v>
      </c>
      <c r="K323" s="2">
        <v>3.1249995489137099E-5</v>
      </c>
      <c r="L323" s="2">
        <v>2.4000814074696401E-5</v>
      </c>
      <c r="M323" s="1">
        <v>-1.7132211064790601E-2</v>
      </c>
      <c r="N323" s="1">
        <v>3.2911617433611702</v>
      </c>
    </row>
    <row r="324" spans="1:14">
      <c r="A324" s="1">
        <v>323</v>
      </c>
      <c r="B324" s="1" t="s">
        <v>901</v>
      </c>
      <c r="C324" s="1" t="s">
        <v>902</v>
      </c>
      <c r="D324" s="5" t="s">
        <v>855</v>
      </c>
      <c r="E324" s="1" t="s">
        <v>901</v>
      </c>
      <c r="F324" s="7">
        <v>4</v>
      </c>
      <c r="G324" s="1">
        <v>8</v>
      </c>
      <c r="H324" s="1" t="s">
        <v>3</v>
      </c>
      <c r="I324" s="1" t="s">
        <v>3</v>
      </c>
      <c r="J324" s="1" t="s">
        <v>4</v>
      </c>
      <c r="K324" s="2">
        <v>3.1250004151632001E-5</v>
      </c>
      <c r="L324" s="2">
        <v>2.4475777071559601E-5</v>
      </c>
      <c r="M324" s="1">
        <v>-1.77549118739221E-2</v>
      </c>
      <c r="N324" s="1">
        <v>3.6982972247540502</v>
      </c>
    </row>
    <row r="325" spans="1:14">
      <c r="A325" s="1">
        <v>324</v>
      </c>
      <c r="B325" s="1" t="s">
        <v>903</v>
      </c>
      <c r="C325" s="1" t="s">
        <v>904</v>
      </c>
      <c r="D325" s="5" t="s">
        <v>905</v>
      </c>
      <c r="E325" s="1" t="s">
        <v>903</v>
      </c>
      <c r="F325" s="7">
        <v>7</v>
      </c>
      <c r="G325" s="1">
        <v>5</v>
      </c>
      <c r="H325" s="1" t="s">
        <v>8</v>
      </c>
      <c r="I325" s="1" t="s">
        <v>8</v>
      </c>
      <c r="J325" s="1" t="s">
        <v>4</v>
      </c>
      <c r="K325" s="2">
        <v>3.1250012892512498E-5</v>
      </c>
      <c r="L325" s="2">
        <v>3.0262105662208901E-5</v>
      </c>
      <c r="M325" s="1">
        <v>-1.9843360973254599E-2</v>
      </c>
      <c r="N325" s="1">
        <v>3.8225120451422101</v>
      </c>
    </row>
    <row r="326" spans="1:14">
      <c r="A326" s="1">
        <v>325</v>
      </c>
      <c r="B326" s="1" t="s">
        <v>906</v>
      </c>
      <c r="C326" s="1" t="s">
        <v>907</v>
      </c>
      <c r="D326" s="5" t="s">
        <v>365</v>
      </c>
      <c r="E326" s="1" t="s">
        <v>906</v>
      </c>
      <c r="F326" s="7">
        <v>6</v>
      </c>
      <c r="G326" s="1">
        <v>5</v>
      </c>
      <c r="H326" s="1" t="s">
        <v>8</v>
      </c>
      <c r="I326" s="1" t="s">
        <v>8</v>
      </c>
      <c r="J326" s="1" t="s">
        <v>4</v>
      </c>
      <c r="K326" s="2">
        <v>3.1250006024287799E-5</v>
      </c>
      <c r="L326" s="2">
        <v>2.7222185140485999E-5</v>
      </c>
      <c r="M326" s="1">
        <v>1.21140858769592E-2</v>
      </c>
      <c r="N326" s="1">
        <v>3.7090101902523598</v>
      </c>
    </row>
    <row r="327" spans="1:14">
      <c r="A327" s="1">
        <v>326</v>
      </c>
      <c r="B327" s="1" t="s">
        <v>908</v>
      </c>
      <c r="C327" s="1" t="s">
        <v>909</v>
      </c>
      <c r="D327" s="5" t="s">
        <v>910</v>
      </c>
      <c r="E327" s="1" t="s">
        <v>908</v>
      </c>
      <c r="F327" s="7">
        <v>4</v>
      </c>
      <c r="G327" s="1">
        <v>7</v>
      </c>
      <c r="H327" s="1" t="s">
        <v>8</v>
      </c>
      <c r="I327" s="1" t="s">
        <v>8</v>
      </c>
      <c r="J327" s="1" t="s">
        <v>4</v>
      </c>
      <c r="K327" s="2">
        <v>3.1250008528930702E-5</v>
      </c>
      <c r="L327" s="2">
        <v>2.49104201720783E-5</v>
      </c>
      <c r="M327" s="1">
        <v>-9.9380482918824901E-3</v>
      </c>
      <c r="N327" s="1">
        <v>3.5751441740054899</v>
      </c>
    </row>
    <row r="328" spans="1:14">
      <c r="A328" s="1">
        <v>327</v>
      </c>
      <c r="B328" s="1" t="s">
        <v>911</v>
      </c>
      <c r="C328" s="1" t="s">
        <v>912</v>
      </c>
      <c r="D328" s="5" t="s">
        <v>913</v>
      </c>
      <c r="E328" s="1" t="s">
        <v>911</v>
      </c>
      <c r="F328" s="7">
        <v>5</v>
      </c>
      <c r="G328" s="1">
        <v>4</v>
      </c>
      <c r="H328" s="1" t="s">
        <v>8</v>
      </c>
      <c r="I328" s="1" t="s">
        <v>8</v>
      </c>
      <c r="J328" s="1" t="s">
        <v>4</v>
      </c>
      <c r="K328" s="2">
        <v>3.12500036126911E-5</v>
      </c>
      <c r="L328" s="2">
        <v>2.84704272544562E-5</v>
      </c>
      <c r="M328" s="1">
        <v>-1.10468742064995E-2</v>
      </c>
      <c r="N328" s="1">
        <v>3.5336762042094398</v>
      </c>
    </row>
    <row r="329" spans="1:14">
      <c r="A329" s="1">
        <v>328</v>
      </c>
      <c r="B329" s="1" t="s">
        <v>914</v>
      </c>
      <c r="C329" s="1" t="s">
        <v>915</v>
      </c>
      <c r="D329" s="5" t="s">
        <v>916</v>
      </c>
      <c r="E329" s="1" t="s">
        <v>914</v>
      </c>
      <c r="F329" s="7">
        <v>5</v>
      </c>
      <c r="G329" s="1">
        <v>5</v>
      </c>
      <c r="H329" s="1" t="s">
        <v>68</v>
      </c>
      <c r="I329" s="1" t="s">
        <v>68</v>
      </c>
      <c r="J329" s="1" t="s">
        <v>4</v>
      </c>
      <c r="K329" s="2">
        <v>3.1250025871124498E-5</v>
      </c>
      <c r="L329" s="2">
        <v>2.7684244559975899E-5</v>
      </c>
      <c r="M329" s="1">
        <v>-4.02226442986943E-2</v>
      </c>
      <c r="N329" s="1">
        <v>3.64794413442125</v>
      </c>
    </row>
    <row r="330" spans="1:14">
      <c r="A330" s="1">
        <v>329</v>
      </c>
      <c r="B330" s="1" t="s">
        <v>917</v>
      </c>
      <c r="C330" s="1" t="s">
        <v>918</v>
      </c>
      <c r="D330" s="5" t="s">
        <v>919</v>
      </c>
      <c r="E330" s="1" t="s">
        <v>917</v>
      </c>
      <c r="F330" s="7">
        <v>4</v>
      </c>
      <c r="G330" s="1">
        <v>4</v>
      </c>
      <c r="H330" s="1" t="s">
        <v>8</v>
      </c>
      <c r="I330" s="1" t="s">
        <v>8</v>
      </c>
      <c r="J330" s="1" t="s">
        <v>4</v>
      </c>
      <c r="K330" s="2">
        <v>3.1250010637442798E-5</v>
      </c>
      <c r="L330" s="2">
        <v>8.8107492553379101E-6</v>
      </c>
      <c r="M330" s="1">
        <v>2.7413384607786601E-2</v>
      </c>
      <c r="N330" s="1">
        <v>3.09013349818128</v>
      </c>
    </row>
    <row r="331" spans="1:14">
      <c r="A331" s="1">
        <v>330</v>
      </c>
      <c r="B331" s="1" t="s">
        <v>920</v>
      </c>
      <c r="C331" s="1" t="s">
        <v>921</v>
      </c>
      <c r="D331" s="5" t="s">
        <v>922</v>
      </c>
      <c r="E331" s="1" t="s">
        <v>920</v>
      </c>
      <c r="F331" s="7">
        <v>4</v>
      </c>
      <c r="G331" s="1">
        <v>4</v>
      </c>
      <c r="H331" s="1" t="s">
        <v>68</v>
      </c>
      <c r="I331" s="1" t="s">
        <v>68</v>
      </c>
      <c r="J331" s="1" t="s">
        <v>4</v>
      </c>
      <c r="K331" s="2">
        <v>3.1250000281640902E-5</v>
      </c>
      <c r="L331" s="2">
        <v>2.19519001098722E-5</v>
      </c>
      <c r="M331" s="1">
        <v>1.6597767895202498E-2</v>
      </c>
      <c r="N331" s="1">
        <v>3.43394591118635</v>
      </c>
    </row>
    <row r="332" spans="1:14">
      <c r="A332" s="1">
        <v>331</v>
      </c>
      <c r="B332" s="1" t="s">
        <v>923</v>
      </c>
      <c r="C332" s="1" t="s">
        <v>924</v>
      </c>
      <c r="D332" s="5" t="s">
        <v>925</v>
      </c>
      <c r="E332" s="1" t="s">
        <v>923</v>
      </c>
      <c r="F332" s="7">
        <v>5</v>
      </c>
      <c r="G332" s="1">
        <v>6</v>
      </c>
      <c r="H332" s="1" t="s">
        <v>8</v>
      </c>
      <c r="I332" s="1" t="s">
        <v>8</v>
      </c>
      <c r="J332" s="1" t="s">
        <v>4</v>
      </c>
      <c r="K332" s="2">
        <v>3.1250001401910401E-5</v>
      </c>
      <c r="L332" s="2">
        <v>2.9615747262041E-5</v>
      </c>
      <c r="M332" s="1">
        <v>4.22743978969819E-3</v>
      </c>
      <c r="N332" s="1">
        <v>3.83521026160735</v>
      </c>
    </row>
    <row r="333" spans="1:14">
      <c r="A333" s="1">
        <v>332</v>
      </c>
      <c r="B333" s="1" t="s">
        <v>926</v>
      </c>
      <c r="C333" s="1" t="s">
        <v>927</v>
      </c>
      <c r="D333" s="5" t="s">
        <v>928</v>
      </c>
      <c r="E333" s="1" t="s">
        <v>926</v>
      </c>
      <c r="F333" s="7">
        <v>6</v>
      </c>
      <c r="G333" s="1">
        <v>5</v>
      </c>
      <c r="H333" s="1" t="s">
        <v>8</v>
      </c>
      <c r="I333" s="1" t="s">
        <v>8</v>
      </c>
      <c r="J333" s="1" t="s">
        <v>4</v>
      </c>
      <c r="K333" s="2">
        <v>3.12500082476764E-5</v>
      </c>
      <c r="L333" s="2">
        <v>2.8502483556159699E-5</v>
      </c>
      <c r="M333" s="1">
        <v>5.8064732518649997E-3</v>
      </c>
      <c r="N333" s="1">
        <v>3.42115366402356</v>
      </c>
    </row>
    <row r="334" spans="1:14">
      <c r="A334" s="1">
        <v>333</v>
      </c>
      <c r="B334" s="1" t="s">
        <v>929</v>
      </c>
      <c r="C334" s="1" t="s">
        <v>930</v>
      </c>
      <c r="D334" s="5" t="s">
        <v>931</v>
      </c>
      <c r="E334" s="1" t="s">
        <v>929</v>
      </c>
      <c r="F334" s="7">
        <v>4</v>
      </c>
      <c r="G334" s="1">
        <v>5</v>
      </c>
      <c r="H334" s="1" t="s">
        <v>3</v>
      </c>
      <c r="I334" s="1" t="s">
        <v>3</v>
      </c>
      <c r="J334" s="1" t="s">
        <v>4</v>
      </c>
      <c r="K334" s="2">
        <v>3.1250002504566E-5</v>
      </c>
      <c r="L334" s="2">
        <v>1.44708355529403E-5</v>
      </c>
      <c r="M334" s="1">
        <v>3.04695998252952E-2</v>
      </c>
      <c r="N334" s="1">
        <v>3.3092214068178398</v>
      </c>
    </row>
    <row r="335" spans="1:14">
      <c r="A335" s="1">
        <v>334</v>
      </c>
      <c r="B335" s="1" t="s">
        <v>932</v>
      </c>
      <c r="C335" s="1" t="s">
        <v>933</v>
      </c>
      <c r="D335" s="5" t="s">
        <v>61</v>
      </c>
      <c r="E335" s="1" t="s">
        <v>932</v>
      </c>
      <c r="F335" s="7">
        <v>9</v>
      </c>
      <c r="G335" s="1">
        <v>2</v>
      </c>
      <c r="H335" s="1" t="s">
        <v>22</v>
      </c>
      <c r="I335" s="1" t="s">
        <v>22</v>
      </c>
      <c r="J335" s="1" t="s">
        <v>4</v>
      </c>
      <c r="K335" s="2">
        <v>3.1250015012220099E-5</v>
      </c>
      <c r="L335" s="2">
        <v>3.0707270695680602E-5</v>
      </c>
      <c r="M335" s="1">
        <v>-1.04130924769663E-2</v>
      </c>
      <c r="N335" s="1">
        <v>3.66430491330813</v>
      </c>
    </row>
    <row r="336" spans="1:14">
      <c r="A336" s="1">
        <v>335</v>
      </c>
      <c r="B336" s="1" t="s">
        <v>934</v>
      </c>
      <c r="C336" s="1" t="s">
        <v>935</v>
      </c>
      <c r="D336" s="5" t="s">
        <v>936</v>
      </c>
      <c r="E336" s="1" t="s">
        <v>934</v>
      </c>
      <c r="F336" s="7">
        <v>11</v>
      </c>
      <c r="G336" s="1">
        <v>4</v>
      </c>
      <c r="H336" s="1" t="s">
        <v>8</v>
      </c>
      <c r="I336" s="1" t="s">
        <v>8</v>
      </c>
      <c r="J336" s="1" t="s">
        <v>4</v>
      </c>
      <c r="K336" s="2">
        <v>3.1250000921600701E-5</v>
      </c>
      <c r="L336" s="2">
        <v>2.3899371333454998E-5</v>
      </c>
      <c r="M336" s="1">
        <v>4.3092767972794301E-2</v>
      </c>
      <c r="N336" s="1">
        <v>3.3193520417343301</v>
      </c>
    </row>
    <row r="337" spans="1:14">
      <c r="A337" s="1">
        <v>336</v>
      </c>
      <c r="B337" s="1" t="s">
        <v>937</v>
      </c>
      <c r="C337" s="1" t="s">
        <v>938</v>
      </c>
      <c r="D337" s="5" t="s">
        <v>939</v>
      </c>
      <c r="E337" s="1" t="s">
        <v>937</v>
      </c>
      <c r="F337" s="7">
        <v>7</v>
      </c>
      <c r="G337" s="1">
        <v>6</v>
      </c>
      <c r="H337" s="1" t="s">
        <v>98</v>
      </c>
      <c r="I337" s="1" t="s">
        <v>98</v>
      </c>
      <c r="J337" s="1" t="s">
        <v>4</v>
      </c>
      <c r="K337" s="2">
        <v>3.1250004379053998E-5</v>
      </c>
      <c r="L337" s="2">
        <v>1.5372313133686601E-5</v>
      </c>
      <c r="M337" s="1">
        <v>-1.90341323006215E-3</v>
      </c>
      <c r="N337" s="1">
        <v>3.2124586585356298</v>
      </c>
    </row>
    <row r="338" spans="1:14">
      <c r="A338" s="1">
        <v>337</v>
      </c>
      <c r="B338" s="1" t="s">
        <v>940</v>
      </c>
      <c r="C338" s="1" t="s">
        <v>941</v>
      </c>
      <c r="D338" s="5" t="s">
        <v>942</v>
      </c>
      <c r="E338" s="1" t="s">
        <v>940</v>
      </c>
      <c r="F338" s="7">
        <v>6</v>
      </c>
      <c r="G338" s="1">
        <v>5</v>
      </c>
      <c r="H338" s="1" t="s">
        <v>8</v>
      </c>
      <c r="I338" s="1" t="s">
        <v>8</v>
      </c>
      <c r="J338" s="1" t="s">
        <v>4</v>
      </c>
      <c r="K338" s="2">
        <v>3.1250016730816603E-5</v>
      </c>
      <c r="L338" s="2">
        <v>2.3713937262849199E-5</v>
      </c>
      <c r="M338" s="1">
        <v>3.7476037661370698E-2</v>
      </c>
      <c r="N338" s="1">
        <v>3.65784828443631</v>
      </c>
    </row>
    <row r="339" spans="1:14">
      <c r="A339" s="1">
        <v>338</v>
      </c>
      <c r="B339" s="1" t="s">
        <v>943</v>
      </c>
      <c r="C339" s="1" t="s">
        <v>944</v>
      </c>
      <c r="D339" s="5" t="s">
        <v>942</v>
      </c>
      <c r="E339" s="1" t="s">
        <v>943</v>
      </c>
      <c r="F339" s="7">
        <v>5</v>
      </c>
      <c r="G339" s="1">
        <v>5</v>
      </c>
      <c r="H339" s="1" t="s">
        <v>8</v>
      </c>
      <c r="I339" s="1" t="s">
        <v>8</v>
      </c>
      <c r="J339" s="1" t="s">
        <v>4</v>
      </c>
      <c r="K339" s="2">
        <v>3.1250012590277203E-5</v>
      </c>
      <c r="L339" s="2">
        <v>2.35614536350641E-5</v>
      </c>
      <c r="M339" s="1">
        <v>3.4020400938565801E-2</v>
      </c>
      <c r="N339" s="1">
        <v>3.3347271019629199</v>
      </c>
    </row>
    <row r="340" spans="1:14">
      <c r="A340" s="1">
        <v>339</v>
      </c>
      <c r="B340" s="1" t="s">
        <v>945</v>
      </c>
      <c r="C340" s="1" t="s">
        <v>946</v>
      </c>
      <c r="D340" s="5" t="s">
        <v>460</v>
      </c>
      <c r="E340" s="1" t="s">
        <v>945</v>
      </c>
      <c r="F340" s="7">
        <v>5</v>
      </c>
      <c r="G340" s="1">
        <v>4</v>
      </c>
      <c r="H340" s="1" t="s">
        <v>8</v>
      </c>
      <c r="I340" s="1" t="s">
        <v>8</v>
      </c>
      <c r="J340" s="1" t="s">
        <v>4</v>
      </c>
      <c r="K340" s="2">
        <v>3.1250022454440299E-5</v>
      </c>
      <c r="L340" s="2">
        <v>2.2900556188399299E-5</v>
      </c>
      <c r="M340" s="1">
        <v>1.07310665769091E-2</v>
      </c>
      <c r="N340" s="1">
        <v>3.3548308700228699</v>
      </c>
    </row>
    <row r="341" spans="1:14">
      <c r="A341" s="1">
        <v>340</v>
      </c>
      <c r="B341" s="1" t="s">
        <v>947</v>
      </c>
      <c r="C341" s="1" t="s">
        <v>948</v>
      </c>
      <c r="D341" s="5" t="s">
        <v>855</v>
      </c>
      <c r="E341" s="1" t="s">
        <v>947</v>
      </c>
      <c r="F341" s="7">
        <v>6</v>
      </c>
      <c r="G341" s="1">
        <v>8</v>
      </c>
      <c r="H341" s="1" t="s">
        <v>3</v>
      </c>
      <c r="I341" s="1" t="s">
        <v>3</v>
      </c>
      <c r="J341" s="1" t="s">
        <v>4</v>
      </c>
      <c r="K341" s="2">
        <v>3.1250014682193897E-5</v>
      </c>
      <c r="L341" s="2">
        <v>2.69488523435567E-5</v>
      </c>
      <c r="M341" s="1">
        <v>1.35666433190273E-3</v>
      </c>
      <c r="N341" s="1">
        <v>3.8059117597463401</v>
      </c>
    </row>
    <row r="342" spans="1:14">
      <c r="A342" s="1">
        <v>341</v>
      </c>
      <c r="B342" s="1" t="s">
        <v>949</v>
      </c>
      <c r="C342" s="1" t="s">
        <v>950</v>
      </c>
      <c r="D342" s="5" t="s">
        <v>951</v>
      </c>
      <c r="E342" s="1" t="s">
        <v>949</v>
      </c>
      <c r="F342" s="7">
        <v>4</v>
      </c>
      <c r="G342" s="1">
        <v>7</v>
      </c>
      <c r="H342" s="1" t="s">
        <v>8</v>
      </c>
      <c r="I342" s="1" t="s">
        <v>8</v>
      </c>
      <c r="J342" s="1" t="s">
        <v>4</v>
      </c>
      <c r="K342" s="2">
        <v>3.12500054573488E-5</v>
      </c>
      <c r="L342" s="2">
        <v>3.0924657075359899E-5</v>
      </c>
      <c r="M342" s="1">
        <v>1.35786288385872E-2</v>
      </c>
      <c r="N342" s="1">
        <v>2.2259577391960801</v>
      </c>
    </row>
    <row r="343" spans="1:14">
      <c r="A343" s="1">
        <v>342</v>
      </c>
      <c r="B343" s="1" t="s">
        <v>952</v>
      </c>
      <c r="C343" s="1" t="s">
        <v>953</v>
      </c>
      <c r="D343" s="5" t="s">
        <v>954</v>
      </c>
      <c r="E343" s="1" t="s">
        <v>952</v>
      </c>
      <c r="F343" s="7">
        <v>6</v>
      </c>
      <c r="G343" s="1">
        <v>3</v>
      </c>
      <c r="H343" s="1" t="s">
        <v>8</v>
      </c>
      <c r="I343" s="1" t="s">
        <v>8</v>
      </c>
      <c r="J343" s="1" t="s">
        <v>4</v>
      </c>
      <c r="K343" s="2">
        <v>3.1249994166208902E-5</v>
      </c>
      <c r="L343" s="2">
        <v>3.0542265446401899E-5</v>
      </c>
      <c r="M343" s="1">
        <v>-2.4398879262420702E-2</v>
      </c>
      <c r="N343" s="1">
        <v>3.70010171727718</v>
      </c>
    </row>
    <row r="344" spans="1:14">
      <c r="A344" s="1">
        <v>343</v>
      </c>
      <c r="B344" s="1" t="s">
        <v>955</v>
      </c>
      <c r="C344" s="1" t="s">
        <v>956</v>
      </c>
      <c r="D344" s="5" t="s">
        <v>227</v>
      </c>
      <c r="E344" s="1" t="s">
        <v>955</v>
      </c>
      <c r="F344" s="7">
        <v>8</v>
      </c>
      <c r="G344" s="1">
        <v>3</v>
      </c>
      <c r="H344" s="1" t="s">
        <v>8</v>
      </c>
      <c r="I344" s="1" t="s">
        <v>8</v>
      </c>
      <c r="J344" s="1" t="s">
        <v>4</v>
      </c>
      <c r="K344" s="2">
        <v>3.1250000430192998E-5</v>
      </c>
      <c r="L344" s="2">
        <v>2.5229612843028602E-5</v>
      </c>
      <c r="M344" s="1">
        <v>-3.2014095451415799E-4</v>
      </c>
      <c r="N344" s="1">
        <v>3.5626596588361199</v>
      </c>
    </row>
    <row r="345" spans="1:14">
      <c r="A345" s="1">
        <v>344</v>
      </c>
      <c r="B345" s="1" t="s">
        <v>957</v>
      </c>
      <c r="C345" s="1" t="s">
        <v>958</v>
      </c>
      <c r="D345" s="5" t="s">
        <v>959</v>
      </c>
      <c r="E345" s="1" t="s">
        <v>957</v>
      </c>
      <c r="F345" s="7">
        <v>11</v>
      </c>
      <c r="G345" s="1">
        <v>3</v>
      </c>
      <c r="H345" s="1" t="s">
        <v>22</v>
      </c>
      <c r="I345" s="1" t="s">
        <v>22</v>
      </c>
      <c r="J345" s="1" t="s">
        <v>4</v>
      </c>
      <c r="K345" s="2">
        <v>3.1250006534117899E-5</v>
      </c>
      <c r="L345" s="2">
        <v>2.5214750894709499E-5</v>
      </c>
      <c r="M345" s="1">
        <v>1.4799390961549299E-2</v>
      </c>
      <c r="N345" s="1">
        <v>3.6920708231230499</v>
      </c>
    </row>
    <row r="346" spans="1:14">
      <c r="A346" s="1">
        <v>345</v>
      </c>
      <c r="B346" s="1" t="s">
        <v>960</v>
      </c>
      <c r="C346" s="1" t="s">
        <v>961</v>
      </c>
      <c r="D346" s="5" t="s">
        <v>962</v>
      </c>
      <c r="E346" s="1" t="s">
        <v>960</v>
      </c>
      <c r="F346" s="7">
        <v>7</v>
      </c>
      <c r="G346" s="1">
        <v>5</v>
      </c>
      <c r="H346" s="1" t="s">
        <v>98</v>
      </c>
      <c r="I346" s="1" t="s">
        <v>98</v>
      </c>
      <c r="J346" s="1" t="s">
        <v>4</v>
      </c>
      <c r="K346" s="2">
        <v>3.1249997292473998E-5</v>
      </c>
      <c r="L346" s="2">
        <v>3.1119308725592601E-5</v>
      </c>
      <c r="M346" s="1">
        <v>-1.0088079676597399E-2</v>
      </c>
      <c r="N346" s="1">
        <v>2.8002478089060299</v>
      </c>
    </row>
    <row r="347" spans="1:14">
      <c r="A347" s="1">
        <v>346</v>
      </c>
      <c r="B347" s="1" t="s">
        <v>963</v>
      </c>
      <c r="C347" s="1" t="s">
        <v>964</v>
      </c>
      <c r="D347" s="5" t="s">
        <v>965</v>
      </c>
      <c r="E347" s="1" t="s">
        <v>963</v>
      </c>
      <c r="F347" s="7">
        <v>5</v>
      </c>
      <c r="G347" s="1">
        <v>4</v>
      </c>
      <c r="H347" s="1" t="s">
        <v>8</v>
      </c>
      <c r="I347" s="1" t="s">
        <v>8</v>
      </c>
      <c r="J347" s="1" t="s">
        <v>4</v>
      </c>
      <c r="K347" s="2">
        <v>3.12500036848257E-5</v>
      </c>
      <c r="L347" s="2">
        <v>1.4534050375895101E-5</v>
      </c>
      <c r="M347" s="1">
        <v>1.3602250380451101E-3</v>
      </c>
      <c r="N347" s="1">
        <v>3.2832676518278401</v>
      </c>
    </row>
    <row r="348" spans="1:14">
      <c r="A348" s="1">
        <v>347</v>
      </c>
      <c r="B348" s="1" t="s">
        <v>966</v>
      </c>
      <c r="C348" s="1" t="s">
        <v>967</v>
      </c>
      <c r="D348" s="5" t="s">
        <v>685</v>
      </c>
      <c r="E348" s="1" t="s">
        <v>966</v>
      </c>
      <c r="F348" s="7">
        <v>6</v>
      </c>
      <c r="G348" s="1">
        <v>3</v>
      </c>
      <c r="H348" s="1" t="s">
        <v>8</v>
      </c>
      <c r="I348" s="1" t="s">
        <v>8</v>
      </c>
      <c r="J348" s="1" t="s">
        <v>4</v>
      </c>
      <c r="K348" s="2">
        <v>3.12500062365817E-5</v>
      </c>
      <c r="L348" s="2">
        <v>1.6533402850357801E-5</v>
      </c>
      <c r="M348" s="1">
        <v>-2.8171723885678901E-2</v>
      </c>
      <c r="N348" s="1">
        <v>3.7341246278982201</v>
      </c>
    </row>
    <row r="349" spans="1:14">
      <c r="A349" s="1">
        <v>348</v>
      </c>
      <c r="B349" s="1" t="s">
        <v>968</v>
      </c>
      <c r="C349" s="1" t="s">
        <v>969</v>
      </c>
      <c r="D349" s="5" t="s">
        <v>970</v>
      </c>
      <c r="E349" s="1" t="s">
        <v>968</v>
      </c>
      <c r="F349" s="7">
        <v>8</v>
      </c>
      <c r="G349" s="1">
        <v>6</v>
      </c>
      <c r="H349" s="1" t="s">
        <v>8</v>
      </c>
      <c r="I349" s="1" t="s">
        <v>8</v>
      </c>
      <c r="J349" s="1" t="s">
        <v>4</v>
      </c>
      <c r="K349" s="2">
        <v>3.1250005893514098E-5</v>
      </c>
      <c r="L349" s="2">
        <v>1.50761814417979E-5</v>
      </c>
      <c r="M349" s="1">
        <v>1.73623230735344E-2</v>
      </c>
      <c r="N349" s="1">
        <v>3.5515780994661799</v>
      </c>
    </row>
    <row r="350" spans="1:14">
      <c r="A350" s="1">
        <v>349</v>
      </c>
      <c r="B350" s="1" t="s">
        <v>971</v>
      </c>
      <c r="C350" s="1" t="s">
        <v>972</v>
      </c>
      <c r="D350" s="5" t="s">
        <v>973</v>
      </c>
      <c r="E350" s="1" t="s">
        <v>971</v>
      </c>
      <c r="F350" s="7">
        <v>6</v>
      </c>
      <c r="G350" s="1">
        <v>6</v>
      </c>
      <c r="H350" s="1" t="s">
        <v>8</v>
      </c>
      <c r="I350" s="1" t="s">
        <v>8</v>
      </c>
      <c r="J350" s="1" t="s">
        <v>4</v>
      </c>
      <c r="K350" s="2">
        <v>3.1249997101124898E-5</v>
      </c>
      <c r="L350" s="2">
        <v>3.11037021544654E-5</v>
      </c>
      <c r="M350" s="1">
        <v>-2.5439045042993699E-2</v>
      </c>
      <c r="N350" s="1">
        <v>2.8156524142312498</v>
      </c>
    </row>
    <row r="351" spans="1:14">
      <c r="A351" s="1">
        <v>350</v>
      </c>
      <c r="B351" s="1" t="s">
        <v>974</v>
      </c>
      <c r="C351" s="1" t="s">
        <v>975</v>
      </c>
      <c r="D351" s="5" t="s">
        <v>976</v>
      </c>
      <c r="E351" s="1" t="s">
        <v>974</v>
      </c>
      <c r="F351" s="7">
        <v>7</v>
      </c>
      <c r="G351" s="1">
        <v>8</v>
      </c>
      <c r="H351" s="1" t="s">
        <v>8</v>
      </c>
      <c r="I351" s="1" t="s">
        <v>8</v>
      </c>
      <c r="J351" s="1" t="s">
        <v>4</v>
      </c>
      <c r="K351" s="2">
        <v>3.1249999409316703E-5</v>
      </c>
      <c r="L351" s="2">
        <v>1.6433021935298501E-5</v>
      </c>
      <c r="M351" s="1">
        <v>1.2510795046210801E-2</v>
      </c>
      <c r="N351" s="1">
        <v>2.9909010299701499</v>
      </c>
    </row>
    <row r="352" spans="1:14">
      <c r="A352" s="1">
        <v>351</v>
      </c>
      <c r="B352" s="1" t="s">
        <v>977</v>
      </c>
      <c r="C352" s="1" t="s">
        <v>978</v>
      </c>
      <c r="D352" s="5" t="s">
        <v>979</v>
      </c>
      <c r="E352" s="1" t="s">
        <v>977</v>
      </c>
      <c r="F352" s="7">
        <v>5</v>
      </c>
      <c r="G352" s="1">
        <v>8</v>
      </c>
      <c r="H352" s="1" t="s">
        <v>8</v>
      </c>
      <c r="I352" s="1" t="s">
        <v>8</v>
      </c>
      <c r="J352" s="1" t="s">
        <v>4</v>
      </c>
      <c r="K352" s="2">
        <v>3.1250000985079599E-5</v>
      </c>
      <c r="L352" s="2">
        <v>2.7671190434152801E-5</v>
      </c>
      <c r="M352" s="1">
        <v>-2.7650167066447202E-2</v>
      </c>
      <c r="N352" s="1">
        <v>3.3402339456128498</v>
      </c>
    </row>
    <row r="353" spans="1:14">
      <c r="A353" s="1">
        <v>352</v>
      </c>
      <c r="B353" s="1" t="s">
        <v>980</v>
      </c>
      <c r="C353" s="1" t="s">
        <v>981</v>
      </c>
      <c r="D353" s="5" t="s">
        <v>982</v>
      </c>
      <c r="E353" s="1" t="s">
        <v>980</v>
      </c>
      <c r="F353" s="7">
        <v>6</v>
      </c>
      <c r="G353" s="1">
        <v>5</v>
      </c>
      <c r="H353" s="1" t="s">
        <v>8</v>
      </c>
      <c r="I353" s="1" t="s">
        <v>8</v>
      </c>
      <c r="J353" s="1" t="s">
        <v>4</v>
      </c>
      <c r="K353" s="2">
        <v>3.1250008848778197E-5</v>
      </c>
      <c r="L353" s="2">
        <v>3.1060950035769201E-5</v>
      </c>
      <c r="M353" s="1">
        <v>1.63220318350818E-2</v>
      </c>
      <c r="N353" s="1">
        <v>2.6095297941108702</v>
      </c>
    </row>
    <row r="354" spans="1:14">
      <c r="A354" s="1">
        <v>353</v>
      </c>
      <c r="B354" s="1" t="s">
        <v>983</v>
      </c>
      <c r="C354" s="1" t="s">
        <v>984</v>
      </c>
      <c r="D354" s="5" t="s">
        <v>985</v>
      </c>
      <c r="E354" s="1" t="s">
        <v>983</v>
      </c>
      <c r="F354" s="7">
        <v>7</v>
      </c>
      <c r="G354" s="1">
        <v>4</v>
      </c>
      <c r="H354" s="1" t="s">
        <v>98</v>
      </c>
      <c r="I354" s="1" t="s">
        <v>98</v>
      </c>
      <c r="J354" s="1" t="s">
        <v>4</v>
      </c>
      <c r="K354" s="2">
        <v>3.1250006445950497E-5</v>
      </c>
      <c r="L354" s="2">
        <v>1.02306794990454E-5</v>
      </c>
      <c r="M354" s="1">
        <v>1.9561468922978598E-2</v>
      </c>
      <c r="N354" s="1">
        <v>3.3890404599208899</v>
      </c>
    </row>
    <row r="355" spans="1:14">
      <c r="A355" s="1">
        <v>354</v>
      </c>
      <c r="B355" s="1" t="s">
        <v>986</v>
      </c>
      <c r="C355" s="1" t="s">
        <v>987</v>
      </c>
      <c r="D355" s="5" t="s">
        <v>988</v>
      </c>
      <c r="E355" s="1" t="s">
        <v>986</v>
      </c>
      <c r="F355" s="7">
        <v>6</v>
      </c>
      <c r="G355" s="1">
        <v>3</v>
      </c>
      <c r="H355" s="1" t="s">
        <v>98</v>
      </c>
      <c r="I355" s="1" t="s">
        <v>98</v>
      </c>
      <c r="J355" s="1" t="s">
        <v>4</v>
      </c>
      <c r="K355" s="2">
        <v>3.1250004619694202E-5</v>
      </c>
      <c r="L355" s="2">
        <v>3.11683413203847E-5</v>
      </c>
      <c r="M355" s="1">
        <v>-8.3044117130022192E-3</v>
      </c>
      <c r="N355" s="1">
        <v>2.4792503959410102</v>
      </c>
    </row>
    <row r="356" spans="1:14">
      <c r="A356" s="1">
        <v>355</v>
      </c>
      <c r="B356" s="1" t="s">
        <v>989</v>
      </c>
      <c r="C356" s="1" t="s">
        <v>990</v>
      </c>
      <c r="D356" s="5" t="s">
        <v>991</v>
      </c>
      <c r="E356" s="1" t="s">
        <v>989</v>
      </c>
      <c r="F356" s="7">
        <v>7</v>
      </c>
      <c r="G356" s="1">
        <v>5</v>
      </c>
      <c r="H356" s="1" t="s">
        <v>8</v>
      </c>
      <c r="I356" s="1" t="s">
        <v>8</v>
      </c>
      <c r="J356" s="1" t="s">
        <v>4</v>
      </c>
      <c r="K356" s="2">
        <v>3.12500104873597E-5</v>
      </c>
      <c r="L356" s="2">
        <v>2.2550382246336599E-5</v>
      </c>
      <c r="M356" s="1">
        <v>-2.3707177265954699E-2</v>
      </c>
      <c r="N356" s="1">
        <v>3.5254550426906102</v>
      </c>
    </row>
    <row r="357" spans="1:14">
      <c r="A357" s="1">
        <v>356</v>
      </c>
      <c r="B357" s="1" t="s">
        <v>992</v>
      </c>
      <c r="C357" s="1" t="s">
        <v>993</v>
      </c>
      <c r="D357" s="5" t="s">
        <v>994</v>
      </c>
      <c r="E357" s="1" t="s">
        <v>992</v>
      </c>
      <c r="F357" s="7">
        <v>8</v>
      </c>
      <c r="G357" s="1">
        <v>5</v>
      </c>
      <c r="H357" s="1" t="s">
        <v>8</v>
      </c>
      <c r="I357" s="1" t="s">
        <v>8</v>
      </c>
      <c r="J357" s="1" t="s">
        <v>4</v>
      </c>
      <c r="K357" s="2">
        <v>3.1250010631766498E-5</v>
      </c>
      <c r="L357" s="2">
        <v>3.03017558050851E-5</v>
      </c>
      <c r="M357" s="1">
        <v>-2.08832554201876E-3</v>
      </c>
      <c r="N357" s="1">
        <v>2.7065114524854801</v>
      </c>
    </row>
    <row r="358" spans="1:14">
      <c r="A358" s="1">
        <v>357</v>
      </c>
      <c r="B358" s="1" t="s">
        <v>995</v>
      </c>
      <c r="C358" s="1" t="s">
        <v>996</v>
      </c>
      <c r="D358" s="5" t="s">
        <v>112</v>
      </c>
      <c r="E358" s="1" t="s">
        <v>995</v>
      </c>
      <c r="F358" s="7">
        <v>6</v>
      </c>
      <c r="G358" s="1">
        <v>3</v>
      </c>
      <c r="H358" s="1" t="s">
        <v>113</v>
      </c>
      <c r="I358" s="1" t="s">
        <v>113</v>
      </c>
      <c r="J358" s="1" t="s">
        <v>4</v>
      </c>
      <c r="K358" s="2">
        <v>3.1250011024926402E-5</v>
      </c>
      <c r="L358" s="2">
        <v>2.4777340346698399E-5</v>
      </c>
      <c r="M358" s="1">
        <v>1.3863813088974501E-2</v>
      </c>
      <c r="N358" s="1">
        <v>3.7416091600189501</v>
      </c>
    </row>
    <row r="359" spans="1:14">
      <c r="A359" s="1">
        <v>358</v>
      </c>
      <c r="B359" s="1" t="s">
        <v>997</v>
      </c>
      <c r="C359" s="1" t="s">
        <v>998</v>
      </c>
      <c r="D359" s="5" t="s">
        <v>262</v>
      </c>
      <c r="E359" s="1" t="s">
        <v>997</v>
      </c>
      <c r="F359" s="7">
        <v>5</v>
      </c>
      <c r="G359" s="1">
        <v>4</v>
      </c>
      <c r="H359" s="1" t="s">
        <v>8</v>
      </c>
      <c r="I359" s="1" t="s">
        <v>8</v>
      </c>
      <c r="J359" s="1" t="s">
        <v>4</v>
      </c>
      <c r="K359" s="2">
        <v>3.1250006812481203E-5</v>
      </c>
      <c r="L359" s="2">
        <v>2.2874939055395799E-5</v>
      </c>
      <c r="M359" s="1">
        <v>-3.3117412959580997E-2</v>
      </c>
      <c r="N359" s="1">
        <v>2.7769057173687499</v>
      </c>
    </row>
    <row r="360" spans="1:14">
      <c r="A360" s="1">
        <v>359</v>
      </c>
      <c r="B360" s="1" t="s">
        <v>999</v>
      </c>
      <c r="C360" s="1" t="s">
        <v>1000</v>
      </c>
      <c r="D360" s="5" t="s">
        <v>873</v>
      </c>
      <c r="E360" s="1" t="s">
        <v>999</v>
      </c>
      <c r="F360" s="7">
        <v>5</v>
      </c>
      <c r="G360" s="1">
        <v>4</v>
      </c>
      <c r="H360" s="1" t="s">
        <v>8</v>
      </c>
      <c r="I360" s="1" t="s">
        <v>8</v>
      </c>
      <c r="J360" s="1" t="s">
        <v>4</v>
      </c>
      <c r="K360" s="2">
        <v>3.12500042847625E-5</v>
      </c>
      <c r="L360" s="2">
        <v>2.0689465158566601E-5</v>
      </c>
      <c r="M360" s="1">
        <v>-1.1969504731531799E-2</v>
      </c>
      <c r="N360" s="1">
        <v>3.6142842694127801</v>
      </c>
    </row>
    <row r="361" spans="1:14">
      <c r="A361" s="1">
        <v>360</v>
      </c>
      <c r="B361" s="1" t="s">
        <v>1001</v>
      </c>
      <c r="C361" s="1" t="s">
        <v>1002</v>
      </c>
      <c r="D361" s="5" t="s">
        <v>28</v>
      </c>
      <c r="E361" s="1" t="s">
        <v>1001</v>
      </c>
      <c r="F361" s="7">
        <v>5</v>
      </c>
      <c r="G361" s="1">
        <v>3</v>
      </c>
      <c r="H361" s="1" t="s">
        <v>8</v>
      </c>
      <c r="I361" s="1" t="s">
        <v>8</v>
      </c>
      <c r="J361" s="1" t="s">
        <v>4</v>
      </c>
      <c r="K361" s="2">
        <v>3.1250005192450501E-5</v>
      </c>
      <c r="L361" s="2">
        <v>2.9191945555228702E-5</v>
      </c>
      <c r="M361" s="1">
        <v>-2.0475309407794899E-2</v>
      </c>
      <c r="N361" s="1">
        <v>3.6840005823286601</v>
      </c>
    </row>
    <row r="362" spans="1:14">
      <c r="A362" s="1">
        <v>361</v>
      </c>
      <c r="B362" s="1" t="s">
        <v>1003</v>
      </c>
      <c r="C362" s="1" t="s">
        <v>1004</v>
      </c>
      <c r="D362" s="5" t="s">
        <v>1005</v>
      </c>
      <c r="E362" s="1" t="s">
        <v>1003</v>
      </c>
      <c r="F362" s="7">
        <v>6</v>
      </c>
      <c r="G362" s="1">
        <v>4</v>
      </c>
      <c r="H362" s="1" t="s">
        <v>8</v>
      </c>
      <c r="I362" s="1" t="s">
        <v>8</v>
      </c>
      <c r="J362" s="1" t="s">
        <v>4</v>
      </c>
      <c r="K362" s="2">
        <v>3.1250004241824103E-5</v>
      </c>
      <c r="L362" s="2">
        <v>2.4779886665802E-5</v>
      </c>
      <c r="M362" s="1">
        <v>7.4073735104640496E-3</v>
      </c>
      <c r="N362" s="1">
        <v>3.4558770171502999</v>
      </c>
    </row>
    <row r="363" spans="1:14">
      <c r="A363" s="1">
        <v>362</v>
      </c>
      <c r="B363" s="1" t="s">
        <v>1006</v>
      </c>
      <c r="C363" s="1" t="s">
        <v>1007</v>
      </c>
      <c r="D363" s="5" t="s">
        <v>1008</v>
      </c>
      <c r="E363" s="1" t="s">
        <v>1006</v>
      </c>
      <c r="F363" s="7">
        <v>4</v>
      </c>
      <c r="G363" s="1">
        <v>5</v>
      </c>
      <c r="H363" s="1" t="s">
        <v>8</v>
      </c>
      <c r="I363" s="1" t="s">
        <v>8</v>
      </c>
      <c r="J363" s="1" t="s">
        <v>4</v>
      </c>
      <c r="K363" s="2">
        <v>3.1250010444874201E-5</v>
      </c>
      <c r="L363" s="2">
        <v>1.4945074016896301E-5</v>
      </c>
      <c r="M363" s="1">
        <v>-8.2714568004202908E-3</v>
      </c>
      <c r="N363" s="1">
        <v>2.8270826432745899</v>
      </c>
    </row>
    <row r="364" spans="1:14">
      <c r="A364" s="1">
        <v>363</v>
      </c>
      <c r="B364" s="1" t="s">
        <v>1009</v>
      </c>
      <c r="C364" s="1" t="s">
        <v>1010</v>
      </c>
      <c r="D364" s="5" t="s">
        <v>1011</v>
      </c>
      <c r="E364" s="1" t="s">
        <v>1009</v>
      </c>
      <c r="F364" s="7">
        <v>7</v>
      </c>
      <c r="G364" s="1">
        <v>4</v>
      </c>
      <c r="H364" s="1" t="s">
        <v>8</v>
      </c>
      <c r="I364" s="1" t="s">
        <v>8</v>
      </c>
      <c r="J364" s="1" t="s">
        <v>4</v>
      </c>
      <c r="K364" s="2">
        <v>3.1249999451175797E-5</v>
      </c>
      <c r="L364" s="2">
        <v>2.4623442693077401E-5</v>
      </c>
      <c r="M364" s="1">
        <v>-2.3945741301076798E-3</v>
      </c>
      <c r="N364" s="1">
        <v>3.5048678435530198</v>
      </c>
    </row>
    <row r="365" spans="1:14">
      <c r="A365" s="1">
        <v>364</v>
      </c>
      <c r="B365" s="1" t="s">
        <v>1012</v>
      </c>
      <c r="C365" s="1" t="s">
        <v>1013</v>
      </c>
      <c r="D365" s="5" t="s">
        <v>725</v>
      </c>
      <c r="E365" s="1" t="s">
        <v>1012</v>
      </c>
      <c r="F365" s="7">
        <v>6</v>
      </c>
      <c r="G365" s="1">
        <v>5</v>
      </c>
      <c r="H365" s="1" t="s">
        <v>8</v>
      </c>
      <c r="I365" s="1" t="s">
        <v>8</v>
      </c>
      <c r="J365" s="1" t="s">
        <v>4</v>
      </c>
      <c r="K365" s="2">
        <v>3.1250004641276899E-5</v>
      </c>
      <c r="L365" s="2">
        <v>2.3118722269673199E-5</v>
      </c>
      <c r="M365" s="1">
        <v>4.6894665007243902E-2</v>
      </c>
      <c r="N365" s="1">
        <v>3.2973136807607499</v>
      </c>
    </row>
    <row r="366" spans="1:14">
      <c r="A366" s="1">
        <v>365</v>
      </c>
      <c r="B366" s="1" t="s">
        <v>1014</v>
      </c>
      <c r="C366" s="1" t="s">
        <v>1015</v>
      </c>
      <c r="D366" s="5" t="s">
        <v>1016</v>
      </c>
      <c r="E366" s="1" t="s">
        <v>1014</v>
      </c>
      <c r="F366" s="7">
        <v>6</v>
      </c>
      <c r="G366" s="1">
        <v>5</v>
      </c>
      <c r="H366" s="1" t="s">
        <v>8</v>
      </c>
      <c r="I366" s="1" t="s">
        <v>8</v>
      </c>
      <c r="J366" s="1" t="s">
        <v>4</v>
      </c>
      <c r="K366" s="2">
        <v>3.1250001177679598E-5</v>
      </c>
      <c r="L366" s="2">
        <v>2.06788463593117E-5</v>
      </c>
      <c r="M366" s="1">
        <v>1.07885172955093E-2</v>
      </c>
      <c r="N366" s="1">
        <v>3.1871507011547102</v>
      </c>
    </row>
    <row r="367" spans="1:14">
      <c r="A367" s="1">
        <v>366</v>
      </c>
      <c r="B367" s="1" t="s">
        <v>1017</v>
      </c>
      <c r="C367" s="1" t="s">
        <v>1018</v>
      </c>
      <c r="D367" s="5" t="s">
        <v>1019</v>
      </c>
      <c r="E367" s="1" t="s">
        <v>1017</v>
      </c>
      <c r="F367" s="7">
        <v>6</v>
      </c>
      <c r="G367" s="1">
        <v>7</v>
      </c>
      <c r="H367" s="1" t="s">
        <v>8</v>
      </c>
      <c r="I367" s="1" t="s">
        <v>8</v>
      </c>
      <c r="J367" s="1" t="s">
        <v>4</v>
      </c>
      <c r="K367" s="2">
        <v>3.1250008724693399E-5</v>
      </c>
      <c r="L367" s="2">
        <v>1.2127951489603699E-5</v>
      </c>
      <c r="M367" s="1">
        <v>1.9690989011043099E-2</v>
      </c>
      <c r="N367" s="1">
        <v>3.26486814908196</v>
      </c>
    </row>
    <row r="368" spans="1:14">
      <c r="A368" s="1">
        <v>367</v>
      </c>
      <c r="B368" s="1" t="s">
        <v>1020</v>
      </c>
      <c r="C368" s="1" t="s">
        <v>1021</v>
      </c>
      <c r="D368" s="5" t="s">
        <v>1022</v>
      </c>
      <c r="E368" s="1" t="s">
        <v>1020</v>
      </c>
      <c r="F368" s="7">
        <v>6</v>
      </c>
      <c r="G368" s="1">
        <v>4</v>
      </c>
      <c r="H368" s="1" t="s">
        <v>8</v>
      </c>
      <c r="I368" s="1" t="s">
        <v>8</v>
      </c>
      <c r="J368" s="1" t="s">
        <v>4</v>
      </c>
      <c r="K368" s="2">
        <v>3.1250009505356301E-5</v>
      </c>
      <c r="L368" s="2">
        <v>3.1238374134480898E-5</v>
      </c>
      <c r="M368" s="1">
        <v>-1.06680778072349E-2</v>
      </c>
      <c r="N368" s="1">
        <v>3.36636568233373</v>
      </c>
    </row>
    <row r="369" spans="1:14">
      <c r="A369" s="1">
        <v>368</v>
      </c>
      <c r="B369" s="1" t="s">
        <v>1023</v>
      </c>
      <c r="C369" s="1" t="s">
        <v>1024</v>
      </c>
      <c r="D369" s="5" t="s">
        <v>1025</v>
      </c>
      <c r="E369" s="1" t="s">
        <v>1023</v>
      </c>
      <c r="F369" s="7">
        <v>5</v>
      </c>
      <c r="G369" s="1">
        <v>4</v>
      </c>
      <c r="H369" s="1" t="s">
        <v>8</v>
      </c>
      <c r="I369" s="1" t="s">
        <v>8</v>
      </c>
      <c r="J369" s="1" t="s">
        <v>4</v>
      </c>
      <c r="K369" s="2">
        <v>3.12500073117474E-5</v>
      </c>
      <c r="L369" s="2">
        <v>1.42972186267795E-5</v>
      </c>
      <c r="M369" s="1">
        <v>4.2547086723573102E-2</v>
      </c>
      <c r="N369" s="1">
        <v>3.0853256340909501</v>
      </c>
    </row>
    <row r="370" spans="1:14">
      <c r="A370" s="1">
        <v>369</v>
      </c>
      <c r="B370" s="1" t="s">
        <v>1026</v>
      </c>
      <c r="C370" s="1" t="s">
        <v>1027</v>
      </c>
      <c r="D370" s="5" t="s">
        <v>1028</v>
      </c>
      <c r="E370" s="1" t="s">
        <v>1026</v>
      </c>
      <c r="F370" s="7">
        <v>4</v>
      </c>
      <c r="G370" s="1">
        <v>5</v>
      </c>
      <c r="H370" s="1" t="s">
        <v>8</v>
      </c>
      <c r="I370" s="1" t="s">
        <v>8</v>
      </c>
      <c r="J370" s="1" t="s">
        <v>4</v>
      </c>
      <c r="K370" s="2">
        <v>3.1250004842730499E-5</v>
      </c>
      <c r="L370" s="2">
        <v>2.4954892211166502E-5</v>
      </c>
      <c r="M370" s="1">
        <v>2.3177100389492701E-2</v>
      </c>
      <c r="N370" s="1">
        <v>3.0375006386497501</v>
      </c>
    </row>
    <row r="371" spans="1:14">
      <c r="A371" s="1">
        <v>370</v>
      </c>
      <c r="B371" s="1" t="s">
        <v>1029</v>
      </c>
      <c r="C371" s="1" t="s">
        <v>1030</v>
      </c>
      <c r="D371" s="5" t="s">
        <v>248</v>
      </c>
      <c r="E371" s="1" t="s">
        <v>1029</v>
      </c>
      <c r="F371" s="7">
        <v>7</v>
      </c>
      <c r="G371" s="1">
        <v>3</v>
      </c>
      <c r="H371" s="1" t="s">
        <v>8</v>
      </c>
      <c r="I371" s="1" t="s">
        <v>8</v>
      </c>
      <c r="J371" s="1" t="s">
        <v>4</v>
      </c>
      <c r="K371" s="2">
        <v>3.1250007796260003E-5</v>
      </c>
      <c r="L371" s="2">
        <v>2.4295889061697601E-5</v>
      </c>
      <c r="M371" s="1">
        <v>2.4338959039762399E-2</v>
      </c>
      <c r="N371" s="1">
        <v>3.5219758844343598</v>
      </c>
    </row>
    <row r="372" spans="1:14">
      <c r="A372" s="1">
        <v>371</v>
      </c>
      <c r="B372" s="1" t="s">
        <v>1031</v>
      </c>
      <c r="C372" s="1" t="s">
        <v>1032</v>
      </c>
      <c r="D372" s="5" t="s">
        <v>1033</v>
      </c>
      <c r="E372" s="1" t="s">
        <v>1031</v>
      </c>
      <c r="F372" s="7">
        <v>6</v>
      </c>
      <c r="G372" s="1">
        <v>7</v>
      </c>
      <c r="H372" s="1" t="s">
        <v>8</v>
      </c>
      <c r="I372" s="1" t="s">
        <v>8</v>
      </c>
      <c r="J372" s="1" t="s">
        <v>4</v>
      </c>
      <c r="K372" s="2">
        <v>3.1250026839916297E-5</v>
      </c>
      <c r="L372" s="2">
        <v>3.07094699687315E-5</v>
      </c>
      <c r="M372" s="1">
        <v>-1.5424281357852E-2</v>
      </c>
      <c r="N372" s="1">
        <v>3.64650952183628</v>
      </c>
    </row>
    <row r="373" spans="1:14">
      <c r="A373" s="1">
        <v>372</v>
      </c>
      <c r="B373" s="1" t="s">
        <v>1034</v>
      </c>
      <c r="C373" s="1" t="s">
        <v>258</v>
      </c>
      <c r="D373" s="5" t="s">
        <v>1035</v>
      </c>
      <c r="E373" s="1" t="s">
        <v>1034</v>
      </c>
      <c r="F373" s="7">
        <v>9</v>
      </c>
      <c r="G373" s="1">
        <v>3</v>
      </c>
      <c r="H373" s="1" t="s">
        <v>3</v>
      </c>
      <c r="I373" s="1" t="s">
        <v>3</v>
      </c>
      <c r="J373" s="1" t="s">
        <v>4</v>
      </c>
      <c r="K373" s="2">
        <v>3.1250007723348701E-5</v>
      </c>
      <c r="L373" s="2">
        <v>9.9838257623079592E-6</v>
      </c>
      <c r="M373" s="1">
        <v>-1.30704902037237E-2</v>
      </c>
      <c r="N373" s="1">
        <v>3.82796021090493</v>
      </c>
    </row>
    <row r="374" spans="1:14">
      <c r="A374" s="1">
        <v>373</v>
      </c>
      <c r="B374" s="1" t="s">
        <v>1036</v>
      </c>
      <c r="C374" s="1" t="s">
        <v>1037</v>
      </c>
      <c r="D374" s="5" t="s">
        <v>1038</v>
      </c>
      <c r="E374" s="1" t="s">
        <v>1036</v>
      </c>
      <c r="F374" s="7">
        <v>8</v>
      </c>
      <c r="G374" s="1">
        <v>5</v>
      </c>
      <c r="H374" s="1" t="s">
        <v>8</v>
      </c>
      <c r="I374" s="1" t="s">
        <v>8</v>
      </c>
      <c r="J374" s="1" t="s">
        <v>4</v>
      </c>
      <c r="K374" s="2">
        <v>3.12499980653222E-5</v>
      </c>
      <c r="L374" s="2">
        <v>2.3529925998586201E-5</v>
      </c>
      <c r="M374" s="1">
        <v>1.51199339440921E-3</v>
      </c>
      <c r="N374" s="1">
        <v>3.40318139840879</v>
      </c>
    </row>
    <row r="375" spans="1:14">
      <c r="A375" s="1">
        <v>374</v>
      </c>
      <c r="B375" s="1" t="s">
        <v>1039</v>
      </c>
      <c r="C375" s="1" t="s">
        <v>1040</v>
      </c>
      <c r="D375" s="5" t="s">
        <v>748</v>
      </c>
      <c r="E375" s="1" t="s">
        <v>1039</v>
      </c>
      <c r="F375" s="7">
        <v>7</v>
      </c>
      <c r="G375" s="1">
        <v>5</v>
      </c>
      <c r="H375" s="1" t="s">
        <v>8</v>
      </c>
      <c r="I375" s="1" t="s">
        <v>8</v>
      </c>
      <c r="J375" s="1" t="s">
        <v>4</v>
      </c>
      <c r="K375" s="2">
        <v>3.12500185924647E-5</v>
      </c>
      <c r="L375" s="2">
        <v>2.9363385996062699E-5</v>
      </c>
      <c r="M375" s="1">
        <v>-4.0257545483378003E-2</v>
      </c>
      <c r="N375" s="1">
        <v>3.4670182064274702</v>
      </c>
    </row>
    <row r="376" spans="1:14">
      <c r="A376" s="1">
        <v>375</v>
      </c>
      <c r="B376" s="1" t="s">
        <v>1041</v>
      </c>
      <c r="C376" s="1" t="s">
        <v>1042</v>
      </c>
      <c r="D376" s="5" t="s">
        <v>534</v>
      </c>
      <c r="E376" s="1" t="s">
        <v>1041</v>
      </c>
      <c r="F376" s="7">
        <v>5</v>
      </c>
      <c r="G376" s="1">
        <v>4</v>
      </c>
      <c r="H376" s="1" t="s">
        <v>8</v>
      </c>
      <c r="I376" s="1" t="s">
        <v>8</v>
      </c>
      <c r="J376" s="1" t="s">
        <v>4</v>
      </c>
      <c r="K376" s="2">
        <v>3.1249999948840803E-5</v>
      </c>
      <c r="L376" s="2">
        <v>8.2707814297217694E-6</v>
      </c>
      <c r="M376" s="1">
        <v>1.9323313792755301E-2</v>
      </c>
      <c r="N376" s="1">
        <v>3.3526955747492302</v>
      </c>
    </row>
    <row r="377" spans="1:14">
      <c r="A377" s="1">
        <v>376</v>
      </c>
      <c r="B377" s="1" t="s">
        <v>1043</v>
      </c>
      <c r="C377" s="1" t="s">
        <v>1044</v>
      </c>
      <c r="D377" s="5" t="s">
        <v>1045</v>
      </c>
      <c r="E377" s="1" t="s">
        <v>1043</v>
      </c>
      <c r="F377" s="7">
        <v>5</v>
      </c>
      <c r="G377" s="1">
        <v>6</v>
      </c>
      <c r="H377" s="1" t="s">
        <v>8</v>
      </c>
      <c r="I377" s="1" t="s">
        <v>8</v>
      </c>
      <c r="J377" s="1" t="s">
        <v>4</v>
      </c>
      <c r="K377" s="2">
        <v>3.1250019104928198E-5</v>
      </c>
      <c r="L377" s="2">
        <v>3.0851128649075503E-5</v>
      </c>
      <c r="M377" s="1">
        <v>-4.7944531770696096E-3</v>
      </c>
      <c r="N377" s="1">
        <v>2.1318871248247602</v>
      </c>
    </row>
    <row r="378" spans="1:14">
      <c r="A378" s="1">
        <v>377</v>
      </c>
      <c r="B378" s="1" t="s">
        <v>1046</v>
      </c>
      <c r="C378" s="1" t="s">
        <v>1047</v>
      </c>
      <c r="D378" s="5" t="s">
        <v>1048</v>
      </c>
      <c r="E378" s="1" t="s">
        <v>1046</v>
      </c>
      <c r="F378" s="7">
        <v>8</v>
      </c>
      <c r="G378" s="1">
        <v>4</v>
      </c>
      <c r="H378" s="1" t="s">
        <v>3</v>
      </c>
      <c r="I378" s="1" t="s">
        <v>3</v>
      </c>
      <c r="J378" s="1" t="s">
        <v>4</v>
      </c>
      <c r="K378" s="2">
        <v>3.1249999525749703E-5</v>
      </c>
      <c r="L378" s="2">
        <v>2.90227270371456E-5</v>
      </c>
      <c r="M378" s="1">
        <v>-1.68836272881982E-2</v>
      </c>
      <c r="N378" s="1">
        <v>3.65419657736564</v>
      </c>
    </row>
    <row r="379" spans="1:14">
      <c r="A379" s="1">
        <v>378</v>
      </c>
      <c r="B379" s="1" t="s">
        <v>1049</v>
      </c>
      <c r="C379" s="1" t="s">
        <v>1050</v>
      </c>
      <c r="D379" s="5" t="s">
        <v>1051</v>
      </c>
      <c r="E379" s="1" t="s">
        <v>1049</v>
      </c>
      <c r="F379" s="7">
        <v>10</v>
      </c>
      <c r="G379" s="1">
        <v>4</v>
      </c>
      <c r="H379" s="1" t="s">
        <v>8</v>
      </c>
      <c r="I379" s="1" t="s">
        <v>8</v>
      </c>
      <c r="J379" s="1" t="s">
        <v>4</v>
      </c>
      <c r="K379" s="2">
        <v>3.1250016741022503E-5</v>
      </c>
      <c r="L379" s="2">
        <v>3.1028545279735198E-5</v>
      </c>
      <c r="M379" s="1">
        <v>-2.5200460193730099E-2</v>
      </c>
      <c r="N379" s="1">
        <v>2.7259937079411398</v>
      </c>
    </row>
    <row r="380" spans="1:14">
      <c r="A380" s="1">
        <v>379</v>
      </c>
      <c r="B380" s="1" t="s">
        <v>1052</v>
      </c>
      <c r="C380" s="1" t="s">
        <v>1053</v>
      </c>
      <c r="D380" s="5" t="s">
        <v>1054</v>
      </c>
      <c r="E380" s="1" t="s">
        <v>1052</v>
      </c>
      <c r="F380" s="7">
        <v>4</v>
      </c>
      <c r="G380" s="1">
        <v>5</v>
      </c>
      <c r="H380" s="1" t="s">
        <v>8</v>
      </c>
      <c r="I380" s="1" t="s">
        <v>8</v>
      </c>
      <c r="J380" s="1" t="s">
        <v>4</v>
      </c>
      <c r="K380" s="2">
        <v>3.1250006217214603E-5</v>
      </c>
      <c r="L380" s="2">
        <v>1.4771668255700501E-5</v>
      </c>
      <c r="M380" s="1">
        <v>2.6322659796250002E-2</v>
      </c>
      <c r="N380" s="1">
        <v>3.0359070209522301</v>
      </c>
    </row>
    <row r="381" spans="1:14">
      <c r="A381" s="1">
        <v>380</v>
      </c>
      <c r="B381" s="1" t="s">
        <v>1055</v>
      </c>
      <c r="C381" s="1" t="s">
        <v>1056</v>
      </c>
      <c r="D381" s="5" t="s">
        <v>475</v>
      </c>
      <c r="E381" s="1" t="s">
        <v>1055</v>
      </c>
      <c r="F381" s="7">
        <v>5</v>
      </c>
      <c r="G381" s="1">
        <v>5</v>
      </c>
      <c r="H381" s="1" t="s">
        <v>8</v>
      </c>
      <c r="I381" s="1" t="s">
        <v>8</v>
      </c>
      <c r="J381" s="1" t="s">
        <v>4</v>
      </c>
      <c r="K381" s="2">
        <v>3.1250009499271298E-5</v>
      </c>
      <c r="L381" s="2">
        <v>2.0654969608418501E-5</v>
      </c>
      <c r="M381" s="1">
        <v>-1.0623291625933E-2</v>
      </c>
      <c r="N381" s="1">
        <v>3.2564412780699601</v>
      </c>
    </row>
    <row r="382" spans="1:14">
      <c r="A382" s="1">
        <v>381</v>
      </c>
      <c r="B382" s="1" t="s">
        <v>1057</v>
      </c>
      <c r="C382" s="1" t="s">
        <v>1058</v>
      </c>
      <c r="D382" s="5" t="s">
        <v>28</v>
      </c>
      <c r="E382" s="1" t="s">
        <v>1057</v>
      </c>
      <c r="F382" s="7">
        <v>5</v>
      </c>
      <c r="G382" s="1">
        <v>3</v>
      </c>
      <c r="H382" s="1" t="s">
        <v>8</v>
      </c>
      <c r="I382" s="1" t="s">
        <v>8</v>
      </c>
      <c r="J382" s="1" t="s">
        <v>4</v>
      </c>
      <c r="K382" s="2">
        <v>3.1249997862105003E-5</v>
      </c>
      <c r="L382" s="2">
        <v>2.6897496738821399E-5</v>
      </c>
      <c r="M382" s="1">
        <v>1.5613249000125499E-2</v>
      </c>
      <c r="N382" s="1">
        <v>3.3308623748138801</v>
      </c>
    </row>
    <row r="383" spans="1:14">
      <c r="A383" s="1">
        <v>382</v>
      </c>
      <c r="B383" s="1" t="s">
        <v>1059</v>
      </c>
      <c r="C383" s="1" t="s">
        <v>1060</v>
      </c>
      <c r="D383" s="5" t="s">
        <v>1061</v>
      </c>
      <c r="E383" s="1" t="s">
        <v>1059</v>
      </c>
      <c r="F383" s="7">
        <v>6</v>
      </c>
      <c r="G383" s="1">
        <v>6</v>
      </c>
      <c r="H383" s="1" t="s">
        <v>8</v>
      </c>
      <c r="I383" s="1" t="s">
        <v>8</v>
      </c>
      <c r="J383" s="1" t="s">
        <v>4</v>
      </c>
      <c r="K383" s="2">
        <v>3.1250002886724301E-5</v>
      </c>
      <c r="L383" s="2">
        <v>1.42761380105732E-5</v>
      </c>
      <c r="M383" s="1">
        <v>3.30787815306368E-2</v>
      </c>
      <c r="N383" s="1">
        <v>3.3956882677961899</v>
      </c>
    </row>
    <row r="384" spans="1:14">
      <c r="A384" s="1">
        <v>383</v>
      </c>
      <c r="B384" s="1" t="s">
        <v>1062</v>
      </c>
      <c r="C384" s="1" t="s">
        <v>1063</v>
      </c>
      <c r="D384" s="5" t="s">
        <v>1064</v>
      </c>
      <c r="E384" s="1" t="s">
        <v>2345</v>
      </c>
      <c r="F384" s="7">
        <v>6</v>
      </c>
      <c r="G384" s="1">
        <v>7</v>
      </c>
      <c r="H384" s="1" t="s">
        <v>68</v>
      </c>
      <c r="I384" s="1" t="s">
        <v>123</v>
      </c>
      <c r="J384" s="1" t="s">
        <v>180</v>
      </c>
      <c r="K384" s="2">
        <v>3.1249997728772402E-5</v>
      </c>
      <c r="L384" s="2">
        <v>1.09913126454794E-6</v>
      </c>
      <c r="M384" s="1">
        <v>-1.9409136795829299E-2</v>
      </c>
      <c r="N384" s="1">
        <v>3.4673184131067498</v>
      </c>
    </row>
    <row r="385" spans="1:14">
      <c r="A385" s="1">
        <v>384</v>
      </c>
      <c r="B385" s="1" t="s">
        <v>1065</v>
      </c>
      <c r="C385" s="1" t="s">
        <v>1066</v>
      </c>
      <c r="D385" s="5" t="s">
        <v>413</v>
      </c>
      <c r="E385" s="1" t="s">
        <v>1065</v>
      </c>
      <c r="F385" s="7">
        <v>7</v>
      </c>
      <c r="G385" s="1">
        <v>5</v>
      </c>
      <c r="H385" s="1" t="s">
        <v>8</v>
      </c>
      <c r="I385" s="1" t="s">
        <v>8</v>
      </c>
      <c r="J385" s="1" t="s">
        <v>4</v>
      </c>
      <c r="K385" s="2">
        <v>3.1250009817365502E-5</v>
      </c>
      <c r="L385" s="2">
        <v>2.9274786036527701E-5</v>
      </c>
      <c r="M385" s="1">
        <v>3.1032822474088501E-3</v>
      </c>
      <c r="N385" s="1">
        <v>3.6069975657429501</v>
      </c>
    </row>
    <row r="386" spans="1:14">
      <c r="A386" s="1">
        <v>385</v>
      </c>
      <c r="B386" s="1" t="s">
        <v>1067</v>
      </c>
      <c r="C386" s="1" t="s">
        <v>1068</v>
      </c>
      <c r="D386" s="5" t="s">
        <v>1069</v>
      </c>
      <c r="E386" s="1" t="s">
        <v>1070</v>
      </c>
      <c r="F386" s="7">
        <v>4</v>
      </c>
      <c r="G386" s="1">
        <v>6</v>
      </c>
      <c r="H386" s="1" t="s">
        <v>8</v>
      </c>
      <c r="I386" s="1" t="s">
        <v>123</v>
      </c>
      <c r="J386" s="1" t="s">
        <v>180</v>
      </c>
      <c r="K386" s="2">
        <v>3.1249996075545699E-5</v>
      </c>
      <c r="L386" s="2">
        <v>2.6613422972105702E-7</v>
      </c>
      <c r="M386" s="1">
        <v>-2.18487498141435E-2</v>
      </c>
      <c r="N386" s="1">
        <v>3.5525047049970402</v>
      </c>
    </row>
    <row r="387" spans="1:14">
      <c r="A387" s="1">
        <v>386</v>
      </c>
      <c r="B387" s="1" t="s">
        <v>1071</v>
      </c>
      <c r="C387" s="1" t="s">
        <v>1072</v>
      </c>
      <c r="D387" s="5" t="s">
        <v>1073</v>
      </c>
      <c r="E387" s="1" t="s">
        <v>1071</v>
      </c>
      <c r="F387" s="7">
        <v>7</v>
      </c>
      <c r="G387" s="1">
        <v>4</v>
      </c>
      <c r="H387" s="1" t="s">
        <v>8</v>
      </c>
      <c r="I387" s="1" t="s">
        <v>8</v>
      </c>
      <c r="J387" s="1" t="s">
        <v>4</v>
      </c>
      <c r="K387" s="2">
        <v>3.12500047901339E-5</v>
      </c>
      <c r="L387" s="2">
        <v>2.27672400274706E-5</v>
      </c>
      <c r="M387" s="1">
        <v>1.6198502776767001E-2</v>
      </c>
      <c r="N387" s="1">
        <v>3.4459085704228301</v>
      </c>
    </row>
    <row r="388" spans="1:14">
      <c r="A388" s="1">
        <v>387</v>
      </c>
      <c r="B388" s="1" t="s">
        <v>1074</v>
      </c>
      <c r="C388" s="1" t="s">
        <v>1075</v>
      </c>
      <c r="D388" s="5" t="s">
        <v>1076</v>
      </c>
      <c r="E388" s="1" t="s">
        <v>1074</v>
      </c>
      <c r="F388" s="7">
        <v>7</v>
      </c>
      <c r="G388" s="1">
        <v>7</v>
      </c>
      <c r="H388" s="1" t="s">
        <v>98</v>
      </c>
      <c r="I388" s="1" t="s">
        <v>98</v>
      </c>
      <c r="J388" s="1" t="s">
        <v>4</v>
      </c>
      <c r="K388" s="2">
        <v>3.1250006366896499E-5</v>
      </c>
      <c r="L388" s="2">
        <v>2.94230657861268E-5</v>
      </c>
      <c r="M388" s="1">
        <v>5.5846019719325499E-3</v>
      </c>
      <c r="N388" s="1">
        <v>3.7574334689729101</v>
      </c>
    </row>
    <row r="389" spans="1:14">
      <c r="A389" s="1">
        <v>388</v>
      </c>
      <c r="B389" s="1" t="s">
        <v>1077</v>
      </c>
      <c r="C389" s="1" t="s">
        <v>1078</v>
      </c>
      <c r="D389" s="5" t="s">
        <v>1079</v>
      </c>
      <c r="E389" s="1" t="s">
        <v>1077</v>
      </c>
      <c r="F389" s="7">
        <v>6</v>
      </c>
      <c r="G389" s="1">
        <v>3</v>
      </c>
      <c r="H389" s="1" t="s">
        <v>8</v>
      </c>
      <c r="I389" s="1" t="s">
        <v>8</v>
      </c>
      <c r="J389" s="1" t="s">
        <v>4</v>
      </c>
      <c r="K389" s="2">
        <v>3.1250015406819301E-5</v>
      </c>
      <c r="L389" s="2">
        <v>2.8488349644806799E-5</v>
      </c>
      <c r="M389" s="1">
        <v>-2.09272700901483E-2</v>
      </c>
      <c r="N389" s="1">
        <v>3.51324643882193</v>
      </c>
    </row>
    <row r="390" spans="1:14">
      <c r="A390" s="1">
        <v>389</v>
      </c>
      <c r="B390" s="1" t="s">
        <v>1080</v>
      </c>
      <c r="C390" s="1" t="s">
        <v>1081</v>
      </c>
      <c r="D390" s="5" t="s">
        <v>1082</v>
      </c>
      <c r="E390" s="1" t="s">
        <v>1080</v>
      </c>
      <c r="F390" s="7">
        <v>6</v>
      </c>
      <c r="G390" s="1">
        <v>6</v>
      </c>
      <c r="H390" s="1" t="s">
        <v>98</v>
      </c>
      <c r="I390" s="1" t="s">
        <v>98</v>
      </c>
      <c r="J390" s="1" t="s">
        <v>4</v>
      </c>
      <c r="K390" s="2">
        <v>3.1250009383885102E-5</v>
      </c>
      <c r="L390" s="2">
        <v>2.8965631221716801E-5</v>
      </c>
      <c r="M390" s="1">
        <v>-9.9131959631790691E-3</v>
      </c>
      <c r="N390" s="1">
        <v>4.3369607698493802</v>
      </c>
    </row>
    <row r="391" spans="1:14">
      <c r="A391" s="1">
        <v>390</v>
      </c>
      <c r="B391" s="1" t="s">
        <v>1083</v>
      </c>
      <c r="C391" s="1" t="s">
        <v>1084</v>
      </c>
      <c r="D391" s="5" t="s">
        <v>503</v>
      </c>
      <c r="E391" s="1" t="s">
        <v>1083</v>
      </c>
      <c r="F391" s="7">
        <v>5</v>
      </c>
      <c r="G391" s="1">
        <v>3</v>
      </c>
      <c r="H391" s="1" t="s">
        <v>12</v>
      </c>
      <c r="I391" s="1" t="s">
        <v>12</v>
      </c>
      <c r="J391" s="1" t="s">
        <v>4</v>
      </c>
      <c r="K391" s="2">
        <v>3.1250008138871603E-5</v>
      </c>
      <c r="L391" s="2">
        <v>3.0220888436093301E-5</v>
      </c>
      <c r="M391" s="1">
        <v>-4.1236415841225896E-3</v>
      </c>
      <c r="N391" s="1">
        <v>3.5842759998703602</v>
      </c>
    </row>
    <row r="392" spans="1:14">
      <c r="A392" s="1">
        <v>391</v>
      </c>
      <c r="B392" s="1" t="s">
        <v>1085</v>
      </c>
      <c r="C392" s="1" t="s">
        <v>1086</v>
      </c>
      <c r="D392" s="5" t="s">
        <v>1087</v>
      </c>
      <c r="E392" s="1" t="s">
        <v>1085</v>
      </c>
      <c r="F392" s="7">
        <v>4</v>
      </c>
      <c r="G392" s="1">
        <v>6</v>
      </c>
      <c r="H392" s="1" t="s">
        <v>98</v>
      </c>
      <c r="I392" s="1" t="s">
        <v>98</v>
      </c>
      <c r="J392" s="1" t="s">
        <v>4</v>
      </c>
      <c r="K392" s="2">
        <v>3.1249989588574603E-5</v>
      </c>
      <c r="L392" s="2">
        <v>3.1223634292868401E-5</v>
      </c>
      <c r="M392" s="1">
        <v>1.03197868811637E-2</v>
      </c>
      <c r="N392" s="1">
        <v>3.0393481817177799</v>
      </c>
    </row>
    <row r="393" spans="1:14">
      <c r="A393" s="1">
        <v>392</v>
      </c>
      <c r="B393" s="1" t="s">
        <v>1088</v>
      </c>
      <c r="C393" s="1" t="s">
        <v>1089</v>
      </c>
      <c r="D393" s="5" t="s">
        <v>1090</v>
      </c>
      <c r="E393" s="1" t="s">
        <v>1088</v>
      </c>
      <c r="F393" s="7">
        <v>6</v>
      </c>
      <c r="G393" s="1">
        <v>5</v>
      </c>
      <c r="H393" s="1" t="s">
        <v>68</v>
      </c>
      <c r="I393" s="1" t="s">
        <v>68</v>
      </c>
      <c r="J393" s="1" t="s">
        <v>4</v>
      </c>
      <c r="K393" s="2">
        <v>3.1250004059644501E-5</v>
      </c>
      <c r="L393" s="2">
        <v>1.98162182984475E-5</v>
      </c>
      <c r="M393" s="1">
        <v>-2.4000406855350299E-2</v>
      </c>
      <c r="N393" s="1">
        <v>3.2000447161688501</v>
      </c>
    </row>
    <row r="394" spans="1:14">
      <c r="A394" s="1">
        <v>393</v>
      </c>
      <c r="B394" s="1" t="s">
        <v>1091</v>
      </c>
      <c r="C394" s="1" t="s">
        <v>1092</v>
      </c>
      <c r="D394" s="5" t="s">
        <v>1093</v>
      </c>
      <c r="E394" s="1" t="s">
        <v>1091</v>
      </c>
      <c r="F394" s="7">
        <v>6</v>
      </c>
      <c r="G394" s="1">
        <v>7</v>
      </c>
      <c r="H394" s="1" t="s">
        <v>8</v>
      </c>
      <c r="I394" s="1" t="s">
        <v>8</v>
      </c>
      <c r="J394" s="1" t="s">
        <v>4</v>
      </c>
      <c r="K394" s="2">
        <v>3.1249997736539301E-5</v>
      </c>
      <c r="L394" s="2">
        <v>8.5896163957287602E-6</v>
      </c>
      <c r="M394" s="1">
        <v>4.12129784065427E-2</v>
      </c>
      <c r="N394" s="1">
        <v>2.1984657868617399</v>
      </c>
    </row>
    <row r="395" spans="1:14">
      <c r="A395" s="1">
        <v>394</v>
      </c>
      <c r="B395" s="1" t="s">
        <v>1094</v>
      </c>
      <c r="C395" s="1" t="s">
        <v>1095</v>
      </c>
      <c r="D395" s="5" t="s">
        <v>1096</v>
      </c>
      <c r="E395" s="1" t="s">
        <v>1094</v>
      </c>
      <c r="F395" s="7">
        <v>9</v>
      </c>
      <c r="G395" s="1">
        <v>6</v>
      </c>
      <c r="H395" s="1" t="s">
        <v>8</v>
      </c>
      <c r="I395" s="1" t="s">
        <v>8</v>
      </c>
      <c r="J395" s="1" t="s">
        <v>4</v>
      </c>
      <c r="K395" s="2">
        <v>3.12499965293963E-5</v>
      </c>
      <c r="L395" s="2">
        <v>2.1140636230691701E-5</v>
      </c>
      <c r="M395" s="1">
        <v>-1.852623380978E-2</v>
      </c>
      <c r="N395" s="1">
        <v>3.5698684436437298</v>
      </c>
    </row>
    <row r="396" spans="1:14">
      <c r="A396" s="1">
        <v>395</v>
      </c>
      <c r="B396" s="1" t="s">
        <v>1097</v>
      </c>
      <c r="C396" s="1" t="s">
        <v>1098</v>
      </c>
      <c r="D396" s="5" t="s">
        <v>7</v>
      </c>
      <c r="E396" s="1" t="s">
        <v>1097</v>
      </c>
      <c r="F396" s="7">
        <v>5</v>
      </c>
      <c r="G396" s="1">
        <v>3</v>
      </c>
      <c r="H396" s="1" t="s">
        <v>8</v>
      </c>
      <c r="I396" s="1" t="s">
        <v>8</v>
      </c>
      <c r="J396" s="1" t="s">
        <v>4</v>
      </c>
      <c r="K396" s="2">
        <v>3.12500083600035E-5</v>
      </c>
      <c r="L396" s="2">
        <v>3.02759458572799E-5</v>
      </c>
      <c r="M396" s="1">
        <v>-2.4217103566130001E-2</v>
      </c>
      <c r="N396" s="1">
        <v>3.7684381908076299</v>
      </c>
    </row>
    <row r="397" spans="1:14">
      <c r="A397" s="1">
        <v>396</v>
      </c>
      <c r="B397" s="1" t="s">
        <v>1099</v>
      </c>
      <c r="C397" s="1" t="s">
        <v>1100</v>
      </c>
      <c r="D397" s="5" t="s">
        <v>870</v>
      </c>
      <c r="E397" s="1" t="s">
        <v>1099</v>
      </c>
      <c r="F397" s="7">
        <v>5</v>
      </c>
      <c r="G397" s="1">
        <v>5</v>
      </c>
      <c r="H397" s="1" t="s">
        <v>98</v>
      </c>
      <c r="I397" s="1" t="s">
        <v>98</v>
      </c>
      <c r="J397" s="1" t="s">
        <v>4</v>
      </c>
      <c r="K397" s="2">
        <v>3.1249992965226202E-5</v>
      </c>
      <c r="L397" s="2">
        <v>3.0840042027739703E-5</v>
      </c>
      <c r="M397" s="1">
        <v>-2.30436322022455E-2</v>
      </c>
      <c r="N397" s="1">
        <v>3.8410654064922198</v>
      </c>
    </row>
    <row r="398" spans="1:14">
      <c r="A398" s="1">
        <v>397</v>
      </c>
      <c r="B398" s="1" t="s">
        <v>1101</v>
      </c>
      <c r="C398" s="1" t="s">
        <v>1102</v>
      </c>
      <c r="D398" s="5" t="s">
        <v>1103</v>
      </c>
      <c r="E398" s="1" t="s">
        <v>1101</v>
      </c>
      <c r="F398" s="7">
        <v>12</v>
      </c>
      <c r="G398" s="1">
        <v>7</v>
      </c>
      <c r="H398" s="1" t="s">
        <v>8</v>
      </c>
      <c r="I398" s="1" t="s">
        <v>8</v>
      </c>
      <c r="J398" s="1" t="s">
        <v>4</v>
      </c>
      <c r="K398" s="2">
        <v>3.1250006303257599E-5</v>
      </c>
      <c r="L398" s="2">
        <v>3.1207740567111698E-5</v>
      </c>
      <c r="M398" s="1">
        <v>-1.07859262868785E-2</v>
      </c>
      <c r="N398" s="1">
        <v>3.4034289758087</v>
      </c>
    </row>
    <row r="399" spans="1:14">
      <c r="A399" s="1">
        <v>398</v>
      </c>
      <c r="B399" s="1" t="s">
        <v>1104</v>
      </c>
      <c r="C399" s="1" t="s">
        <v>1105</v>
      </c>
      <c r="D399" s="5" t="s">
        <v>1106</v>
      </c>
      <c r="E399" s="1" t="s">
        <v>1104</v>
      </c>
      <c r="F399" s="7">
        <v>13</v>
      </c>
      <c r="G399" s="1">
        <v>5</v>
      </c>
      <c r="H399" s="1" t="s">
        <v>98</v>
      </c>
      <c r="I399" s="1" t="s">
        <v>98</v>
      </c>
      <c r="J399" s="1" t="s">
        <v>4</v>
      </c>
      <c r="K399" s="2">
        <v>3.1250004168490498E-5</v>
      </c>
      <c r="L399" s="2">
        <v>2.0404876962570501E-5</v>
      </c>
      <c r="M399" s="1">
        <v>-2.77264531375998E-3</v>
      </c>
      <c r="N399" s="1">
        <v>3.4222797239063998</v>
      </c>
    </row>
    <row r="400" spans="1:14">
      <c r="A400" s="1">
        <v>399</v>
      </c>
      <c r="B400" s="1" t="s">
        <v>1107</v>
      </c>
      <c r="C400" s="1" t="s">
        <v>1108</v>
      </c>
      <c r="D400" s="5" t="s">
        <v>116</v>
      </c>
      <c r="E400" s="1" t="s">
        <v>1107</v>
      </c>
      <c r="F400" s="7">
        <v>9</v>
      </c>
      <c r="G400" s="1">
        <v>4</v>
      </c>
      <c r="H400" s="1" t="s">
        <v>8</v>
      </c>
      <c r="I400" s="1" t="s">
        <v>8</v>
      </c>
      <c r="J400" s="1" t="s">
        <v>4</v>
      </c>
      <c r="K400" s="2">
        <v>3.1249992808579602E-5</v>
      </c>
      <c r="L400" s="2">
        <v>1.7335725616381999E-5</v>
      </c>
      <c r="M400" s="1">
        <v>1.6802950656686001E-2</v>
      </c>
      <c r="N400" s="1">
        <v>2.8783490158977001</v>
      </c>
    </row>
    <row r="401" spans="1:14">
      <c r="A401" s="1">
        <v>400</v>
      </c>
      <c r="B401" s="1" t="s">
        <v>1109</v>
      </c>
      <c r="C401" s="1" t="s">
        <v>1110</v>
      </c>
      <c r="D401" s="5" t="s">
        <v>88</v>
      </c>
      <c r="E401" s="1" t="s">
        <v>1109</v>
      </c>
      <c r="F401" s="7">
        <v>5</v>
      </c>
      <c r="G401" s="1">
        <v>4</v>
      </c>
      <c r="H401" s="1" t="s">
        <v>8</v>
      </c>
      <c r="I401" s="1" t="s">
        <v>8</v>
      </c>
      <c r="J401" s="1" t="s">
        <v>4</v>
      </c>
      <c r="K401" s="2">
        <v>3.1249988792304998E-5</v>
      </c>
      <c r="L401" s="2">
        <v>2.0051314324054999E-5</v>
      </c>
      <c r="M401" s="1">
        <v>1.2279986433554701E-2</v>
      </c>
      <c r="N401" s="1">
        <v>3.3390699508952402</v>
      </c>
    </row>
    <row r="402" spans="1:14">
      <c r="A402" s="1">
        <v>401</v>
      </c>
      <c r="B402" s="1" t="s">
        <v>1111</v>
      </c>
      <c r="C402" s="1" t="s">
        <v>1112</v>
      </c>
      <c r="D402" s="5" t="s">
        <v>1113</v>
      </c>
      <c r="E402" s="1" t="s">
        <v>1111</v>
      </c>
      <c r="F402" s="7">
        <v>5</v>
      </c>
      <c r="G402" s="1">
        <v>5</v>
      </c>
      <c r="H402" s="1" t="s">
        <v>8</v>
      </c>
      <c r="I402" s="1" t="s">
        <v>8</v>
      </c>
      <c r="J402" s="1" t="s">
        <v>4</v>
      </c>
      <c r="K402" s="2">
        <v>3.1250008303020598E-5</v>
      </c>
      <c r="L402" s="2">
        <v>2.5180992775583001E-5</v>
      </c>
      <c r="M402" s="1">
        <v>3.5593892634672303E-2</v>
      </c>
      <c r="N402" s="1">
        <v>3.3758142563244502</v>
      </c>
    </row>
    <row r="403" spans="1:14">
      <c r="A403" s="1">
        <v>402</v>
      </c>
      <c r="B403" s="1" t="s">
        <v>1114</v>
      </c>
      <c r="C403" s="1" t="s">
        <v>1115</v>
      </c>
      <c r="D403" s="5" t="s">
        <v>1116</v>
      </c>
      <c r="E403" s="1" t="s">
        <v>1114</v>
      </c>
      <c r="F403" s="7">
        <v>4</v>
      </c>
      <c r="G403" s="1">
        <v>5</v>
      </c>
      <c r="H403" s="1" t="s">
        <v>8</v>
      </c>
      <c r="I403" s="1" t="s">
        <v>8</v>
      </c>
      <c r="J403" s="1" t="s">
        <v>4</v>
      </c>
      <c r="K403" s="2">
        <v>3.1249996530465899E-5</v>
      </c>
      <c r="L403" s="2">
        <v>1.37301804703176E-5</v>
      </c>
      <c r="M403" s="1">
        <v>2.0856985173184101E-2</v>
      </c>
      <c r="N403" s="1">
        <v>3.38623827532227</v>
      </c>
    </row>
    <row r="404" spans="1:14">
      <c r="A404" s="1">
        <v>403</v>
      </c>
      <c r="B404" s="1" t="s">
        <v>1117</v>
      </c>
      <c r="C404" s="1" t="s">
        <v>1118</v>
      </c>
      <c r="D404" s="5" t="s">
        <v>1119</v>
      </c>
      <c r="E404" s="1" t="s">
        <v>1117</v>
      </c>
      <c r="F404" s="7">
        <v>4</v>
      </c>
      <c r="G404" s="1">
        <v>5</v>
      </c>
      <c r="H404" s="1" t="s">
        <v>8</v>
      </c>
      <c r="I404" s="1" t="s">
        <v>8</v>
      </c>
      <c r="J404" s="1" t="s">
        <v>4</v>
      </c>
      <c r="K404" s="2">
        <v>3.12500083247058E-5</v>
      </c>
      <c r="L404" s="2">
        <v>2.31905315701598E-5</v>
      </c>
      <c r="M404" s="1">
        <v>9.3935725024607494E-3</v>
      </c>
      <c r="N404" s="1">
        <v>3.30454441624072</v>
      </c>
    </row>
    <row r="405" spans="1:14">
      <c r="A405" s="1">
        <v>404</v>
      </c>
      <c r="B405" s="1" t="s">
        <v>1120</v>
      </c>
      <c r="C405" s="1" t="s">
        <v>1121</v>
      </c>
      <c r="D405" s="5" t="s">
        <v>1122</v>
      </c>
      <c r="E405" s="1" t="s">
        <v>1120</v>
      </c>
      <c r="F405" s="7">
        <v>5</v>
      </c>
      <c r="G405" s="1">
        <v>7</v>
      </c>
      <c r="H405" s="1" t="s">
        <v>98</v>
      </c>
      <c r="I405" s="1" t="s">
        <v>98</v>
      </c>
      <c r="J405" s="1" t="s">
        <v>4</v>
      </c>
      <c r="K405" s="2">
        <v>3.1250012112827499E-5</v>
      </c>
      <c r="L405" s="2">
        <v>2.51833249287138E-5</v>
      </c>
      <c r="M405" s="1">
        <v>-8.7962787794282297E-3</v>
      </c>
      <c r="N405" s="1">
        <v>3.5528420632235398</v>
      </c>
    </row>
    <row r="406" spans="1:14">
      <c r="A406" s="1">
        <v>405</v>
      </c>
      <c r="B406" s="1" t="s">
        <v>1123</v>
      </c>
      <c r="C406" s="1" t="s">
        <v>1124</v>
      </c>
      <c r="D406" s="5" t="s">
        <v>28</v>
      </c>
      <c r="E406" s="1" t="s">
        <v>1123</v>
      </c>
      <c r="F406" s="7">
        <v>6</v>
      </c>
      <c r="G406" s="1">
        <v>3</v>
      </c>
      <c r="H406" s="1" t="s">
        <v>8</v>
      </c>
      <c r="I406" s="1" t="s">
        <v>8</v>
      </c>
      <c r="J406" s="1" t="s">
        <v>4</v>
      </c>
      <c r="K406" s="2">
        <v>3.1250014287433399E-5</v>
      </c>
      <c r="L406" s="2">
        <v>1.06259025987076E-5</v>
      </c>
      <c r="M406" s="1">
        <v>1.95081837607702E-3</v>
      </c>
      <c r="N406" s="1">
        <v>3.3510716094509698</v>
      </c>
    </row>
    <row r="407" spans="1:14">
      <c r="A407" s="1">
        <v>406</v>
      </c>
      <c r="B407" s="1" t="s">
        <v>1125</v>
      </c>
      <c r="C407" s="1" t="s">
        <v>1126</v>
      </c>
      <c r="D407" s="5" t="s">
        <v>47</v>
      </c>
      <c r="E407" s="1" t="s">
        <v>1125</v>
      </c>
      <c r="F407" s="7">
        <v>4</v>
      </c>
      <c r="G407" s="1">
        <v>2</v>
      </c>
      <c r="H407" s="1" t="s">
        <v>12</v>
      </c>
      <c r="I407" s="1" t="s">
        <v>12</v>
      </c>
      <c r="J407" s="1" t="s">
        <v>4</v>
      </c>
      <c r="K407" s="2">
        <v>3.12500048613728E-5</v>
      </c>
      <c r="L407" s="2">
        <v>2.96578709563106E-5</v>
      </c>
      <c r="M407" s="1">
        <v>-5.6306935069976296E-3</v>
      </c>
      <c r="N407" s="1">
        <v>3.67694172563573</v>
      </c>
    </row>
    <row r="408" spans="1:14">
      <c r="A408" s="1">
        <v>407</v>
      </c>
      <c r="B408" s="1" t="s">
        <v>1127</v>
      </c>
      <c r="C408" s="1" t="s">
        <v>1128</v>
      </c>
      <c r="D408" s="5" t="s">
        <v>1129</v>
      </c>
      <c r="E408" s="1" t="s">
        <v>1127</v>
      </c>
      <c r="F408" s="7">
        <v>5</v>
      </c>
      <c r="G408" s="1">
        <v>3</v>
      </c>
      <c r="H408" s="1" t="s">
        <v>8</v>
      </c>
      <c r="I408" s="1" t="s">
        <v>8</v>
      </c>
      <c r="J408" s="1" t="s">
        <v>4</v>
      </c>
      <c r="K408" s="2">
        <v>3.1250002837847003E-5</v>
      </c>
      <c r="L408" s="2">
        <v>1.3916156489043899E-6</v>
      </c>
      <c r="M408" s="1">
        <v>3.42715749125517E-2</v>
      </c>
      <c r="N408" s="1">
        <v>3.0936381537213999</v>
      </c>
    </row>
    <row r="409" spans="1:14">
      <c r="A409" s="1">
        <v>408</v>
      </c>
      <c r="B409" s="1" t="s">
        <v>1130</v>
      </c>
      <c r="C409" s="1" t="s">
        <v>1131</v>
      </c>
      <c r="D409" s="5" t="s">
        <v>1132</v>
      </c>
      <c r="E409" s="1" t="s">
        <v>1130</v>
      </c>
      <c r="F409" s="7">
        <v>5</v>
      </c>
      <c r="G409" s="1">
        <v>5</v>
      </c>
      <c r="H409" s="1" t="s">
        <v>8</v>
      </c>
      <c r="I409" s="1" t="s">
        <v>8</v>
      </c>
      <c r="J409" s="1" t="s">
        <v>4</v>
      </c>
      <c r="K409" s="2">
        <v>3.1249999270432302E-5</v>
      </c>
      <c r="L409" s="2">
        <v>3.0900348090738199E-5</v>
      </c>
      <c r="M409" s="1">
        <v>2.8166234709370699E-2</v>
      </c>
      <c r="N409" s="1">
        <v>3.3173813566267398</v>
      </c>
    </row>
    <row r="410" spans="1:14">
      <c r="A410" s="1">
        <v>409</v>
      </c>
      <c r="B410" s="1" t="s">
        <v>1133</v>
      </c>
      <c r="C410" s="1" t="s">
        <v>1134</v>
      </c>
      <c r="D410" s="5" t="s">
        <v>1129</v>
      </c>
      <c r="E410" s="1" t="s">
        <v>1133</v>
      </c>
      <c r="F410" s="7">
        <v>5</v>
      </c>
      <c r="G410" s="1">
        <v>3</v>
      </c>
      <c r="H410" s="1" t="s">
        <v>8</v>
      </c>
      <c r="I410" s="1" t="s">
        <v>8</v>
      </c>
      <c r="J410" s="1" t="s">
        <v>4</v>
      </c>
      <c r="K410" s="2">
        <v>3.1250003138764402E-5</v>
      </c>
      <c r="L410" s="2">
        <v>1.49261836961659E-7</v>
      </c>
      <c r="M410" s="1">
        <v>4.0333503996706099E-2</v>
      </c>
      <c r="N410" s="1">
        <v>2.502480717778</v>
      </c>
    </row>
    <row r="411" spans="1:14">
      <c r="A411" s="1">
        <v>410</v>
      </c>
      <c r="B411" s="1" t="s">
        <v>1135</v>
      </c>
      <c r="C411" s="1" t="s">
        <v>1136</v>
      </c>
      <c r="D411" s="5" t="s">
        <v>1137</v>
      </c>
      <c r="E411" s="1" t="s">
        <v>2346</v>
      </c>
      <c r="F411" s="7">
        <v>4</v>
      </c>
      <c r="G411" s="1">
        <v>4</v>
      </c>
      <c r="H411" s="1" t="s">
        <v>8</v>
      </c>
      <c r="I411" s="1" t="s">
        <v>8</v>
      </c>
      <c r="J411" s="1" t="s">
        <v>180</v>
      </c>
      <c r="K411" s="2">
        <v>3.1250002665560298E-5</v>
      </c>
      <c r="L411" s="2">
        <v>1.1370074316383499E-6</v>
      </c>
      <c r="M411" s="1">
        <v>-1.1800598020244E-2</v>
      </c>
      <c r="N411" s="1">
        <v>3.0321145138003001</v>
      </c>
    </row>
    <row r="412" spans="1:14">
      <c r="A412" s="1">
        <v>411</v>
      </c>
      <c r="B412" s="1" t="s">
        <v>1138</v>
      </c>
      <c r="C412" s="1" t="s">
        <v>1139</v>
      </c>
      <c r="D412" s="5" t="s">
        <v>1140</v>
      </c>
      <c r="E412" s="1" t="s">
        <v>1141</v>
      </c>
      <c r="F412" s="7">
        <v>4</v>
      </c>
      <c r="G412" s="1">
        <v>9</v>
      </c>
      <c r="H412" s="1" t="s">
        <v>8</v>
      </c>
      <c r="I412" s="1" t="s">
        <v>68</v>
      </c>
      <c r="J412" s="1" t="s">
        <v>180</v>
      </c>
      <c r="K412" s="2">
        <v>3.1250008159839199E-5</v>
      </c>
      <c r="L412" s="2">
        <v>4.0519205448921198E-6</v>
      </c>
      <c r="M412" s="1">
        <v>-2.96766594727557E-2</v>
      </c>
      <c r="N412" s="1">
        <v>3.1185651932854301</v>
      </c>
    </row>
    <row r="413" spans="1:14">
      <c r="A413" s="1">
        <v>412</v>
      </c>
      <c r="B413" s="1" t="s">
        <v>1142</v>
      </c>
      <c r="C413" s="1" t="s">
        <v>1143</v>
      </c>
      <c r="D413" s="5" t="s">
        <v>356</v>
      </c>
      <c r="E413" s="1" t="s">
        <v>1142</v>
      </c>
      <c r="F413" s="7">
        <v>5</v>
      </c>
      <c r="G413" s="1">
        <v>3</v>
      </c>
      <c r="H413" s="1" t="s">
        <v>8</v>
      </c>
      <c r="I413" s="1" t="s">
        <v>8</v>
      </c>
      <c r="J413" s="1" t="s">
        <v>4</v>
      </c>
      <c r="K413" s="2">
        <v>3.1250007911172199E-5</v>
      </c>
      <c r="L413" s="2">
        <v>2.2208510867299701E-5</v>
      </c>
      <c r="M413" s="1">
        <v>8.1939870517260208E-3</v>
      </c>
      <c r="N413" s="1">
        <v>3.2064622623539698</v>
      </c>
    </row>
    <row r="414" spans="1:14">
      <c r="A414" s="1">
        <v>413</v>
      </c>
      <c r="B414" s="1" t="s">
        <v>1144</v>
      </c>
      <c r="C414" s="1" t="s">
        <v>1145</v>
      </c>
      <c r="D414" s="5" t="s">
        <v>1146</v>
      </c>
      <c r="E414" s="1" t="s">
        <v>1144</v>
      </c>
      <c r="F414" s="7">
        <v>5</v>
      </c>
      <c r="G414" s="1">
        <v>6</v>
      </c>
      <c r="H414" s="1" t="s">
        <v>8</v>
      </c>
      <c r="I414" s="1" t="s">
        <v>8</v>
      </c>
      <c r="J414" s="1" t="s">
        <v>4</v>
      </c>
      <c r="K414" s="2">
        <v>3.1250004804378399E-5</v>
      </c>
      <c r="L414" s="2">
        <v>2.2324220798970001E-5</v>
      </c>
      <c r="M414" s="1">
        <v>8.0722207459302808E-3</v>
      </c>
      <c r="N414" s="1">
        <v>3.40642353975193</v>
      </c>
    </row>
    <row r="415" spans="1:14">
      <c r="A415" s="1">
        <v>414</v>
      </c>
      <c r="B415" s="1" t="s">
        <v>1147</v>
      </c>
      <c r="C415" s="1" t="s">
        <v>1148</v>
      </c>
      <c r="D415" s="5" t="s">
        <v>1149</v>
      </c>
      <c r="E415" s="1" t="s">
        <v>1147</v>
      </c>
      <c r="F415" s="7">
        <v>5</v>
      </c>
      <c r="G415" s="1">
        <v>4</v>
      </c>
      <c r="H415" s="1" t="s">
        <v>8</v>
      </c>
      <c r="I415" s="1" t="s">
        <v>8</v>
      </c>
      <c r="J415" s="1" t="s">
        <v>4</v>
      </c>
      <c r="K415" s="2">
        <v>3.125000918187E-5</v>
      </c>
      <c r="L415" s="2">
        <v>2.4112960421491901E-5</v>
      </c>
      <c r="M415" s="1">
        <v>4.5160208772969598E-3</v>
      </c>
      <c r="N415" s="1">
        <v>3.3859580496875301</v>
      </c>
    </row>
    <row r="416" spans="1:14">
      <c r="A416" s="1">
        <v>415</v>
      </c>
      <c r="B416" s="1" t="s">
        <v>1150</v>
      </c>
      <c r="C416" s="1" t="s">
        <v>1151</v>
      </c>
      <c r="D416" s="5" t="s">
        <v>64</v>
      </c>
      <c r="E416" s="1" t="s">
        <v>2347</v>
      </c>
      <c r="F416" s="7">
        <v>6</v>
      </c>
      <c r="G416" s="1">
        <v>6</v>
      </c>
      <c r="H416" s="1" t="s">
        <v>8</v>
      </c>
      <c r="I416" s="1" t="s">
        <v>8</v>
      </c>
      <c r="J416" s="1" t="s">
        <v>180</v>
      </c>
      <c r="K416" s="2">
        <v>3.1250004052209401E-5</v>
      </c>
      <c r="L416" s="2">
        <v>3.7867584548055802E-6</v>
      </c>
      <c r="M416" s="1">
        <v>-1.8811183235051401E-2</v>
      </c>
      <c r="N416" s="1">
        <v>3.6968484197155398</v>
      </c>
    </row>
    <row r="417" spans="1:14">
      <c r="A417" s="1">
        <v>416</v>
      </c>
      <c r="B417" s="1" t="s">
        <v>1152</v>
      </c>
      <c r="C417" s="1" t="s">
        <v>1153</v>
      </c>
      <c r="D417" s="5" t="s">
        <v>1116</v>
      </c>
      <c r="E417" s="1" t="s">
        <v>1152</v>
      </c>
      <c r="F417" s="7">
        <v>5</v>
      </c>
      <c r="G417" s="1">
        <v>5</v>
      </c>
      <c r="H417" s="1" t="s">
        <v>8</v>
      </c>
      <c r="I417" s="1" t="s">
        <v>8</v>
      </c>
      <c r="J417" s="1" t="s">
        <v>4</v>
      </c>
      <c r="K417" s="2">
        <v>3.1250006053765901E-5</v>
      </c>
      <c r="L417" s="2">
        <v>6.6367788754836696E-6</v>
      </c>
      <c r="M417" s="1">
        <v>9.5623530044797091E-3</v>
      </c>
      <c r="N417" s="1">
        <v>3.3544222098407999</v>
      </c>
    </row>
    <row r="418" spans="1:14">
      <c r="A418" s="1">
        <v>417</v>
      </c>
      <c r="B418" s="1" t="s">
        <v>1154</v>
      </c>
      <c r="C418" s="1" t="s">
        <v>1155</v>
      </c>
      <c r="D418" s="5" t="s">
        <v>295</v>
      </c>
      <c r="E418" s="1" t="s">
        <v>1154</v>
      </c>
      <c r="F418" s="7">
        <v>5</v>
      </c>
      <c r="G418" s="1">
        <v>5</v>
      </c>
      <c r="H418" s="1" t="s">
        <v>8</v>
      </c>
      <c r="I418" s="1" t="s">
        <v>8</v>
      </c>
      <c r="J418" s="1" t="s">
        <v>4</v>
      </c>
      <c r="K418" s="2">
        <v>3.1250006010763902E-5</v>
      </c>
      <c r="L418" s="2">
        <v>2.47758039724227E-5</v>
      </c>
      <c r="M418" s="1">
        <v>-1.874294342322E-3</v>
      </c>
      <c r="N418" s="1">
        <v>3.4638128077633001</v>
      </c>
    </row>
    <row r="419" spans="1:14">
      <c r="A419" s="1">
        <v>418</v>
      </c>
      <c r="B419" s="1" t="s">
        <v>1156</v>
      </c>
      <c r="C419" s="1" t="s">
        <v>1157</v>
      </c>
      <c r="D419" s="5" t="s">
        <v>1158</v>
      </c>
      <c r="E419" s="1" t="s">
        <v>1156</v>
      </c>
      <c r="F419" s="7">
        <v>5</v>
      </c>
      <c r="G419" s="1">
        <v>3</v>
      </c>
      <c r="H419" s="1" t="s">
        <v>8</v>
      </c>
      <c r="I419" s="1" t="s">
        <v>8</v>
      </c>
      <c r="J419" s="1" t="s">
        <v>4</v>
      </c>
      <c r="K419" s="2">
        <v>3.1250010686012602E-5</v>
      </c>
      <c r="L419" s="2">
        <v>1.23627612862102E-5</v>
      </c>
      <c r="M419" s="1">
        <v>3.1960969720102997E-2</v>
      </c>
      <c r="N419" s="1">
        <v>3.00221536761984</v>
      </c>
    </row>
    <row r="420" spans="1:14">
      <c r="A420" s="1">
        <v>419</v>
      </c>
      <c r="B420" s="1" t="s">
        <v>1159</v>
      </c>
      <c r="C420" s="1" t="s">
        <v>1160</v>
      </c>
      <c r="D420" s="5" t="s">
        <v>1161</v>
      </c>
      <c r="E420" s="1" t="s">
        <v>1159</v>
      </c>
      <c r="F420" s="7">
        <v>5</v>
      </c>
      <c r="G420" s="1">
        <v>4</v>
      </c>
      <c r="H420" s="1" t="s">
        <v>8</v>
      </c>
      <c r="I420" s="1" t="s">
        <v>8</v>
      </c>
      <c r="J420" s="1" t="s">
        <v>4</v>
      </c>
      <c r="K420" s="2">
        <v>3.1250004098139797E-5</v>
      </c>
      <c r="L420" s="2">
        <v>1.7051667269112299E-5</v>
      </c>
      <c r="M420" s="1">
        <v>1.53889047576853E-2</v>
      </c>
      <c r="N420" s="1">
        <v>3.1761305173504</v>
      </c>
    </row>
    <row r="421" spans="1:14">
      <c r="A421" s="1">
        <v>420</v>
      </c>
      <c r="B421" s="1" t="s">
        <v>1162</v>
      </c>
      <c r="C421" s="1" t="s">
        <v>1163</v>
      </c>
      <c r="D421" s="5" t="s">
        <v>289</v>
      </c>
      <c r="E421" s="1" t="s">
        <v>1162</v>
      </c>
      <c r="F421" s="7">
        <v>5</v>
      </c>
      <c r="G421" s="1">
        <v>4</v>
      </c>
      <c r="H421" s="1" t="s">
        <v>8</v>
      </c>
      <c r="I421" s="1" t="s">
        <v>8</v>
      </c>
      <c r="J421" s="1" t="s">
        <v>4</v>
      </c>
      <c r="K421" s="2">
        <v>3.1250004689782702E-5</v>
      </c>
      <c r="L421" s="2">
        <v>5.99657824750675E-6</v>
      </c>
      <c r="M421" s="1">
        <v>4.8434668426523303E-2</v>
      </c>
      <c r="N421" s="1">
        <v>2.9532472094762499</v>
      </c>
    </row>
    <row r="422" spans="1:14">
      <c r="A422" s="1">
        <v>421</v>
      </c>
      <c r="B422" s="1" t="s">
        <v>1164</v>
      </c>
      <c r="C422" s="1" t="s">
        <v>1165</v>
      </c>
      <c r="D422" s="5" t="s">
        <v>1166</v>
      </c>
      <c r="E422" s="1" t="s">
        <v>1164</v>
      </c>
      <c r="F422" s="7">
        <v>5</v>
      </c>
      <c r="G422" s="1">
        <v>5</v>
      </c>
      <c r="H422" s="1" t="s">
        <v>8</v>
      </c>
      <c r="I422" s="1" t="s">
        <v>8</v>
      </c>
      <c r="J422" s="1" t="s">
        <v>4</v>
      </c>
      <c r="K422" s="2">
        <v>3.1250018494486901E-5</v>
      </c>
      <c r="L422" s="2">
        <v>2.2825809076937601E-5</v>
      </c>
      <c r="M422" s="1">
        <v>1.9122927542678501E-2</v>
      </c>
      <c r="N422" s="1">
        <v>3.5679262090100101</v>
      </c>
    </row>
    <row r="423" spans="1:14">
      <c r="A423" s="1">
        <v>422</v>
      </c>
      <c r="B423" s="1" t="s">
        <v>1167</v>
      </c>
      <c r="C423" s="1" t="s">
        <v>1168</v>
      </c>
      <c r="D423" s="5" t="s">
        <v>1169</v>
      </c>
      <c r="E423" s="1" t="s">
        <v>1167</v>
      </c>
      <c r="F423" s="7">
        <v>5</v>
      </c>
      <c r="G423" s="1">
        <v>4</v>
      </c>
      <c r="H423" s="1" t="s">
        <v>8</v>
      </c>
      <c r="I423" s="1" t="s">
        <v>8</v>
      </c>
      <c r="J423" s="1" t="s">
        <v>4</v>
      </c>
      <c r="K423" s="2">
        <v>3.1250010761637303E-5</v>
      </c>
      <c r="L423" s="2">
        <v>2.65758030330493E-5</v>
      </c>
      <c r="M423" s="1">
        <v>2.3630232992246599E-3</v>
      </c>
      <c r="N423" s="1">
        <v>3.5194571259042302</v>
      </c>
    </row>
    <row r="424" spans="1:14">
      <c r="A424" s="1">
        <v>423</v>
      </c>
      <c r="B424" s="1" t="s">
        <v>1170</v>
      </c>
      <c r="C424" s="1" t="s">
        <v>1171</v>
      </c>
      <c r="D424" s="5" t="s">
        <v>1172</v>
      </c>
      <c r="E424" s="1" t="s">
        <v>1170</v>
      </c>
      <c r="F424" s="7">
        <v>5</v>
      </c>
      <c r="G424" s="1">
        <v>5</v>
      </c>
      <c r="H424" s="1" t="s">
        <v>8</v>
      </c>
      <c r="I424" s="1" t="s">
        <v>8</v>
      </c>
      <c r="J424" s="1" t="s">
        <v>4</v>
      </c>
      <c r="K424" s="2">
        <v>3.1250005255627402E-5</v>
      </c>
      <c r="L424" s="2">
        <v>3.1184204500931398E-5</v>
      </c>
      <c r="M424" s="1">
        <v>-2.3334064268993801E-3</v>
      </c>
      <c r="N424" s="1">
        <v>2.5106731067833401</v>
      </c>
    </row>
    <row r="425" spans="1:14">
      <c r="A425" s="1">
        <v>424</v>
      </c>
      <c r="B425" s="1" t="s">
        <v>1173</v>
      </c>
      <c r="C425" s="1" t="s">
        <v>1174</v>
      </c>
      <c r="D425" s="5" t="s">
        <v>1175</v>
      </c>
      <c r="E425" s="1" t="s">
        <v>1173</v>
      </c>
      <c r="F425" s="7">
        <v>6</v>
      </c>
      <c r="G425" s="1">
        <v>6</v>
      </c>
      <c r="H425" s="1" t="s">
        <v>8</v>
      </c>
      <c r="I425" s="1" t="s">
        <v>8</v>
      </c>
      <c r="J425" s="1" t="s">
        <v>4</v>
      </c>
      <c r="K425" s="2">
        <v>3.1250000479773597E-5</v>
      </c>
      <c r="L425" s="2">
        <v>3.1197265560111803E-5</v>
      </c>
      <c r="M425" s="1">
        <v>-2.6769189028641401E-3</v>
      </c>
      <c r="N425" s="1">
        <v>2.8630073029327301</v>
      </c>
    </row>
    <row r="426" spans="1:14">
      <c r="A426" s="1">
        <v>425</v>
      </c>
      <c r="B426" s="1" t="s">
        <v>1176</v>
      </c>
      <c r="C426" s="1" t="s">
        <v>1177</v>
      </c>
      <c r="D426" s="5" t="s">
        <v>156</v>
      </c>
      <c r="E426" s="1" t="s">
        <v>1176</v>
      </c>
      <c r="F426" s="7">
        <v>5</v>
      </c>
      <c r="G426" s="1">
        <v>4</v>
      </c>
      <c r="H426" s="1" t="s">
        <v>8</v>
      </c>
      <c r="I426" s="1" t="s">
        <v>8</v>
      </c>
      <c r="J426" s="1" t="s">
        <v>4</v>
      </c>
      <c r="K426" s="2">
        <v>3.1249986689388497E-5</v>
      </c>
      <c r="L426" s="2">
        <v>3.1141761069203799E-5</v>
      </c>
      <c r="M426" s="1">
        <v>-1.46960187762203E-2</v>
      </c>
      <c r="N426" s="1">
        <v>2.9529961529562598</v>
      </c>
    </row>
    <row r="427" spans="1:14">
      <c r="A427" s="1">
        <v>426</v>
      </c>
      <c r="B427" s="1" t="s">
        <v>1178</v>
      </c>
      <c r="C427" s="1" t="s">
        <v>1179</v>
      </c>
      <c r="D427" s="5" t="s">
        <v>1180</v>
      </c>
      <c r="E427" s="1" t="s">
        <v>1178</v>
      </c>
      <c r="F427" s="7">
        <v>4</v>
      </c>
      <c r="G427" s="1">
        <v>8</v>
      </c>
      <c r="H427" s="1" t="s">
        <v>98</v>
      </c>
      <c r="I427" s="1" t="s">
        <v>98</v>
      </c>
      <c r="J427" s="1" t="s">
        <v>4</v>
      </c>
      <c r="K427" s="2">
        <v>3.1250004265968201E-5</v>
      </c>
      <c r="L427" s="2">
        <v>1.1122665941278301E-5</v>
      </c>
      <c r="M427" s="1">
        <v>-1.1833594494177599E-2</v>
      </c>
      <c r="N427" s="1">
        <v>3.3559718788189801</v>
      </c>
    </row>
    <row r="428" spans="1:14">
      <c r="A428" s="1">
        <v>427</v>
      </c>
      <c r="B428" s="1" t="s">
        <v>1181</v>
      </c>
      <c r="C428" s="1" t="s">
        <v>1182</v>
      </c>
      <c r="D428" s="5" t="s">
        <v>600</v>
      </c>
      <c r="E428" s="1" t="s">
        <v>1181</v>
      </c>
      <c r="F428" s="7">
        <v>4</v>
      </c>
      <c r="G428" s="1">
        <v>5</v>
      </c>
      <c r="H428" s="1" t="s">
        <v>8</v>
      </c>
      <c r="I428" s="1" t="s">
        <v>8</v>
      </c>
      <c r="J428" s="1" t="s">
        <v>4</v>
      </c>
      <c r="K428" s="2">
        <v>3.1250010536474498E-5</v>
      </c>
      <c r="L428" s="2">
        <v>4.6959099419398599E-6</v>
      </c>
      <c r="M428" s="1">
        <v>4.2351956214830002E-3</v>
      </c>
      <c r="N428" s="1">
        <v>3.6036614734510901</v>
      </c>
    </row>
    <row r="429" spans="1:14">
      <c r="A429" s="1">
        <v>428</v>
      </c>
      <c r="B429" s="1" t="s">
        <v>1183</v>
      </c>
      <c r="C429" s="1" t="s">
        <v>1184</v>
      </c>
      <c r="D429" s="5" t="s">
        <v>1185</v>
      </c>
      <c r="E429" s="1" t="s">
        <v>1183</v>
      </c>
      <c r="F429" s="7">
        <v>6</v>
      </c>
      <c r="G429" s="1">
        <v>3</v>
      </c>
      <c r="H429" s="1" t="s">
        <v>68</v>
      </c>
      <c r="I429" s="1" t="s">
        <v>68</v>
      </c>
      <c r="J429" s="1" t="s">
        <v>4</v>
      </c>
      <c r="K429" s="2">
        <v>3.12500218257556E-5</v>
      </c>
      <c r="L429" s="2">
        <v>2.90482067456E-5</v>
      </c>
      <c r="M429" s="1">
        <v>-1.96393997976755E-2</v>
      </c>
      <c r="N429" s="1">
        <v>3.5223746873053901</v>
      </c>
    </row>
    <row r="430" spans="1:14">
      <c r="A430" s="1">
        <v>429</v>
      </c>
      <c r="B430" s="1" t="s">
        <v>1186</v>
      </c>
      <c r="C430" s="1" t="s">
        <v>1187</v>
      </c>
      <c r="D430" s="5" t="s">
        <v>1188</v>
      </c>
      <c r="E430" s="1" t="s">
        <v>1186</v>
      </c>
      <c r="F430" s="7">
        <v>7</v>
      </c>
      <c r="G430" s="1">
        <v>4</v>
      </c>
      <c r="H430" s="1" t="s">
        <v>8</v>
      </c>
      <c r="I430" s="1" t="s">
        <v>8</v>
      </c>
      <c r="J430" s="1" t="s">
        <v>4</v>
      </c>
      <c r="K430" s="2">
        <v>3.1250015455689897E-5</v>
      </c>
      <c r="L430" s="2">
        <v>2.8013269502506999E-5</v>
      </c>
      <c r="M430" s="1">
        <v>-3.86737404477344E-3</v>
      </c>
      <c r="N430" s="1">
        <v>3.7377738271688998</v>
      </c>
    </row>
    <row r="431" spans="1:14">
      <c r="A431" s="1">
        <v>430</v>
      </c>
      <c r="B431" s="1" t="s">
        <v>1189</v>
      </c>
      <c r="C431" s="1" t="s">
        <v>1190</v>
      </c>
      <c r="D431" s="5" t="s">
        <v>1191</v>
      </c>
      <c r="E431" s="1" t="s">
        <v>1189</v>
      </c>
      <c r="F431" s="7">
        <v>5</v>
      </c>
      <c r="G431" s="1">
        <v>3</v>
      </c>
      <c r="H431" s="1" t="s">
        <v>98</v>
      </c>
      <c r="I431" s="1" t="s">
        <v>98</v>
      </c>
      <c r="J431" s="1" t="s">
        <v>4</v>
      </c>
      <c r="K431" s="2">
        <v>3.1249999506072301E-5</v>
      </c>
      <c r="L431" s="2">
        <v>2.4938792547252501E-5</v>
      </c>
      <c r="M431" s="1">
        <v>1.2646183325728E-2</v>
      </c>
      <c r="N431" s="1">
        <v>3.69787344598755</v>
      </c>
    </row>
    <row r="432" spans="1:14">
      <c r="A432" s="1">
        <v>431</v>
      </c>
      <c r="B432" s="1" t="s">
        <v>1192</v>
      </c>
      <c r="C432" s="1" t="s">
        <v>1193</v>
      </c>
      <c r="D432" s="5" t="s">
        <v>1194</v>
      </c>
      <c r="E432" s="1" t="s">
        <v>1192</v>
      </c>
      <c r="F432" s="7">
        <v>4</v>
      </c>
      <c r="G432" s="1">
        <v>3</v>
      </c>
      <c r="H432" s="1" t="s">
        <v>8</v>
      </c>
      <c r="I432" s="1" t="s">
        <v>8</v>
      </c>
      <c r="J432" s="1" t="s">
        <v>4</v>
      </c>
      <c r="K432" s="2">
        <v>3.1250012462834903E-5</v>
      </c>
      <c r="L432" s="2">
        <v>2.77674923875691E-5</v>
      </c>
      <c r="M432" s="1">
        <v>-2.5808516965284401E-2</v>
      </c>
      <c r="N432" s="1">
        <v>3.65188200248283</v>
      </c>
    </row>
    <row r="433" spans="1:14">
      <c r="A433" s="1">
        <v>432</v>
      </c>
      <c r="B433" s="1" t="s">
        <v>1195</v>
      </c>
      <c r="C433" s="1" t="s">
        <v>1196</v>
      </c>
      <c r="D433" s="5" t="s">
        <v>1197</v>
      </c>
      <c r="E433" s="1" t="s">
        <v>1195</v>
      </c>
      <c r="F433" s="7">
        <v>6</v>
      </c>
      <c r="G433" s="1">
        <v>8</v>
      </c>
      <c r="H433" s="1" t="s">
        <v>8</v>
      </c>
      <c r="I433" s="1" t="s">
        <v>8</v>
      </c>
      <c r="J433" s="1" t="s">
        <v>4</v>
      </c>
      <c r="K433" s="2">
        <v>3.12500117892106E-5</v>
      </c>
      <c r="L433" s="2">
        <v>3.02180963600179E-5</v>
      </c>
      <c r="M433" s="1">
        <v>-3.1875765132806301E-2</v>
      </c>
      <c r="N433" s="1">
        <v>3.1267577580340702</v>
      </c>
    </row>
    <row r="434" spans="1:14">
      <c r="A434" s="1">
        <v>433</v>
      </c>
      <c r="B434" s="1" t="s">
        <v>1198</v>
      </c>
      <c r="C434" s="1" t="s">
        <v>1199</v>
      </c>
      <c r="D434" s="5" t="s">
        <v>1200</v>
      </c>
      <c r="E434" s="1" t="s">
        <v>1198</v>
      </c>
      <c r="F434" s="7">
        <v>8</v>
      </c>
      <c r="G434" s="1">
        <v>6</v>
      </c>
      <c r="H434" s="1" t="s">
        <v>8</v>
      </c>
      <c r="I434" s="1" t="s">
        <v>8</v>
      </c>
      <c r="J434" s="1" t="s">
        <v>4</v>
      </c>
      <c r="K434" s="2">
        <v>3.1250001727632598E-5</v>
      </c>
      <c r="L434" s="2">
        <v>2.3111818229240699E-5</v>
      </c>
      <c r="M434" s="1">
        <v>-3.1231089814411899E-3</v>
      </c>
      <c r="N434" s="1">
        <v>3.3564956012266598</v>
      </c>
    </row>
    <row r="435" spans="1:14">
      <c r="A435" s="1">
        <v>434</v>
      </c>
      <c r="B435" s="1" t="s">
        <v>1201</v>
      </c>
      <c r="C435" s="1" t="s">
        <v>1202</v>
      </c>
      <c r="D435" s="5" t="s">
        <v>413</v>
      </c>
      <c r="E435" s="1" t="s">
        <v>1201</v>
      </c>
      <c r="F435" s="7">
        <v>8</v>
      </c>
      <c r="G435" s="1">
        <v>5</v>
      </c>
      <c r="H435" s="1" t="s">
        <v>8</v>
      </c>
      <c r="I435" s="1" t="s">
        <v>8</v>
      </c>
      <c r="J435" s="1" t="s">
        <v>4</v>
      </c>
      <c r="K435" s="2">
        <v>3.1250000626724103E-5</v>
      </c>
      <c r="L435" s="2">
        <v>2.7390767281022701E-5</v>
      </c>
      <c r="M435" s="1">
        <v>1.51667556274901E-2</v>
      </c>
      <c r="N435" s="1">
        <v>3.6347110709774499</v>
      </c>
    </row>
    <row r="436" spans="1:14">
      <c r="A436" s="1">
        <v>435</v>
      </c>
      <c r="B436" s="1" t="s">
        <v>1203</v>
      </c>
      <c r="C436" s="1" t="s">
        <v>1204</v>
      </c>
      <c r="D436" s="5" t="s">
        <v>104</v>
      </c>
      <c r="E436" s="1" t="s">
        <v>1203</v>
      </c>
      <c r="F436" s="7">
        <v>5</v>
      </c>
      <c r="G436" s="1">
        <v>3</v>
      </c>
      <c r="H436" s="1" t="s">
        <v>8</v>
      </c>
      <c r="I436" s="1" t="s">
        <v>8</v>
      </c>
      <c r="J436" s="1" t="s">
        <v>4</v>
      </c>
      <c r="K436" s="2">
        <v>3.1250009100295598E-5</v>
      </c>
      <c r="L436" s="2">
        <v>2.6822002698876101E-5</v>
      </c>
      <c r="M436" s="1">
        <v>2.3490954455276301E-2</v>
      </c>
      <c r="N436" s="1">
        <v>3.5337647755443302</v>
      </c>
    </row>
    <row r="437" spans="1:14">
      <c r="A437" s="1">
        <v>436</v>
      </c>
      <c r="B437" s="1" t="s">
        <v>1205</v>
      </c>
      <c r="C437" s="1" t="s">
        <v>1206</v>
      </c>
      <c r="D437" s="5" t="s">
        <v>976</v>
      </c>
      <c r="E437" s="1" t="s">
        <v>1205</v>
      </c>
      <c r="F437" s="7">
        <v>5</v>
      </c>
      <c r="G437" s="1">
        <v>8</v>
      </c>
      <c r="H437" s="1" t="s">
        <v>8</v>
      </c>
      <c r="I437" s="1" t="s">
        <v>8</v>
      </c>
      <c r="J437" s="1" t="s">
        <v>4</v>
      </c>
      <c r="K437" s="2">
        <v>3.1250003763316502E-5</v>
      </c>
      <c r="L437" s="2">
        <v>2.07333627752161E-5</v>
      </c>
      <c r="M437" s="1">
        <v>-5.2548506326388598E-3</v>
      </c>
      <c r="N437" s="1">
        <v>2.8303341224863701</v>
      </c>
    </row>
    <row r="438" spans="1:14">
      <c r="A438" s="1">
        <v>437</v>
      </c>
      <c r="B438" s="1" t="s">
        <v>1207</v>
      </c>
      <c r="C438" s="1" t="s">
        <v>1208</v>
      </c>
      <c r="D438" s="5" t="s">
        <v>168</v>
      </c>
      <c r="E438" s="1" t="s">
        <v>1207</v>
      </c>
      <c r="F438" s="7">
        <v>7</v>
      </c>
      <c r="G438" s="1">
        <v>4</v>
      </c>
      <c r="H438" s="1" t="s">
        <v>3</v>
      </c>
      <c r="I438" s="1" t="s">
        <v>3</v>
      </c>
      <c r="J438" s="1" t="s">
        <v>4</v>
      </c>
      <c r="K438" s="2">
        <v>3.1250007373242798E-5</v>
      </c>
      <c r="L438" s="2">
        <v>5.9387974995472698E-6</v>
      </c>
      <c r="M438" s="1">
        <v>-7.6281224319965004E-3</v>
      </c>
      <c r="N438" s="1">
        <v>3.7212677332842299</v>
      </c>
    </row>
    <row r="439" spans="1:14">
      <c r="A439" s="1">
        <v>438</v>
      </c>
      <c r="B439" s="1" t="s">
        <v>1209</v>
      </c>
      <c r="C439" s="1" t="s">
        <v>1210</v>
      </c>
      <c r="D439" s="5" t="s">
        <v>94</v>
      </c>
      <c r="E439" s="1" t="s">
        <v>1209</v>
      </c>
      <c r="F439" s="7">
        <v>7</v>
      </c>
      <c r="G439" s="1">
        <v>4</v>
      </c>
      <c r="H439" s="1" t="s">
        <v>8</v>
      </c>
      <c r="I439" s="1" t="s">
        <v>8</v>
      </c>
      <c r="J439" s="1" t="s">
        <v>4</v>
      </c>
      <c r="K439" s="2">
        <v>3.1250009947471897E-5</v>
      </c>
      <c r="L439" s="2">
        <v>2.8494253538268398E-5</v>
      </c>
      <c r="M439" s="1">
        <v>1.1149393221077501E-2</v>
      </c>
      <c r="N439" s="1">
        <v>3.6708840781558498</v>
      </c>
    </row>
    <row r="440" spans="1:14">
      <c r="A440" s="1">
        <v>439</v>
      </c>
      <c r="B440" s="1" t="s">
        <v>1211</v>
      </c>
      <c r="C440" s="1" t="s">
        <v>1212</v>
      </c>
      <c r="D440" s="5" t="s">
        <v>1213</v>
      </c>
      <c r="E440" s="1" t="s">
        <v>1211</v>
      </c>
      <c r="F440" s="7">
        <v>6</v>
      </c>
      <c r="G440" s="1">
        <v>4</v>
      </c>
      <c r="H440" s="1" t="s">
        <v>8</v>
      </c>
      <c r="I440" s="1" t="s">
        <v>8</v>
      </c>
      <c r="J440" s="1" t="s">
        <v>4</v>
      </c>
      <c r="K440" s="2">
        <v>3.12500002237965E-5</v>
      </c>
      <c r="L440" s="2">
        <v>3.09858893795886E-5</v>
      </c>
      <c r="M440" s="1">
        <v>-1.61705447259805E-2</v>
      </c>
      <c r="N440" s="1">
        <v>2.93197397366044</v>
      </c>
    </row>
    <row r="441" spans="1:14">
      <c r="A441" s="1">
        <v>440</v>
      </c>
      <c r="B441" s="1" t="s">
        <v>1214</v>
      </c>
      <c r="C441" s="1" t="s">
        <v>1215</v>
      </c>
      <c r="D441" s="5" t="s">
        <v>919</v>
      </c>
      <c r="E441" s="1" t="s">
        <v>1214</v>
      </c>
      <c r="F441" s="7">
        <v>4</v>
      </c>
      <c r="G441" s="1">
        <v>4</v>
      </c>
      <c r="H441" s="1" t="s">
        <v>8</v>
      </c>
      <c r="I441" s="1" t="s">
        <v>8</v>
      </c>
      <c r="J441" s="1" t="s">
        <v>4</v>
      </c>
      <c r="K441" s="2">
        <v>3.1250011180130702E-5</v>
      </c>
      <c r="L441" s="2">
        <v>1.1448110030231099E-5</v>
      </c>
      <c r="M441" s="1">
        <v>1.8830558369074799E-2</v>
      </c>
      <c r="N441" s="1">
        <v>3.3282305015943998</v>
      </c>
    </row>
    <row r="442" spans="1:14">
      <c r="A442" s="1">
        <v>441</v>
      </c>
      <c r="B442" s="1" t="s">
        <v>1216</v>
      </c>
      <c r="C442" s="1" t="s">
        <v>1217</v>
      </c>
      <c r="D442" s="5" t="s">
        <v>407</v>
      </c>
      <c r="E442" s="1" t="s">
        <v>1216</v>
      </c>
      <c r="F442" s="7">
        <v>5</v>
      </c>
      <c r="G442" s="1">
        <v>4</v>
      </c>
      <c r="H442" s="1" t="s">
        <v>8</v>
      </c>
      <c r="I442" s="1" t="s">
        <v>8</v>
      </c>
      <c r="J442" s="1" t="s">
        <v>4</v>
      </c>
      <c r="K442" s="2">
        <v>3.1250010390459903E-5</v>
      </c>
      <c r="L442" s="2">
        <v>2.0088064026001099E-5</v>
      </c>
      <c r="M442" s="1">
        <v>-6.2559307945662104E-3</v>
      </c>
      <c r="N442" s="1">
        <v>3.5685220294411901</v>
      </c>
    </row>
    <row r="443" spans="1:14">
      <c r="A443" s="1">
        <v>442</v>
      </c>
      <c r="B443" s="1" t="s">
        <v>1218</v>
      </c>
      <c r="C443" s="1" t="s">
        <v>1219</v>
      </c>
      <c r="D443" s="5" t="s">
        <v>873</v>
      </c>
      <c r="E443" s="1" t="s">
        <v>1218</v>
      </c>
      <c r="F443" s="7">
        <v>5</v>
      </c>
      <c r="G443" s="1">
        <v>4</v>
      </c>
      <c r="H443" s="1" t="s">
        <v>8</v>
      </c>
      <c r="I443" s="1" t="s">
        <v>8</v>
      </c>
      <c r="J443" s="1" t="s">
        <v>4</v>
      </c>
      <c r="K443" s="2">
        <v>3.1249997962418397E-5</v>
      </c>
      <c r="L443" s="2">
        <v>2.59318056838004E-5</v>
      </c>
      <c r="M443" s="1">
        <v>-9.1584468192991101E-3</v>
      </c>
      <c r="N443" s="1">
        <v>3.6602037700067598</v>
      </c>
    </row>
    <row r="444" spans="1:14">
      <c r="A444" s="1">
        <v>443</v>
      </c>
      <c r="B444" s="1" t="s">
        <v>1220</v>
      </c>
      <c r="C444" s="1" t="s">
        <v>1221</v>
      </c>
      <c r="D444" s="5" t="s">
        <v>855</v>
      </c>
      <c r="E444" s="1" t="s">
        <v>1220</v>
      </c>
      <c r="F444" s="7">
        <v>6</v>
      </c>
      <c r="G444" s="1">
        <v>8</v>
      </c>
      <c r="H444" s="1" t="s">
        <v>3</v>
      </c>
      <c r="I444" s="1" t="s">
        <v>3</v>
      </c>
      <c r="J444" s="1" t="s">
        <v>4</v>
      </c>
      <c r="K444" s="2">
        <v>3.1250008745319499E-5</v>
      </c>
      <c r="L444" s="2">
        <v>2.6338647210944801E-5</v>
      </c>
      <c r="M444" s="1">
        <v>-5.1108997627263598E-2</v>
      </c>
      <c r="N444" s="1">
        <v>3.7867515646810102</v>
      </c>
    </row>
    <row r="445" spans="1:14">
      <c r="A445" s="1">
        <v>444</v>
      </c>
      <c r="B445" s="1" t="s">
        <v>1222</v>
      </c>
      <c r="C445" s="1" t="s">
        <v>1223</v>
      </c>
      <c r="D445" s="5" t="s">
        <v>47</v>
      </c>
      <c r="E445" s="1" t="s">
        <v>1222</v>
      </c>
      <c r="F445" s="7">
        <v>7</v>
      </c>
      <c r="G445" s="1">
        <v>2</v>
      </c>
      <c r="H445" s="1" t="s">
        <v>12</v>
      </c>
      <c r="I445" s="1" t="s">
        <v>12</v>
      </c>
      <c r="J445" s="1" t="s">
        <v>4</v>
      </c>
      <c r="K445" s="2">
        <v>3.1250023658471599E-5</v>
      </c>
      <c r="L445" s="2">
        <v>2.8927333385626999E-5</v>
      </c>
      <c r="M445" s="1">
        <v>4.0214843869108502E-3</v>
      </c>
      <c r="N445" s="1">
        <v>3.7030094981737198</v>
      </c>
    </row>
    <row r="446" spans="1:14">
      <c r="A446" s="1">
        <v>445</v>
      </c>
      <c r="B446" s="1" t="s">
        <v>1224</v>
      </c>
      <c r="C446" s="1" t="s">
        <v>1225</v>
      </c>
      <c r="D446" s="5" t="s">
        <v>1226</v>
      </c>
      <c r="E446" s="1" t="s">
        <v>1224</v>
      </c>
      <c r="F446" s="7">
        <v>6</v>
      </c>
      <c r="G446" s="1">
        <v>5</v>
      </c>
      <c r="H446" s="1" t="s">
        <v>8</v>
      </c>
      <c r="I446" s="1" t="s">
        <v>8</v>
      </c>
      <c r="J446" s="1" t="s">
        <v>4</v>
      </c>
      <c r="K446" s="2">
        <v>3.1250007100069401E-5</v>
      </c>
      <c r="L446" s="2">
        <v>2.08819913088767E-5</v>
      </c>
      <c r="M446" s="1">
        <v>-2.55240919203885E-2</v>
      </c>
      <c r="N446" s="1">
        <v>2.84082834942462</v>
      </c>
    </row>
    <row r="447" spans="1:14">
      <c r="A447" s="1">
        <v>446</v>
      </c>
      <c r="B447" s="1" t="s">
        <v>1227</v>
      </c>
      <c r="C447" s="1" t="s">
        <v>1228</v>
      </c>
      <c r="D447" s="5" t="s">
        <v>1229</v>
      </c>
      <c r="E447" s="1" t="s">
        <v>1227</v>
      </c>
      <c r="F447" s="7">
        <v>4</v>
      </c>
      <c r="G447" s="1">
        <v>5</v>
      </c>
      <c r="H447" s="1" t="s">
        <v>68</v>
      </c>
      <c r="I447" s="1" t="s">
        <v>68</v>
      </c>
      <c r="J447" s="1" t="s">
        <v>4</v>
      </c>
      <c r="K447" s="2">
        <v>3.12500163124524E-5</v>
      </c>
      <c r="L447" s="2">
        <v>3.0068205512113801E-5</v>
      </c>
      <c r="M447" s="1">
        <v>-8.3107843203293896E-3</v>
      </c>
      <c r="N447" s="1">
        <v>2.44384952771096</v>
      </c>
    </row>
    <row r="448" spans="1:14">
      <c r="A448" s="1">
        <v>447</v>
      </c>
      <c r="B448" s="1" t="s">
        <v>1230</v>
      </c>
      <c r="C448" s="1" t="s">
        <v>1231</v>
      </c>
      <c r="D448" s="5" t="s">
        <v>1232</v>
      </c>
      <c r="E448" s="1" t="s">
        <v>1230</v>
      </c>
      <c r="F448" s="7">
        <v>5</v>
      </c>
      <c r="G448" s="1">
        <v>5</v>
      </c>
      <c r="H448" s="1" t="s">
        <v>8</v>
      </c>
      <c r="I448" s="1" t="s">
        <v>8</v>
      </c>
      <c r="J448" s="1" t="s">
        <v>4</v>
      </c>
      <c r="K448" s="2">
        <v>3.1250008853073697E-5</v>
      </c>
      <c r="L448" s="2">
        <v>2.99231876001345E-6</v>
      </c>
      <c r="M448" s="1">
        <v>-1.55788727210577E-2</v>
      </c>
      <c r="N448" s="1">
        <v>3.53540146401751</v>
      </c>
    </row>
    <row r="449" spans="1:14">
      <c r="A449" s="1">
        <v>448</v>
      </c>
      <c r="B449" s="1" t="s">
        <v>1233</v>
      </c>
      <c r="C449" s="1" t="s">
        <v>1234</v>
      </c>
      <c r="D449" s="5" t="s">
        <v>1235</v>
      </c>
      <c r="E449" s="1" t="s">
        <v>1233</v>
      </c>
      <c r="F449" s="7">
        <v>7</v>
      </c>
      <c r="G449" s="1">
        <v>7</v>
      </c>
      <c r="H449" s="1" t="s">
        <v>98</v>
      </c>
      <c r="I449" s="1" t="s">
        <v>98</v>
      </c>
      <c r="J449" s="1" t="s">
        <v>4</v>
      </c>
      <c r="K449" s="2">
        <v>3.12499987250484E-5</v>
      </c>
      <c r="L449" s="2">
        <v>3.0649372434983499E-5</v>
      </c>
      <c r="M449" s="1">
        <v>-2.7055756744744901E-2</v>
      </c>
      <c r="N449" s="1">
        <v>3.8057732309160999</v>
      </c>
    </row>
    <row r="450" spans="1:14">
      <c r="A450" s="1">
        <v>449</v>
      </c>
      <c r="B450" s="1" t="s">
        <v>1236</v>
      </c>
      <c r="C450" s="1" t="s">
        <v>1237</v>
      </c>
      <c r="D450" s="5" t="s">
        <v>1238</v>
      </c>
      <c r="E450" s="1" t="s">
        <v>1236</v>
      </c>
      <c r="F450" s="7">
        <v>6</v>
      </c>
      <c r="G450" s="1">
        <v>7</v>
      </c>
      <c r="H450" s="1" t="s">
        <v>8</v>
      </c>
      <c r="I450" s="1" t="s">
        <v>8</v>
      </c>
      <c r="J450" s="1" t="s">
        <v>4</v>
      </c>
      <c r="K450" s="2">
        <v>3.1249999423420201E-5</v>
      </c>
      <c r="L450" s="2">
        <v>2.9779046563163401E-5</v>
      </c>
      <c r="M450" s="1">
        <v>-4.0223608276690401E-2</v>
      </c>
      <c r="N450" s="1">
        <v>3.6805815435397</v>
      </c>
    </row>
    <row r="451" spans="1:14">
      <c r="A451" s="1">
        <v>450</v>
      </c>
      <c r="B451" s="1" t="s">
        <v>1239</v>
      </c>
      <c r="C451" s="1" t="s">
        <v>1240</v>
      </c>
      <c r="D451" s="5" t="s">
        <v>1161</v>
      </c>
      <c r="E451" s="1" t="s">
        <v>1239</v>
      </c>
      <c r="F451" s="7">
        <v>5</v>
      </c>
      <c r="G451" s="1">
        <v>4</v>
      </c>
      <c r="H451" s="1" t="s">
        <v>8</v>
      </c>
      <c r="I451" s="1" t="s">
        <v>8</v>
      </c>
      <c r="J451" s="1" t="s">
        <v>4</v>
      </c>
      <c r="K451" s="2">
        <v>3.1250011199303902E-5</v>
      </c>
      <c r="L451" s="2">
        <v>2.5083725569696502E-5</v>
      </c>
      <c r="M451" s="1">
        <v>-1.6572957924765298E-2</v>
      </c>
      <c r="N451" s="1">
        <v>3.6010382802820402</v>
      </c>
    </row>
    <row r="452" spans="1:14">
      <c r="A452" s="1">
        <v>451</v>
      </c>
      <c r="B452" s="1" t="s">
        <v>1241</v>
      </c>
      <c r="C452" s="1" t="s">
        <v>1242</v>
      </c>
      <c r="D452" s="5" t="s">
        <v>1243</v>
      </c>
      <c r="E452" s="1" t="s">
        <v>1241</v>
      </c>
      <c r="F452" s="7">
        <v>4</v>
      </c>
      <c r="G452" s="1">
        <v>8</v>
      </c>
      <c r="H452" s="1" t="s">
        <v>8</v>
      </c>
      <c r="I452" s="1" t="s">
        <v>8</v>
      </c>
      <c r="J452" s="1" t="s">
        <v>4</v>
      </c>
      <c r="K452" s="2">
        <v>3.1250002786687297E-5</v>
      </c>
      <c r="L452" s="2">
        <v>3.10126555715301E-5</v>
      </c>
      <c r="M452" s="1">
        <v>7.49279702295524E-3</v>
      </c>
      <c r="N452" s="1">
        <v>2.9011668049135699</v>
      </c>
    </row>
    <row r="453" spans="1:14">
      <c r="A453" s="1">
        <v>452</v>
      </c>
      <c r="B453" s="1" t="s">
        <v>1244</v>
      </c>
      <c r="C453" s="1" t="s">
        <v>1245</v>
      </c>
      <c r="D453" s="5" t="s">
        <v>1246</v>
      </c>
      <c r="E453" s="1" t="s">
        <v>1247</v>
      </c>
      <c r="F453" s="7">
        <v>8</v>
      </c>
      <c r="G453" s="1">
        <v>4</v>
      </c>
      <c r="H453" s="1" t="s">
        <v>8</v>
      </c>
      <c r="I453" s="1" t="s">
        <v>44</v>
      </c>
      <c r="J453" s="1" t="s">
        <v>180</v>
      </c>
      <c r="K453" s="2">
        <v>3.1250005452204498E-5</v>
      </c>
      <c r="L453" s="2">
        <v>1.32042501600341E-5</v>
      </c>
      <c r="M453" s="1">
        <v>-4.3361332397608898E-3</v>
      </c>
      <c r="N453" s="1">
        <v>3.4329421967521898</v>
      </c>
    </row>
    <row r="454" spans="1:14">
      <c r="A454" s="1">
        <v>453</v>
      </c>
      <c r="B454" s="1" t="s">
        <v>1248</v>
      </c>
      <c r="C454" s="1" t="s">
        <v>1249</v>
      </c>
      <c r="D454" s="5" t="s">
        <v>1250</v>
      </c>
      <c r="E454" s="1" t="s">
        <v>1248</v>
      </c>
      <c r="F454" s="7">
        <v>5</v>
      </c>
      <c r="G454" s="1">
        <v>6</v>
      </c>
      <c r="H454" s="1" t="s">
        <v>22</v>
      </c>
      <c r="I454" s="1" t="s">
        <v>22</v>
      </c>
      <c r="J454" s="1" t="s">
        <v>4</v>
      </c>
      <c r="K454" s="2">
        <v>3.1250007531896101E-5</v>
      </c>
      <c r="L454" s="2">
        <v>1.01813716521327E-5</v>
      </c>
      <c r="M454" s="1">
        <v>-5.0695940831573597E-2</v>
      </c>
      <c r="N454" s="1">
        <v>3.65666526523166</v>
      </c>
    </row>
    <row r="455" spans="1:14">
      <c r="A455" s="1">
        <v>454</v>
      </c>
      <c r="B455" s="1" t="s">
        <v>1251</v>
      </c>
      <c r="C455" s="1" t="s">
        <v>1252</v>
      </c>
      <c r="D455" s="5" t="s">
        <v>503</v>
      </c>
      <c r="E455" s="1" t="s">
        <v>1251</v>
      </c>
      <c r="F455" s="7">
        <v>4</v>
      </c>
      <c r="G455" s="1">
        <v>3</v>
      </c>
      <c r="H455" s="1" t="s">
        <v>12</v>
      </c>
      <c r="I455" s="1" t="s">
        <v>12</v>
      </c>
      <c r="J455" s="1" t="s">
        <v>4</v>
      </c>
      <c r="K455" s="2">
        <v>3.1250006111083299E-5</v>
      </c>
      <c r="L455" s="2">
        <v>1.9799994923783301E-5</v>
      </c>
      <c r="M455" s="1">
        <v>-1.2904438710634699E-2</v>
      </c>
      <c r="N455" s="1">
        <v>3.5274019225791302</v>
      </c>
    </row>
    <row r="456" spans="1:14">
      <c r="A456" s="1">
        <v>455</v>
      </c>
      <c r="B456" s="1" t="s">
        <v>1253</v>
      </c>
      <c r="C456" s="1" t="s">
        <v>1254</v>
      </c>
      <c r="D456" s="5" t="s">
        <v>1255</v>
      </c>
      <c r="E456" s="1" t="s">
        <v>1253</v>
      </c>
      <c r="F456" s="7">
        <v>6</v>
      </c>
      <c r="G456" s="1">
        <v>5</v>
      </c>
      <c r="H456" s="1" t="s">
        <v>3</v>
      </c>
      <c r="I456" s="1" t="s">
        <v>3</v>
      </c>
      <c r="J456" s="1" t="s">
        <v>4</v>
      </c>
      <c r="K456" s="2">
        <v>3.1249999937841098E-5</v>
      </c>
      <c r="L456" s="2">
        <v>1.47393369144057E-5</v>
      </c>
      <c r="M456" s="1">
        <v>7.9465094481463404E-3</v>
      </c>
      <c r="N456" s="1">
        <v>3.8102066631934202</v>
      </c>
    </row>
    <row r="457" spans="1:14">
      <c r="A457" s="1">
        <v>456</v>
      </c>
      <c r="B457" s="1" t="s">
        <v>1256</v>
      </c>
      <c r="C457" s="1" t="s">
        <v>1257</v>
      </c>
      <c r="D457" s="5" t="s">
        <v>1258</v>
      </c>
      <c r="E457" s="1" t="s">
        <v>1256</v>
      </c>
      <c r="F457" s="7">
        <v>6</v>
      </c>
      <c r="G457" s="1">
        <v>6</v>
      </c>
      <c r="H457" s="1" t="s">
        <v>8</v>
      </c>
      <c r="I457" s="1" t="s">
        <v>8</v>
      </c>
      <c r="J457" s="1" t="s">
        <v>4</v>
      </c>
      <c r="K457" s="2">
        <v>3.1250007303677398E-5</v>
      </c>
      <c r="L457" s="2">
        <v>4.8037910158654904E-6</v>
      </c>
      <c r="M457" s="1">
        <v>3.1767740286056702E-2</v>
      </c>
      <c r="N457" s="1">
        <v>3.4317578988838999</v>
      </c>
    </row>
    <row r="458" spans="1:14">
      <c r="A458" s="1">
        <v>457</v>
      </c>
      <c r="B458" s="1" t="s">
        <v>1259</v>
      </c>
      <c r="C458" s="1" t="s">
        <v>1260</v>
      </c>
      <c r="D458" s="5" t="s">
        <v>1035</v>
      </c>
      <c r="E458" s="1" t="s">
        <v>1259</v>
      </c>
      <c r="F458" s="7">
        <v>8</v>
      </c>
      <c r="G458" s="1">
        <v>3</v>
      </c>
      <c r="H458" s="1" t="s">
        <v>3</v>
      </c>
      <c r="I458" s="1" t="s">
        <v>3</v>
      </c>
      <c r="J458" s="1" t="s">
        <v>4</v>
      </c>
      <c r="K458" s="2">
        <v>3.1250005488744801E-5</v>
      </c>
      <c r="L458" s="2">
        <v>2.5189513942129901E-5</v>
      </c>
      <c r="M458" s="1">
        <v>-2.1346883075807399E-2</v>
      </c>
      <c r="N458" s="1">
        <v>3.5547238040003299</v>
      </c>
    </row>
    <row r="459" spans="1:14">
      <c r="A459" s="1">
        <v>458</v>
      </c>
      <c r="B459" s="1" t="s">
        <v>1261</v>
      </c>
      <c r="C459" s="1" t="s">
        <v>1262</v>
      </c>
      <c r="D459" s="5" t="s">
        <v>1263</v>
      </c>
      <c r="E459" s="1" t="s">
        <v>2348</v>
      </c>
      <c r="F459" s="7">
        <v>5</v>
      </c>
      <c r="G459" s="1">
        <v>9</v>
      </c>
      <c r="H459" s="1" t="s">
        <v>8</v>
      </c>
      <c r="I459" s="1" t="s">
        <v>8</v>
      </c>
      <c r="J459" s="1" t="s">
        <v>180</v>
      </c>
      <c r="K459" s="2">
        <v>3.1250001508345702E-5</v>
      </c>
      <c r="L459" s="2">
        <v>9.2364912197483805E-8</v>
      </c>
      <c r="M459" s="1">
        <v>5.1316258456862898E-2</v>
      </c>
      <c r="N459" s="1">
        <v>2.98326377276749</v>
      </c>
    </row>
    <row r="460" spans="1:14">
      <c r="A460" s="1">
        <v>459</v>
      </c>
      <c r="B460" s="1" t="s">
        <v>1264</v>
      </c>
      <c r="C460" s="1" t="s">
        <v>1265</v>
      </c>
      <c r="D460" s="5" t="s">
        <v>1266</v>
      </c>
      <c r="E460" s="1" t="s">
        <v>1264</v>
      </c>
      <c r="F460" s="7">
        <v>6</v>
      </c>
      <c r="G460" s="1">
        <v>3</v>
      </c>
      <c r="H460" s="1" t="s">
        <v>8</v>
      </c>
      <c r="I460" s="1" t="s">
        <v>8</v>
      </c>
      <c r="J460" s="1" t="s">
        <v>4</v>
      </c>
      <c r="K460" s="2">
        <v>3.12500027789143E-5</v>
      </c>
      <c r="L460" s="2">
        <v>1.5865652798779799E-5</v>
      </c>
      <c r="M460" s="1">
        <v>-1.1922156048719001E-2</v>
      </c>
      <c r="N460" s="1">
        <v>3.8065953690843002</v>
      </c>
    </row>
    <row r="461" spans="1:14">
      <c r="A461" s="1">
        <v>460</v>
      </c>
      <c r="B461" s="1" t="s">
        <v>1267</v>
      </c>
      <c r="C461" s="1" t="s">
        <v>1268</v>
      </c>
      <c r="D461" s="5" t="s">
        <v>931</v>
      </c>
      <c r="E461" s="1" t="s">
        <v>1267</v>
      </c>
      <c r="F461" s="7">
        <v>6</v>
      </c>
      <c r="G461" s="1">
        <v>5</v>
      </c>
      <c r="H461" s="1" t="s">
        <v>3</v>
      </c>
      <c r="I461" s="1" t="s">
        <v>3</v>
      </c>
      <c r="J461" s="1" t="s">
        <v>4</v>
      </c>
      <c r="K461" s="2">
        <v>3.1250008157204899E-5</v>
      </c>
      <c r="L461" s="2">
        <v>2.7696012219183599E-5</v>
      </c>
      <c r="M461" s="1">
        <v>2.0533368231156101E-2</v>
      </c>
      <c r="N461" s="1">
        <v>3.65355083852804</v>
      </c>
    </row>
    <row r="462" spans="1:14">
      <c r="A462" s="1">
        <v>461</v>
      </c>
      <c r="B462" s="1" t="s">
        <v>1269</v>
      </c>
      <c r="C462" s="1" t="s">
        <v>1270</v>
      </c>
      <c r="D462" s="5" t="s">
        <v>1271</v>
      </c>
      <c r="E462" s="1" t="s">
        <v>1269</v>
      </c>
      <c r="F462" s="7">
        <v>8</v>
      </c>
      <c r="G462" s="1">
        <v>3</v>
      </c>
      <c r="H462" s="1" t="s">
        <v>8</v>
      </c>
      <c r="I462" s="1" t="s">
        <v>8</v>
      </c>
      <c r="J462" s="1" t="s">
        <v>4</v>
      </c>
      <c r="K462" s="2">
        <v>3.1250005778428497E-5</v>
      </c>
      <c r="L462" s="2">
        <v>2.9553687178810999E-5</v>
      </c>
      <c r="M462" s="1">
        <v>3.8142816335593401E-3</v>
      </c>
      <c r="N462" s="1">
        <v>3.6914591703934101</v>
      </c>
    </row>
    <row r="463" spans="1:14">
      <c r="A463" s="1">
        <v>462</v>
      </c>
      <c r="B463" s="1" t="s">
        <v>1272</v>
      </c>
      <c r="C463" s="1" t="s">
        <v>1273</v>
      </c>
      <c r="D463" s="5" t="s">
        <v>122</v>
      </c>
      <c r="E463" s="1" t="s">
        <v>120</v>
      </c>
      <c r="F463" s="7">
        <v>4</v>
      </c>
      <c r="G463" s="1">
        <v>5</v>
      </c>
      <c r="H463" s="1" t="s">
        <v>8</v>
      </c>
      <c r="I463" s="1" t="s">
        <v>123</v>
      </c>
      <c r="J463" s="1" t="s">
        <v>4</v>
      </c>
      <c r="K463" s="2">
        <v>3.1250003014865098E-5</v>
      </c>
      <c r="L463" s="2">
        <v>3.0828442811943902E-5</v>
      </c>
      <c r="M463" s="1">
        <v>1.13720533752541E-2</v>
      </c>
      <c r="N463" s="1">
        <v>2.7713899745280499</v>
      </c>
    </row>
    <row r="464" spans="1:14">
      <c r="A464" s="1">
        <v>463</v>
      </c>
      <c r="B464" s="1" t="s">
        <v>1274</v>
      </c>
      <c r="C464" s="1" t="s">
        <v>1275</v>
      </c>
      <c r="D464" s="5" t="s">
        <v>1276</v>
      </c>
      <c r="E464" s="1" t="s">
        <v>1274</v>
      </c>
      <c r="F464" s="7">
        <v>4</v>
      </c>
      <c r="G464" s="1">
        <v>4</v>
      </c>
      <c r="H464" s="1" t="s">
        <v>68</v>
      </c>
      <c r="I464" s="1" t="s">
        <v>68</v>
      </c>
      <c r="J464" s="1" t="s">
        <v>4</v>
      </c>
      <c r="K464" s="2">
        <v>3.1250013011442097E-5</v>
      </c>
      <c r="L464" s="2">
        <v>1.7107090436967499E-5</v>
      </c>
      <c r="M464" s="1">
        <v>-1.7157134785222999E-2</v>
      </c>
      <c r="N464" s="1">
        <v>3.3805427794976399</v>
      </c>
    </row>
    <row r="465" spans="1:14">
      <c r="A465" s="1">
        <v>464</v>
      </c>
      <c r="B465" s="1" t="s">
        <v>1277</v>
      </c>
      <c r="C465" s="1" t="s">
        <v>1278</v>
      </c>
      <c r="D465" s="5" t="s">
        <v>1279</v>
      </c>
      <c r="E465" s="1" t="s">
        <v>1277</v>
      </c>
      <c r="F465" s="7">
        <v>5</v>
      </c>
      <c r="G465" s="1">
        <v>4</v>
      </c>
      <c r="H465" s="1" t="s">
        <v>8</v>
      </c>
      <c r="I465" s="1" t="s">
        <v>8</v>
      </c>
      <c r="J465" s="1" t="s">
        <v>4</v>
      </c>
      <c r="K465" s="2">
        <v>3.1250000770344001E-5</v>
      </c>
      <c r="L465" s="2">
        <v>2.74896825296766E-5</v>
      </c>
      <c r="M465" s="1">
        <v>3.2203212945617503E-2</v>
      </c>
      <c r="N465" s="1">
        <v>3.6133123804891998</v>
      </c>
    </row>
    <row r="466" spans="1:14">
      <c r="A466" s="1">
        <v>465</v>
      </c>
      <c r="B466" s="1" t="s">
        <v>1280</v>
      </c>
      <c r="C466" s="1" t="s">
        <v>1281</v>
      </c>
      <c r="D466" s="5" t="s">
        <v>1282</v>
      </c>
      <c r="E466" s="1" t="s">
        <v>1280</v>
      </c>
      <c r="F466" s="7">
        <v>4</v>
      </c>
      <c r="G466" s="1">
        <v>5</v>
      </c>
      <c r="H466" s="1" t="s">
        <v>8</v>
      </c>
      <c r="I466" s="1" t="s">
        <v>8</v>
      </c>
      <c r="J466" s="1" t="s">
        <v>4</v>
      </c>
      <c r="K466" s="2">
        <v>3.1250007242091503E-5</v>
      </c>
      <c r="L466" s="2">
        <v>4.32085994131616E-6</v>
      </c>
      <c r="M466" s="1">
        <v>3.0851335670989799E-2</v>
      </c>
      <c r="N466" s="1">
        <v>2.4236360235155798</v>
      </c>
    </row>
    <row r="467" spans="1:14">
      <c r="A467" s="1">
        <v>466</v>
      </c>
      <c r="B467" s="1" t="s">
        <v>1283</v>
      </c>
      <c r="C467" s="1" t="s">
        <v>1284</v>
      </c>
      <c r="D467" s="5" t="s">
        <v>28</v>
      </c>
      <c r="E467" s="1" t="s">
        <v>1283</v>
      </c>
      <c r="F467" s="7">
        <v>6</v>
      </c>
      <c r="G467" s="1">
        <v>3</v>
      </c>
      <c r="H467" s="1" t="s">
        <v>8</v>
      </c>
      <c r="I467" s="1" t="s">
        <v>8</v>
      </c>
      <c r="J467" s="1" t="s">
        <v>4</v>
      </c>
      <c r="K467" s="2">
        <v>3.1250018380960898E-5</v>
      </c>
      <c r="L467" s="2">
        <v>3.02683660885502E-5</v>
      </c>
      <c r="M467" s="1">
        <v>-9.7436671941295502E-3</v>
      </c>
      <c r="N467" s="1">
        <v>3.7295536864312901</v>
      </c>
    </row>
    <row r="468" spans="1:14">
      <c r="A468" s="1">
        <v>467</v>
      </c>
      <c r="B468" s="1" t="s">
        <v>1285</v>
      </c>
      <c r="C468" s="1" t="s">
        <v>1286</v>
      </c>
      <c r="D468" s="5" t="s">
        <v>1287</v>
      </c>
      <c r="E468" s="1" t="s">
        <v>1285</v>
      </c>
      <c r="F468" s="7">
        <v>5</v>
      </c>
      <c r="G468" s="1">
        <v>3</v>
      </c>
      <c r="H468" s="1" t="s">
        <v>98</v>
      </c>
      <c r="I468" s="1" t="s">
        <v>98</v>
      </c>
      <c r="J468" s="1" t="s">
        <v>4</v>
      </c>
      <c r="K468" s="2">
        <v>3.12500089454076E-5</v>
      </c>
      <c r="L468" s="2">
        <v>6.1865181129412802E-6</v>
      </c>
      <c r="M468" s="1">
        <v>-6.8436471022827999E-3</v>
      </c>
      <c r="N468" s="1">
        <v>3.4309938788203498</v>
      </c>
    </row>
    <row r="469" spans="1:14">
      <c r="A469" s="1">
        <v>468</v>
      </c>
      <c r="B469" s="1" t="s">
        <v>1288</v>
      </c>
      <c r="C469" s="1" t="s">
        <v>1289</v>
      </c>
      <c r="D469" s="5" t="s">
        <v>1290</v>
      </c>
      <c r="E469" s="1" t="s">
        <v>1288</v>
      </c>
      <c r="F469" s="7">
        <v>6</v>
      </c>
      <c r="G469" s="1">
        <v>8</v>
      </c>
      <c r="H469" s="1" t="s">
        <v>3</v>
      </c>
      <c r="I469" s="1" t="s">
        <v>3</v>
      </c>
      <c r="J469" s="1" t="s">
        <v>4</v>
      </c>
      <c r="K469" s="2">
        <v>3.1250018953375498E-5</v>
      </c>
      <c r="L469" s="2">
        <v>2.8932341113761098E-5</v>
      </c>
      <c r="M469" s="1">
        <v>-2.19486764426584E-2</v>
      </c>
      <c r="N469" s="1">
        <v>3.7690910771298101</v>
      </c>
    </row>
    <row r="470" spans="1:14">
      <c r="A470" s="1">
        <v>469</v>
      </c>
      <c r="B470" s="1" t="s">
        <v>1291</v>
      </c>
      <c r="C470" s="1" t="s">
        <v>1292</v>
      </c>
      <c r="D470" s="5" t="s">
        <v>1293</v>
      </c>
      <c r="E470" s="1" t="s">
        <v>1291</v>
      </c>
      <c r="F470" s="7">
        <v>6</v>
      </c>
      <c r="G470" s="1">
        <v>3</v>
      </c>
      <c r="H470" s="1" t="s">
        <v>8</v>
      </c>
      <c r="I470" s="1" t="s">
        <v>8</v>
      </c>
      <c r="J470" s="1" t="s">
        <v>4</v>
      </c>
      <c r="K470" s="2">
        <v>3.1250011973486798E-5</v>
      </c>
      <c r="L470" s="2">
        <v>1.3183844277512699E-5</v>
      </c>
      <c r="M470" s="1">
        <v>2.15053521371402E-2</v>
      </c>
      <c r="N470" s="1">
        <v>3.3838169527144601</v>
      </c>
    </row>
    <row r="471" spans="1:14">
      <c r="A471" s="1">
        <v>470</v>
      </c>
      <c r="B471" s="1" t="s">
        <v>1294</v>
      </c>
      <c r="C471" s="1" t="s">
        <v>1295</v>
      </c>
      <c r="D471" s="5" t="s">
        <v>1296</v>
      </c>
      <c r="E471" s="1" t="s">
        <v>1294</v>
      </c>
      <c r="F471" s="7">
        <v>4</v>
      </c>
      <c r="G471" s="1">
        <v>6</v>
      </c>
      <c r="H471" s="1" t="s">
        <v>3</v>
      </c>
      <c r="I471" s="1" t="s">
        <v>3</v>
      </c>
      <c r="J471" s="1" t="s">
        <v>4</v>
      </c>
      <c r="K471" s="2">
        <v>3.1250000654441298E-5</v>
      </c>
      <c r="L471" s="2">
        <v>3.10031152758976E-5</v>
      </c>
      <c r="M471" s="1">
        <v>7.5532385000336398E-3</v>
      </c>
      <c r="N471" s="1">
        <v>2.8403775703009302</v>
      </c>
    </row>
    <row r="472" spans="1:14">
      <c r="A472" s="1">
        <v>471</v>
      </c>
      <c r="B472" s="1" t="s">
        <v>1297</v>
      </c>
      <c r="C472" s="1" t="s">
        <v>1298</v>
      </c>
      <c r="D472" s="5" t="s">
        <v>1299</v>
      </c>
      <c r="E472" s="1" t="s">
        <v>1297</v>
      </c>
      <c r="F472" s="7">
        <v>4</v>
      </c>
      <c r="G472" s="1">
        <v>5</v>
      </c>
      <c r="H472" s="1" t="s">
        <v>98</v>
      </c>
      <c r="I472" s="1" t="s">
        <v>98</v>
      </c>
      <c r="J472" s="1" t="s">
        <v>4</v>
      </c>
      <c r="K472" s="2">
        <v>3.1249994930964301E-5</v>
      </c>
      <c r="L472" s="2">
        <v>2.8707996363212501E-5</v>
      </c>
      <c r="M472" s="1">
        <v>-8.4155054951224797E-3</v>
      </c>
      <c r="N472" s="1">
        <v>3.7563761046205801</v>
      </c>
    </row>
    <row r="473" spans="1:14">
      <c r="A473" s="1">
        <v>472</v>
      </c>
      <c r="B473" s="1" t="s">
        <v>1300</v>
      </c>
      <c r="C473" s="1" t="s">
        <v>1301</v>
      </c>
      <c r="D473" s="5" t="s">
        <v>61</v>
      </c>
      <c r="E473" s="1" t="s">
        <v>1300</v>
      </c>
      <c r="F473" s="7">
        <v>8</v>
      </c>
      <c r="G473" s="1">
        <v>2</v>
      </c>
      <c r="H473" s="1" t="s">
        <v>22</v>
      </c>
      <c r="I473" s="1" t="s">
        <v>22</v>
      </c>
      <c r="J473" s="1" t="s">
        <v>4</v>
      </c>
      <c r="K473" s="2">
        <v>3.1249997642781502E-5</v>
      </c>
      <c r="L473" s="2">
        <v>2.9872013073606099E-5</v>
      </c>
      <c r="M473" s="1">
        <v>-5.9149438482677397E-3</v>
      </c>
      <c r="N473" s="1">
        <v>3.61089266704013</v>
      </c>
    </row>
    <row r="474" spans="1:14">
      <c r="A474" s="1">
        <v>473</v>
      </c>
      <c r="B474" s="1" t="s">
        <v>1302</v>
      </c>
      <c r="C474" s="1" t="s">
        <v>1303</v>
      </c>
      <c r="D474" s="5" t="s">
        <v>1304</v>
      </c>
      <c r="E474" s="1" t="s">
        <v>1302</v>
      </c>
      <c r="F474" s="7">
        <v>6</v>
      </c>
      <c r="G474" s="1">
        <v>4</v>
      </c>
      <c r="H474" s="1" t="s">
        <v>8</v>
      </c>
      <c r="I474" s="1" t="s">
        <v>8</v>
      </c>
      <c r="J474" s="1" t="s">
        <v>4</v>
      </c>
      <c r="K474" s="2">
        <v>3.12499992169126E-5</v>
      </c>
      <c r="L474" s="2">
        <v>2.45025679300714E-5</v>
      </c>
      <c r="M474" s="1">
        <v>4.20145135100824E-3</v>
      </c>
      <c r="N474" s="1">
        <v>3.3289608165139</v>
      </c>
    </row>
    <row r="475" spans="1:14">
      <c r="A475" s="1">
        <v>474</v>
      </c>
      <c r="B475" s="1" t="s">
        <v>1305</v>
      </c>
      <c r="C475" s="1" t="s">
        <v>1306</v>
      </c>
      <c r="D475" s="5" t="s">
        <v>1307</v>
      </c>
      <c r="E475" s="1" t="s">
        <v>1305</v>
      </c>
      <c r="F475" s="7">
        <v>7</v>
      </c>
      <c r="G475" s="1">
        <v>4</v>
      </c>
      <c r="H475" s="1" t="s">
        <v>3</v>
      </c>
      <c r="I475" s="1" t="s">
        <v>3</v>
      </c>
      <c r="J475" s="1" t="s">
        <v>4</v>
      </c>
      <c r="K475" s="2">
        <v>3.1250014525856999E-5</v>
      </c>
      <c r="L475" s="2">
        <v>2.7296587700902901E-5</v>
      </c>
      <c r="M475" s="1">
        <v>-1.6856917097733501E-2</v>
      </c>
      <c r="N475" s="1">
        <v>3.5312563959259502</v>
      </c>
    </row>
    <row r="476" spans="1:14">
      <c r="A476" s="1">
        <v>475</v>
      </c>
      <c r="B476" s="1" t="s">
        <v>1308</v>
      </c>
      <c r="C476" s="1" t="s">
        <v>1309</v>
      </c>
      <c r="D476" s="5" t="s">
        <v>460</v>
      </c>
      <c r="E476" s="1" t="s">
        <v>1308</v>
      </c>
      <c r="F476" s="7">
        <v>8</v>
      </c>
      <c r="G476" s="1">
        <v>4</v>
      </c>
      <c r="H476" s="1" t="s">
        <v>8</v>
      </c>
      <c r="I476" s="1" t="s">
        <v>8</v>
      </c>
      <c r="J476" s="1" t="s">
        <v>4</v>
      </c>
      <c r="K476" s="2">
        <v>3.1250009721250098E-5</v>
      </c>
      <c r="L476" s="2">
        <v>2.5439808596566401E-5</v>
      </c>
      <c r="M476" s="1">
        <v>1.1544133933785601E-2</v>
      </c>
      <c r="N476" s="1">
        <v>3.6693971333454498</v>
      </c>
    </row>
    <row r="477" spans="1:14">
      <c r="A477" s="1">
        <v>476</v>
      </c>
      <c r="B477" s="1" t="s">
        <v>1310</v>
      </c>
      <c r="C477" s="1" t="s">
        <v>1311</v>
      </c>
      <c r="D477" s="5" t="s">
        <v>425</v>
      </c>
      <c r="E477" s="1" t="s">
        <v>1310</v>
      </c>
      <c r="F477" s="7">
        <v>5</v>
      </c>
      <c r="G477" s="1">
        <v>4</v>
      </c>
      <c r="H477" s="1" t="s">
        <v>8</v>
      </c>
      <c r="I477" s="1" t="s">
        <v>8</v>
      </c>
      <c r="J477" s="1" t="s">
        <v>4</v>
      </c>
      <c r="K477" s="2">
        <v>3.1250003800387299E-5</v>
      </c>
      <c r="L477" s="2">
        <v>2.56432733641925E-5</v>
      </c>
      <c r="M477" s="1">
        <v>-3.3570289436809703E-2</v>
      </c>
      <c r="N477" s="1">
        <v>3.6049085782303099</v>
      </c>
    </row>
    <row r="478" spans="1:14">
      <c r="A478" s="1">
        <v>477</v>
      </c>
      <c r="B478" s="1" t="s">
        <v>1312</v>
      </c>
      <c r="C478" s="1" t="s">
        <v>1313</v>
      </c>
      <c r="D478" s="5" t="s">
        <v>803</v>
      </c>
      <c r="E478" s="1" t="s">
        <v>1312</v>
      </c>
      <c r="F478" s="7">
        <v>4</v>
      </c>
      <c r="G478" s="1">
        <v>2</v>
      </c>
      <c r="H478" s="1" t="s">
        <v>22</v>
      </c>
      <c r="I478" s="1" t="s">
        <v>22</v>
      </c>
      <c r="J478" s="1" t="s">
        <v>4</v>
      </c>
      <c r="K478" s="2">
        <v>3.1250015347579003E-5</v>
      </c>
      <c r="L478" s="2">
        <v>2.3337345117038599E-5</v>
      </c>
      <c r="M478" s="1">
        <v>-8.4660519894209606E-3</v>
      </c>
      <c r="N478" s="1">
        <v>3.6251233269973899</v>
      </c>
    </row>
    <row r="479" spans="1:14">
      <c r="A479" s="1">
        <v>478</v>
      </c>
      <c r="B479" s="1" t="s">
        <v>1314</v>
      </c>
      <c r="C479" s="1" t="s">
        <v>1315</v>
      </c>
      <c r="D479" s="5" t="s">
        <v>1316</v>
      </c>
      <c r="E479" s="1" t="s">
        <v>1314</v>
      </c>
      <c r="F479" s="7">
        <v>5</v>
      </c>
      <c r="G479" s="1">
        <v>4</v>
      </c>
      <c r="H479" s="1" t="s">
        <v>8</v>
      </c>
      <c r="I479" s="1" t="s">
        <v>8</v>
      </c>
      <c r="J479" s="1" t="s">
        <v>4</v>
      </c>
      <c r="K479" s="2">
        <v>3.12499947265964E-5</v>
      </c>
      <c r="L479" s="2">
        <v>3.11463956927814E-5</v>
      </c>
      <c r="M479" s="1">
        <v>-3.5635541609238403E-2</v>
      </c>
      <c r="N479" s="1">
        <v>2.2815246695340901</v>
      </c>
    </row>
    <row r="480" spans="1:14">
      <c r="A480" s="1">
        <v>479</v>
      </c>
      <c r="B480" s="1" t="s">
        <v>1317</v>
      </c>
      <c r="C480" s="1" t="s">
        <v>1318</v>
      </c>
      <c r="D480" s="5" t="s">
        <v>1319</v>
      </c>
      <c r="E480" s="1" t="s">
        <v>1317</v>
      </c>
      <c r="F480" s="7">
        <v>5</v>
      </c>
      <c r="G480" s="1">
        <v>5</v>
      </c>
      <c r="H480" s="1" t="s">
        <v>8</v>
      </c>
      <c r="I480" s="1" t="s">
        <v>8</v>
      </c>
      <c r="J480" s="1" t="s">
        <v>4</v>
      </c>
      <c r="K480" s="2">
        <v>3.1250003217395399E-5</v>
      </c>
      <c r="L480" s="2">
        <v>2.8822182095597501E-5</v>
      </c>
      <c r="M480" s="1">
        <v>-8.8833537812220698E-3</v>
      </c>
      <c r="N480" s="1">
        <v>3.6397636459042402</v>
      </c>
    </row>
    <row r="481" spans="1:14">
      <c r="A481" s="1">
        <v>480</v>
      </c>
      <c r="B481" s="1" t="s">
        <v>1320</v>
      </c>
      <c r="C481" s="1" t="s">
        <v>1321</v>
      </c>
      <c r="D481" s="5" t="s">
        <v>1322</v>
      </c>
      <c r="E481" s="1" t="s">
        <v>1320</v>
      </c>
      <c r="F481" s="7">
        <v>4</v>
      </c>
      <c r="G481" s="1">
        <v>3</v>
      </c>
      <c r="H481" s="1" t="s">
        <v>8</v>
      </c>
      <c r="I481" s="1" t="s">
        <v>8</v>
      </c>
      <c r="J481" s="1" t="s">
        <v>4</v>
      </c>
      <c r="K481" s="2">
        <v>3.1250000866305001E-5</v>
      </c>
      <c r="L481" s="2">
        <v>2.3785118949614298E-5</v>
      </c>
      <c r="M481" s="1">
        <v>-2.8767119713165801E-2</v>
      </c>
      <c r="N481" s="1">
        <v>3.35391380693338</v>
      </c>
    </row>
    <row r="482" spans="1:14">
      <c r="A482" s="1">
        <v>481</v>
      </c>
      <c r="B482" s="1" t="s">
        <v>1323</v>
      </c>
      <c r="C482" s="1" t="s">
        <v>1324</v>
      </c>
      <c r="D482" s="5" t="s">
        <v>475</v>
      </c>
      <c r="E482" s="1" t="s">
        <v>1323</v>
      </c>
      <c r="F482" s="7">
        <v>4</v>
      </c>
      <c r="G482" s="1">
        <v>5</v>
      </c>
      <c r="H482" s="1" t="s">
        <v>8</v>
      </c>
      <c r="I482" s="1" t="s">
        <v>8</v>
      </c>
      <c r="J482" s="1" t="s">
        <v>4</v>
      </c>
      <c r="K482" s="2">
        <v>3.1249995167744603E-5</v>
      </c>
      <c r="L482" s="2">
        <v>2.2274509239656202E-5</v>
      </c>
      <c r="M482" s="1">
        <v>-6.3237415876642401E-3</v>
      </c>
      <c r="N482" s="1">
        <v>3.2475235374858</v>
      </c>
    </row>
    <row r="483" spans="1:14">
      <c r="A483" s="1">
        <v>482</v>
      </c>
      <c r="B483" s="1" t="s">
        <v>1325</v>
      </c>
      <c r="C483" s="1" t="s">
        <v>1326</v>
      </c>
      <c r="D483" s="5" t="s">
        <v>580</v>
      </c>
      <c r="E483" s="1" t="s">
        <v>1325</v>
      </c>
      <c r="F483" s="7">
        <v>5</v>
      </c>
      <c r="G483" s="1">
        <v>4</v>
      </c>
      <c r="H483" s="1" t="s">
        <v>8</v>
      </c>
      <c r="I483" s="1" t="s">
        <v>8</v>
      </c>
      <c r="J483" s="1" t="s">
        <v>4</v>
      </c>
      <c r="K483" s="2">
        <v>3.1249994827580101E-5</v>
      </c>
      <c r="L483" s="2">
        <v>2.92871606126302E-5</v>
      </c>
      <c r="M483" s="1">
        <v>1.9689907665565401E-2</v>
      </c>
      <c r="N483" s="1">
        <v>3.4578730506971902</v>
      </c>
    </row>
    <row r="484" spans="1:14">
      <c r="A484" s="1">
        <v>483</v>
      </c>
      <c r="B484" s="1" t="s">
        <v>1327</v>
      </c>
      <c r="C484" s="1" t="s">
        <v>1328</v>
      </c>
      <c r="D484" s="5" t="s">
        <v>1329</v>
      </c>
      <c r="E484" s="1" t="s">
        <v>1330</v>
      </c>
      <c r="F484" s="7">
        <v>4</v>
      </c>
      <c r="G484" s="1">
        <v>4</v>
      </c>
      <c r="H484" s="1" t="s">
        <v>8</v>
      </c>
      <c r="I484" s="1" t="s">
        <v>68</v>
      </c>
      <c r="J484" s="1" t="s">
        <v>180</v>
      </c>
      <c r="K484" s="2">
        <v>3.1250000501593098E-5</v>
      </c>
      <c r="L484" s="2">
        <v>4.2515487743135097E-7</v>
      </c>
      <c r="M484" s="1">
        <v>2.6636352021071698E-2</v>
      </c>
      <c r="N484" s="1">
        <v>2.6127489482434001</v>
      </c>
    </row>
    <row r="485" spans="1:14">
      <c r="A485" s="1">
        <v>484</v>
      </c>
      <c r="B485" s="1" t="s">
        <v>1331</v>
      </c>
      <c r="C485" s="1" t="s">
        <v>1332</v>
      </c>
      <c r="D485" s="5" t="s">
        <v>1333</v>
      </c>
      <c r="E485" s="1" t="s">
        <v>1331</v>
      </c>
      <c r="F485" s="7">
        <v>5</v>
      </c>
      <c r="G485" s="1">
        <v>7</v>
      </c>
      <c r="H485" s="1" t="s">
        <v>8</v>
      </c>
      <c r="I485" s="1" t="s">
        <v>8</v>
      </c>
      <c r="J485" s="1" t="s">
        <v>4</v>
      </c>
      <c r="K485" s="2">
        <v>3.1250005907157502E-5</v>
      </c>
      <c r="L485" s="2">
        <v>2.9740578382843501E-5</v>
      </c>
      <c r="M485" s="1">
        <v>-2.51913449560561E-2</v>
      </c>
      <c r="N485" s="1">
        <v>3.51838598029045</v>
      </c>
    </row>
    <row r="486" spans="1:14">
      <c r="A486" s="1">
        <v>485</v>
      </c>
      <c r="B486" s="1" t="s">
        <v>1334</v>
      </c>
      <c r="C486" s="1" t="s">
        <v>1335</v>
      </c>
      <c r="D486" s="5" t="s">
        <v>1336</v>
      </c>
      <c r="E486" s="1" t="s">
        <v>1334</v>
      </c>
      <c r="F486" s="7">
        <v>6</v>
      </c>
      <c r="G486" s="1">
        <v>5</v>
      </c>
      <c r="H486" s="1" t="s">
        <v>8</v>
      </c>
      <c r="I486" s="1" t="s">
        <v>8</v>
      </c>
      <c r="J486" s="1" t="s">
        <v>4</v>
      </c>
      <c r="K486" s="2">
        <v>3.1249995659860303E-5</v>
      </c>
      <c r="L486" s="2">
        <v>2.8722327896103699E-5</v>
      </c>
      <c r="M486" s="1">
        <v>3.35350711517179E-3</v>
      </c>
      <c r="N486" s="1">
        <v>3.5921566898892099</v>
      </c>
    </row>
    <row r="487" spans="1:14">
      <c r="A487" s="1">
        <v>486</v>
      </c>
      <c r="B487" s="1" t="s">
        <v>1337</v>
      </c>
      <c r="C487" s="1" t="s">
        <v>1338</v>
      </c>
      <c r="D487" s="5" t="s">
        <v>1038</v>
      </c>
      <c r="E487" s="1" t="s">
        <v>1337</v>
      </c>
      <c r="F487" s="7">
        <v>7</v>
      </c>
      <c r="G487" s="1">
        <v>5</v>
      </c>
      <c r="H487" s="1" t="s">
        <v>8</v>
      </c>
      <c r="I487" s="1" t="s">
        <v>8</v>
      </c>
      <c r="J487" s="1" t="s">
        <v>4</v>
      </c>
      <c r="K487" s="2">
        <v>3.1250000244580398E-5</v>
      </c>
      <c r="L487" s="2">
        <v>2.4602455075635401E-5</v>
      </c>
      <c r="M487" s="1">
        <v>2.6097582222277499E-3</v>
      </c>
      <c r="N487" s="1">
        <v>3.4879415817323398</v>
      </c>
    </row>
    <row r="488" spans="1:14">
      <c r="A488" s="1">
        <v>487</v>
      </c>
      <c r="B488" s="1" t="s">
        <v>1339</v>
      </c>
      <c r="C488" s="1" t="s">
        <v>1340</v>
      </c>
      <c r="D488" s="5" t="s">
        <v>1188</v>
      </c>
      <c r="E488" s="1" t="s">
        <v>1339</v>
      </c>
      <c r="F488" s="7">
        <v>4</v>
      </c>
      <c r="G488" s="1">
        <v>4</v>
      </c>
      <c r="H488" s="1" t="s">
        <v>8</v>
      </c>
      <c r="I488" s="1" t="s">
        <v>8</v>
      </c>
      <c r="J488" s="1" t="s">
        <v>4</v>
      </c>
      <c r="K488" s="2">
        <v>3.1250005238335902E-5</v>
      </c>
      <c r="L488" s="2">
        <v>5.2788131793412101E-6</v>
      </c>
      <c r="M488" s="1">
        <v>5.11343781400341E-3</v>
      </c>
      <c r="N488" s="1">
        <v>3.1474245075912699</v>
      </c>
    </row>
    <row r="489" spans="1:14">
      <c r="A489" s="1">
        <v>488</v>
      </c>
      <c r="B489" s="1" t="s">
        <v>1341</v>
      </c>
      <c r="C489" s="1" t="s">
        <v>1342</v>
      </c>
      <c r="D489" s="5" t="s">
        <v>1343</v>
      </c>
      <c r="E489" s="1" t="s">
        <v>1341</v>
      </c>
      <c r="F489" s="7">
        <v>5</v>
      </c>
      <c r="G489" s="1">
        <v>5</v>
      </c>
      <c r="H489" s="1" t="s">
        <v>98</v>
      </c>
      <c r="I489" s="1" t="s">
        <v>98</v>
      </c>
      <c r="J489" s="1" t="s">
        <v>4</v>
      </c>
      <c r="K489" s="2">
        <v>3.1250005951708602E-5</v>
      </c>
      <c r="L489" s="2">
        <v>3.1144848539533199E-5</v>
      </c>
      <c r="M489" s="1">
        <v>2.1275053404323701E-4</v>
      </c>
      <c r="N489" s="1">
        <v>2.6026581392228398</v>
      </c>
    </row>
    <row r="490" spans="1:14">
      <c r="A490" s="1">
        <v>489</v>
      </c>
      <c r="B490" s="1" t="s">
        <v>1344</v>
      </c>
      <c r="C490" s="1" t="s">
        <v>1345</v>
      </c>
      <c r="D490" s="5" t="s">
        <v>1169</v>
      </c>
      <c r="E490" s="1" t="s">
        <v>1344</v>
      </c>
      <c r="F490" s="7">
        <v>6</v>
      </c>
      <c r="G490" s="1">
        <v>4</v>
      </c>
      <c r="H490" s="1" t="s">
        <v>8</v>
      </c>
      <c r="I490" s="1" t="s">
        <v>8</v>
      </c>
      <c r="J490" s="1" t="s">
        <v>4</v>
      </c>
      <c r="K490" s="2">
        <v>3.1249999196674699E-5</v>
      </c>
      <c r="L490" s="2">
        <v>3.0826736328530903E-5</v>
      </c>
      <c r="M490" s="1">
        <v>1.53093112381288E-2</v>
      </c>
      <c r="N490" s="1">
        <v>3.6273346856938899</v>
      </c>
    </row>
    <row r="491" spans="1:14">
      <c r="A491" s="1">
        <v>490</v>
      </c>
      <c r="B491" s="1" t="s">
        <v>1346</v>
      </c>
      <c r="C491" s="1" t="s">
        <v>1347</v>
      </c>
      <c r="D491" s="5" t="s">
        <v>50</v>
      </c>
      <c r="E491" s="1" t="s">
        <v>1346</v>
      </c>
      <c r="F491" s="7">
        <v>4</v>
      </c>
      <c r="G491" s="1">
        <v>3</v>
      </c>
      <c r="H491" s="1" t="s">
        <v>8</v>
      </c>
      <c r="I491" s="1" t="s">
        <v>8</v>
      </c>
      <c r="J491" s="1" t="s">
        <v>4</v>
      </c>
      <c r="K491" s="2">
        <v>3.1249999478483699E-5</v>
      </c>
      <c r="L491" s="2">
        <v>1.5577316239839301E-5</v>
      </c>
      <c r="M491" s="1">
        <v>-6.5621205432790904E-3</v>
      </c>
      <c r="N491" s="1">
        <v>3.5060296866279499</v>
      </c>
    </row>
    <row r="492" spans="1:14">
      <c r="A492" s="1">
        <v>491</v>
      </c>
      <c r="B492" s="1" t="s">
        <v>1348</v>
      </c>
      <c r="C492" s="1" t="s">
        <v>1349</v>
      </c>
      <c r="D492" s="5" t="s">
        <v>1350</v>
      </c>
      <c r="E492" s="1" t="s">
        <v>1348</v>
      </c>
      <c r="F492" s="7">
        <v>5</v>
      </c>
      <c r="G492" s="1">
        <v>7</v>
      </c>
      <c r="H492" s="1" t="s">
        <v>98</v>
      </c>
      <c r="I492" s="1" t="s">
        <v>98</v>
      </c>
      <c r="J492" s="1" t="s">
        <v>4</v>
      </c>
      <c r="K492" s="2">
        <v>3.1250002190341103E-5</v>
      </c>
      <c r="L492" s="2">
        <v>3.1063800344726898E-5</v>
      </c>
      <c r="M492" s="1">
        <v>-3.91514403722936E-3</v>
      </c>
      <c r="N492" s="1">
        <v>2.5234571361527198</v>
      </c>
    </row>
    <row r="493" spans="1:14">
      <c r="A493" s="1">
        <v>492</v>
      </c>
      <c r="B493" s="1" t="s">
        <v>1351</v>
      </c>
      <c r="C493" s="1" t="s">
        <v>1352</v>
      </c>
      <c r="D493" s="5" t="s">
        <v>965</v>
      </c>
      <c r="E493" s="1" t="s">
        <v>1351</v>
      </c>
      <c r="F493" s="7">
        <v>4</v>
      </c>
      <c r="G493" s="1">
        <v>4</v>
      </c>
      <c r="H493" s="1" t="s">
        <v>8</v>
      </c>
      <c r="I493" s="1" t="s">
        <v>8</v>
      </c>
      <c r="J493" s="1" t="s">
        <v>4</v>
      </c>
      <c r="K493" s="2">
        <v>3.1250019300932198E-5</v>
      </c>
      <c r="L493" s="2">
        <v>2.70896964102825E-5</v>
      </c>
      <c r="M493" s="1">
        <v>-1.47235942664991E-2</v>
      </c>
      <c r="N493" s="1">
        <v>3.3816541271258802</v>
      </c>
    </row>
    <row r="494" spans="1:14">
      <c r="A494" s="1">
        <v>493</v>
      </c>
      <c r="B494" s="1" t="s">
        <v>1353</v>
      </c>
      <c r="C494" s="1" t="s">
        <v>1354</v>
      </c>
      <c r="D494" s="5" t="s">
        <v>1355</v>
      </c>
      <c r="E494" s="1" t="s">
        <v>1356</v>
      </c>
      <c r="F494" s="7">
        <v>4</v>
      </c>
      <c r="G494" s="1">
        <v>4</v>
      </c>
      <c r="H494" s="1" t="s">
        <v>98</v>
      </c>
      <c r="I494" s="1" t="s">
        <v>1357</v>
      </c>
      <c r="J494" s="1" t="s">
        <v>180</v>
      </c>
      <c r="K494" s="2">
        <v>3.1250002174924399E-5</v>
      </c>
      <c r="L494" s="2">
        <v>1.1136989784123201E-5</v>
      </c>
      <c r="M494" s="1">
        <v>-1.0204865353568199E-2</v>
      </c>
      <c r="N494" s="1">
        <v>3.6911862761912002</v>
      </c>
    </row>
    <row r="495" spans="1:14">
      <c r="A495" s="1">
        <v>494</v>
      </c>
      <c r="B495" s="1" t="s">
        <v>1358</v>
      </c>
      <c r="C495" s="1" t="s">
        <v>1359</v>
      </c>
      <c r="D495" s="5" t="s">
        <v>1360</v>
      </c>
      <c r="E495" s="1" t="s">
        <v>1358</v>
      </c>
      <c r="F495" s="7">
        <v>6</v>
      </c>
      <c r="G495" s="1">
        <v>4</v>
      </c>
      <c r="H495" s="1" t="s">
        <v>98</v>
      </c>
      <c r="I495" s="1" t="s">
        <v>98</v>
      </c>
      <c r="J495" s="1" t="s">
        <v>4</v>
      </c>
      <c r="K495" s="2">
        <v>3.12500029688941E-5</v>
      </c>
      <c r="L495" s="2">
        <v>2.15587350214928E-5</v>
      </c>
      <c r="M495" s="1">
        <v>-9.4453053960243897E-3</v>
      </c>
      <c r="N495" s="1">
        <v>3.2012850454109301</v>
      </c>
    </row>
    <row r="496" spans="1:14">
      <c r="A496" s="1">
        <v>495</v>
      </c>
      <c r="B496" s="1" t="s">
        <v>1361</v>
      </c>
      <c r="C496" s="1" t="s">
        <v>1362</v>
      </c>
      <c r="D496" s="5" t="s">
        <v>861</v>
      </c>
      <c r="E496" s="1" t="s">
        <v>1361</v>
      </c>
      <c r="F496" s="7">
        <v>4</v>
      </c>
      <c r="G496" s="1">
        <v>4</v>
      </c>
      <c r="H496" s="1" t="s">
        <v>8</v>
      </c>
      <c r="I496" s="1" t="s">
        <v>8</v>
      </c>
      <c r="J496" s="1" t="s">
        <v>4</v>
      </c>
      <c r="K496" s="2">
        <v>3.1250007826974299E-5</v>
      </c>
      <c r="L496" s="2">
        <v>2.7117517962680201E-5</v>
      </c>
      <c r="M496" s="1">
        <v>1.7195662427837901E-3</v>
      </c>
      <c r="N496" s="1">
        <v>3.6262030453043499</v>
      </c>
    </row>
    <row r="497" spans="1:14">
      <c r="A497" s="1">
        <v>496</v>
      </c>
      <c r="B497" s="1" t="s">
        <v>1363</v>
      </c>
      <c r="C497" s="1" t="s">
        <v>1364</v>
      </c>
      <c r="D497" s="5" t="s">
        <v>28</v>
      </c>
      <c r="E497" s="1" t="s">
        <v>1363</v>
      </c>
      <c r="F497" s="7">
        <v>4</v>
      </c>
      <c r="G497" s="1">
        <v>3</v>
      </c>
      <c r="H497" s="1" t="s">
        <v>8</v>
      </c>
      <c r="I497" s="1" t="s">
        <v>8</v>
      </c>
      <c r="J497" s="1" t="s">
        <v>4</v>
      </c>
      <c r="K497" s="2">
        <v>3.1250005709244201E-5</v>
      </c>
      <c r="L497" s="2">
        <v>1.92491614099993E-5</v>
      </c>
      <c r="M497" s="1">
        <v>5.3220438257994803E-3</v>
      </c>
      <c r="N497" s="1">
        <v>3.3766729657881198</v>
      </c>
    </row>
    <row r="498" spans="1:14">
      <c r="A498" s="1">
        <v>497</v>
      </c>
      <c r="B498" s="1" t="s">
        <v>1365</v>
      </c>
      <c r="C498" s="1" t="s">
        <v>1366</v>
      </c>
      <c r="D498" s="5" t="s">
        <v>1367</v>
      </c>
      <c r="E498" s="1" t="s">
        <v>1365</v>
      </c>
      <c r="F498" s="7">
        <v>6</v>
      </c>
      <c r="G498" s="1">
        <v>4</v>
      </c>
      <c r="H498" s="1" t="s">
        <v>68</v>
      </c>
      <c r="I498" s="1" t="s">
        <v>68</v>
      </c>
      <c r="J498" s="1" t="s">
        <v>4</v>
      </c>
      <c r="K498" s="2">
        <v>3.12500010533005E-5</v>
      </c>
      <c r="L498" s="2">
        <v>2.3829217519514999E-5</v>
      </c>
      <c r="M498" s="1">
        <v>-9.6628775525999799E-3</v>
      </c>
      <c r="N498" s="1">
        <v>3.4696178589909201</v>
      </c>
    </row>
    <row r="499" spans="1:14">
      <c r="A499" s="1">
        <v>498</v>
      </c>
      <c r="B499" s="1" t="s">
        <v>1368</v>
      </c>
      <c r="C499" s="1" t="s">
        <v>1369</v>
      </c>
      <c r="D499" s="5" t="s">
        <v>1370</v>
      </c>
      <c r="E499" s="1" t="s">
        <v>2349</v>
      </c>
      <c r="F499" s="7">
        <v>4</v>
      </c>
      <c r="G499" s="1">
        <v>5</v>
      </c>
      <c r="H499" s="1" t="s">
        <v>8</v>
      </c>
      <c r="I499" s="1" t="s">
        <v>8</v>
      </c>
      <c r="J499" s="1" t="s">
        <v>180</v>
      </c>
      <c r="K499" s="2">
        <v>3.12499984177613E-5</v>
      </c>
      <c r="L499" s="2">
        <v>9.7628909147256201E-7</v>
      </c>
      <c r="M499" s="1">
        <v>-7.4849125249443205E-4</v>
      </c>
      <c r="N499" s="1">
        <v>2.8691704655139501</v>
      </c>
    </row>
    <row r="500" spans="1:14">
      <c r="A500" s="1">
        <v>499</v>
      </c>
      <c r="B500" s="1" t="s">
        <v>1371</v>
      </c>
      <c r="C500" s="1" t="s">
        <v>1372</v>
      </c>
      <c r="D500" s="5" t="s">
        <v>1373</v>
      </c>
      <c r="E500" s="1" t="s">
        <v>1371</v>
      </c>
      <c r="F500" s="7">
        <v>4</v>
      </c>
      <c r="G500" s="1">
        <v>5</v>
      </c>
      <c r="H500" s="1" t="s">
        <v>8</v>
      </c>
      <c r="I500" s="1" t="s">
        <v>8</v>
      </c>
      <c r="J500" s="1" t="s">
        <v>4</v>
      </c>
      <c r="K500" s="2">
        <v>3.1249997775012601E-5</v>
      </c>
      <c r="L500" s="2">
        <v>4.4213316916262303E-6</v>
      </c>
      <c r="M500" s="1">
        <v>3.6319157249536702E-2</v>
      </c>
      <c r="N500" s="1">
        <v>2.36554801338858</v>
      </c>
    </row>
    <row r="501" spans="1:14">
      <c r="A501" s="1">
        <v>500</v>
      </c>
      <c r="B501" s="1" t="s">
        <v>1374</v>
      </c>
      <c r="C501" s="1" t="s">
        <v>1375</v>
      </c>
      <c r="D501" s="5" t="s">
        <v>1376</v>
      </c>
      <c r="E501" s="1" t="s">
        <v>1374</v>
      </c>
      <c r="F501" s="7">
        <v>4</v>
      </c>
      <c r="G501" s="1">
        <v>4</v>
      </c>
      <c r="H501" s="1" t="s">
        <v>8</v>
      </c>
      <c r="I501" s="1" t="s">
        <v>8</v>
      </c>
      <c r="J501" s="1" t="s">
        <v>4</v>
      </c>
      <c r="K501" s="2">
        <v>3.1250003289065899E-5</v>
      </c>
      <c r="L501" s="2">
        <v>3.89265988223643E-7</v>
      </c>
      <c r="M501" s="1">
        <v>3.6786587075439997E-2</v>
      </c>
      <c r="N501" s="1">
        <v>3.3019945407527098</v>
      </c>
    </row>
    <row r="502" spans="1:14">
      <c r="A502" s="1">
        <v>501</v>
      </c>
      <c r="B502" s="1" t="s">
        <v>1377</v>
      </c>
      <c r="C502" s="1" t="s">
        <v>1378</v>
      </c>
      <c r="D502" s="5" t="s">
        <v>1379</v>
      </c>
      <c r="E502" s="1" t="s">
        <v>1377</v>
      </c>
      <c r="F502" s="7">
        <v>4</v>
      </c>
      <c r="G502" s="1">
        <v>4</v>
      </c>
      <c r="H502" s="1" t="s">
        <v>98</v>
      </c>
      <c r="I502" s="1" t="s">
        <v>98</v>
      </c>
      <c r="J502" s="1" t="s">
        <v>4</v>
      </c>
      <c r="K502" s="2">
        <v>3.1250004643658302E-5</v>
      </c>
      <c r="L502" s="2">
        <v>3.0446409401680301E-5</v>
      </c>
      <c r="M502" s="1">
        <v>-2.6933577262816699E-2</v>
      </c>
      <c r="N502" s="1">
        <v>3.2599318259253298</v>
      </c>
    </row>
    <row r="503" spans="1:14">
      <c r="A503" s="1">
        <v>502</v>
      </c>
      <c r="B503" s="1" t="s">
        <v>1380</v>
      </c>
      <c r="C503" s="1" t="s">
        <v>1381</v>
      </c>
      <c r="D503" s="5" t="s">
        <v>283</v>
      </c>
      <c r="E503" s="1" t="s">
        <v>1380</v>
      </c>
      <c r="F503" s="7">
        <v>4</v>
      </c>
      <c r="G503" s="1">
        <v>2</v>
      </c>
      <c r="H503" s="1" t="s">
        <v>12</v>
      </c>
      <c r="I503" s="1" t="s">
        <v>12</v>
      </c>
      <c r="J503" s="1" t="s">
        <v>4</v>
      </c>
      <c r="K503" s="2">
        <v>3.1250009187677502E-5</v>
      </c>
      <c r="L503" s="2">
        <v>8.2329875030572093E-6</v>
      </c>
      <c r="M503" s="1">
        <v>-9.847219773533309E-4</v>
      </c>
      <c r="N503" s="1">
        <v>3.65854215463456</v>
      </c>
    </row>
    <row r="504" spans="1:14">
      <c r="A504" s="1">
        <v>503</v>
      </c>
      <c r="B504" s="1" t="s">
        <v>1382</v>
      </c>
      <c r="C504" s="1" t="s">
        <v>1383</v>
      </c>
      <c r="D504" s="5" t="s">
        <v>1287</v>
      </c>
      <c r="E504" s="1" t="s">
        <v>1382</v>
      </c>
      <c r="F504" s="7">
        <v>4</v>
      </c>
      <c r="G504" s="1">
        <v>3</v>
      </c>
      <c r="H504" s="1" t="s">
        <v>98</v>
      </c>
      <c r="I504" s="1" t="s">
        <v>98</v>
      </c>
      <c r="J504" s="1" t="s">
        <v>4</v>
      </c>
      <c r="K504" s="2">
        <v>3.1250001546879501E-5</v>
      </c>
      <c r="L504" s="2">
        <v>2.6779215284383599E-6</v>
      </c>
      <c r="M504" s="1">
        <v>-4.5085239839863702E-3</v>
      </c>
      <c r="N504" s="1">
        <v>3.2437959372981102</v>
      </c>
    </row>
    <row r="505" spans="1:14">
      <c r="A505" s="1">
        <v>504</v>
      </c>
      <c r="B505" s="1" t="s">
        <v>1384</v>
      </c>
      <c r="C505" s="1" t="s">
        <v>1385</v>
      </c>
      <c r="D505" s="5" t="s">
        <v>37</v>
      </c>
      <c r="E505" s="1" t="s">
        <v>2350</v>
      </c>
      <c r="F505" s="7">
        <v>4</v>
      </c>
      <c r="G505" s="1">
        <v>3</v>
      </c>
      <c r="H505" s="1" t="s">
        <v>8</v>
      </c>
      <c r="I505" s="1" t="s">
        <v>8</v>
      </c>
      <c r="J505" s="1" t="s">
        <v>180</v>
      </c>
      <c r="K505" s="2">
        <v>3.1249998702198101E-5</v>
      </c>
      <c r="L505" s="2">
        <v>5.2011235436215303E-6</v>
      </c>
      <c r="M505" s="1">
        <v>-4.5879932929224704E-3</v>
      </c>
      <c r="N505" s="1">
        <v>3.68005235968924</v>
      </c>
    </row>
    <row r="506" spans="1:14">
      <c r="A506" s="1">
        <v>505</v>
      </c>
      <c r="B506" s="1" t="s">
        <v>1386</v>
      </c>
      <c r="C506" s="1" t="s">
        <v>1387</v>
      </c>
      <c r="D506" s="5" t="s">
        <v>1129</v>
      </c>
      <c r="E506" s="1" t="s">
        <v>1386</v>
      </c>
      <c r="F506" s="7">
        <v>4</v>
      </c>
      <c r="G506" s="1">
        <v>3</v>
      </c>
      <c r="H506" s="1" t="s">
        <v>8</v>
      </c>
      <c r="I506" s="1" t="s">
        <v>8</v>
      </c>
      <c r="J506" s="1" t="s">
        <v>4</v>
      </c>
      <c r="K506" s="2">
        <v>3.1250003476317799E-5</v>
      </c>
      <c r="L506" s="2">
        <v>4.8704175211441196E-6</v>
      </c>
      <c r="M506" s="1">
        <v>1.5358050396755999E-2</v>
      </c>
      <c r="N506" s="1">
        <v>3.0754456990191499</v>
      </c>
    </row>
    <row r="507" spans="1:14">
      <c r="A507" s="1">
        <v>506</v>
      </c>
      <c r="B507" s="1" t="s">
        <v>1388</v>
      </c>
      <c r="C507" s="1" t="s">
        <v>1389</v>
      </c>
      <c r="D507" s="5" t="s">
        <v>677</v>
      </c>
      <c r="E507" s="1" t="s">
        <v>1390</v>
      </c>
      <c r="F507" s="7">
        <v>4</v>
      </c>
      <c r="G507" s="1">
        <v>2</v>
      </c>
      <c r="H507" s="1" t="s">
        <v>12</v>
      </c>
      <c r="I507" s="1" t="s">
        <v>8</v>
      </c>
      <c r="J507" s="1" t="s">
        <v>180</v>
      </c>
      <c r="K507" s="2">
        <v>3.1250005297858602E-5</v>
      </c>
      <c r="L507" s="2">
        <v>3.50716353045181E-6</v>
      </c>
      <c r="M507" s="1">
        <v>1.6567447535027899E-2</v>
      </c>
      <c r="N507" s="1">
        <v>3.7134378795202401</v>
      </c>
    </row>
    <row r="508" spans="1:14">
      <c r="A508" s="1">
        <v>507</v>
      </c>
      <c r="B508" s="1" t="s">
        <v>1391</v>
      </c>
      <c r="C508" s="1" t="s">
        <v>1392</v>
      </c>
      <c r="D508" s="5" t="s">
        <v>1393</v>
      </c>
      <c r="E508" s="1" t="s">
        <v>1394</v>
      </c>
      <c r="F508" s="7">
        <v>4</v>
      </c>
      <c r="G508" s="1">
        <v>7</v>
      </c>
      <c r="H508" s="1" t="s">
        <v>8</v>
      </c>
      <c r="I508" s="1" t="s">
        <v>12</v>
      </c>
      <c r="J508" s="1" t="s">
        <v>180</v>
      </c>
      <c r="K508" s="2">
        <v>3.12499903369988E-5</v>
      </c>
      <c r="L508" s="2">
        <v>1.3823944679546001E-5</v>
      </c>
      <c r="M508" s="1">
        <v>-3.7814893071917703E-2</v>
      </c>
      <c r="N508" s="1">
        <v>3.28700745296074</v>
      </c>
    </row>
    <row r="509" spans="1:14">
      <c r="A509" s="1">
        <v>508</v>
      </c>
      <c r="B509" s="1" t="s">
        <v>1395</v>
      </c>
      <c r="C509" s="1" t="s">
        <v>1396</v>
      </c>
      <c r="D509" s="5" t="s">
        <v>1397</v>
      </c>
      <c r="E509" s="1" t="s">
        <v>1395</v>
      </c>
      <c r="F509" s="7">
        <v>4</v>
      </c>
      <c r="G509" s="1">
        <v>5</v>
      </c>
      <c r="H509" s="1" t="s">
        <v>8</v>
      </c>
      <c r="I509" s="1" t="s">
        <v>8</v>
      </c>
      <c r="J509" s="1" t="s">
        <v>4</v>
      </c>
      <c r="K509" s="2">
        <v>3.1250005218046197E-5</v>
      </c>
      <c r="L509" s="2">
        <v>5.4794163577117901E-6</v>
      </c>
      <c r="M509" s="1">
        <v>-1.1538943301081499E-2</v>
      </c>
      <c r="N509" s="1">
        <v>3.1464115981091698</v>
      </c>
    </row>
    <row r="510" spans="1:14">
      <c r="A510" s="1">
        <v>509</v>
      </c>
      <c r="B510" s="1" t="s">
        <v>1398</v>
      </c>
      <c r="C510" s="1" t="s">
        <v>1399</v>
      </c>
      <c r="D510" s="5" t="s">
        <v>1400</v>
      </c>
      <c r="E510" s="1" t="s">
        <v>1398</v>
      </c>
      <c r="F510" s="7">
        <v>4</v>
      </c>
      <c r="G510" s="1">
        <v>8</v>
      </c>
      <c r="H510" s="1" t="s">
        <v>8</v>
      </c>
      <c r="I510" s="1" t="s">
        <v>8</v>
      </c>
      <c r="J510" s="1" t="s">
        <v>4</v>
      </c>
      <c r="K510" s="2">
        <v>3.1250002503848902E-5</v>
      </c>
      <c r="L510" s="2">
        <v>8.4366132227029198E-7</v>
      </c>
      <c r="M510" s="1">
        <v>2.2593770713399401E-2</v>
      </c>
      <c r="N510" s="1">
        <v>3.02967712508178</v>
      </c>
    </row>
    <row r="511" spans="1:14">
      <c r="A511" s="1">
        <v>510</v>
      </c>
      <c r="B511" s="1" t="s">
        <v>1401</v>
      </c>
      <c r="C511" s="1" t="s">
        <v>1402</v>
      </c>
      <c r="D511" s="5" t="s">
        <v>936</v>
      </c>
      <c r="E511" s="1" t="s">
        <v>1401</v>
      </c>
      <c r="F511" s="7">
        <v>4</v>
      </c>
      <c r="G511" s="1">
        <v>4</v>
      </c>
      <c r="H511" s="1" t="s">
        <v>8</v>
      </c>
      <c r="I511" s="1" t="s">
        <v>8</v>
      </c>
      <c r="J511" s="1" t="s">
        <v>4</v>
      </c>
      <c r="K511" s="2">
        <v>3.12500077506729E-5</v>
      </c>
      <c r="L511" s="2">
        <v>2.4616313526732299E-5</v>
      </c>
      <c r="M511" s="1">
        <v>3.4094887944981098E-2</v>
      </c>
      <c r="N511" s="1">
        <v>3.0626960900625102</v>
      </c>
    </row>
    <row r="512" spans="1:14">
      <c r="A512" s="1">
        <v>511</v>
      </c>
      <c r="B512" s="1" t="s">
        <v>1403</v>
      </c>
      <c r="C512" s="1" t="s">
        <v>1404</v>
      </c>
      <c r="D512" s="5" t="s">
        <v>413</v>
      </c>
      <c r="E512" s="1" t="s">
        <v>1403</v>
      </c>
      <c r="F512" s="7">
        <v>4</v>
      </c>
      <c r="G512" s="1">
        <v>5</v>
      </c>
      <c r="H512" s="1" t="s">
        <v>8</v>
      </c>
      <c r="I512" s="1" t="s">
        <v>8</v>
      </c>
      <c r="J512" s="1" t="s">
        <v>4</v>
      </c>
      <c r="K512" s="2">
        <v>3.1250002923766197E-5</v>
      </c>
      <c r="L512" s="2">
        <v>8.6007504037484803E-6</v>
      </c>
      <c r="M512" s="1">
        <v>1.37592963423429E-2</v>
      </c>
      <c r="N512" s="1">
        <v>3.0359957781051201</v>
      </c>
    </row>
    <row r="513" spans="1:14">
      <c r="A513" s="1">
        <v>512</v>
      </c>
      <c r="B513" s="1" t="s">
        <v>1405</v>
      </c>
      <c r="C513" s="1" t="s">
        <v>1406</v>
      </c>
      <c r="D513" s="5" t="s">
        <v>1407</v>
      </c>
      <c r="E513" s="1" t="s">
        <v>2351</v>
      </c>
      <c r="F513" s="7">
        <v>4</v>
      </c>
      <c r="G513" s="1">
        <v>5</v>
      </c>
      <c r="H513" s="1" t="s">
        <v>8</v>
      </c>
      <c r="I513" s="1" t="s">
        <v>8</v>
      </c>
      <c r="J513" s="1" t="s">
        <v>180</v>
      </c>
      <c r="K513" s="2">
        <v>3.1249999087414903E-5</v>
      </c>
      <c r="L513" s="2">
        <v>1.7787052422818599E-6</v>
      </c>
      <c r="M513" s="1">
        <v>-1.3972406501608199E-2</v>
      </c>
      <c r="N513" s="1">
        <v>3.5304482345607502</v>
      </c>
    </row>
    <row r="514" spans="1:14">
      <c r="A514" s="1">
        <v>513</v>
      </c>
      <c r="B514" s="1" t="s">
        <v>1408</v>
      </c>
      <c r="C514" s="1" t="s">
        <v>1409</v>
      </c>
      <c r="D514" s="5" t="s">
        <v>1410</v>
      </c>
      <c r="E514" s="1" t="s">
        <v>1408</v>
      </c>
      <c r="F514" s="7">
        <v>5</v>
      </c>
      <c r="G514" s="1">
        <v>5</v>
      </c>
      <c r="H514" s="1" t="s">
        <v>8</v>
      </c>
      <c r="I514" s="1" t="s">
        <v>8</v>
      </c>
      <c r="J514" s="1" t="s">
        <v>4</v>
      </c>
      <c r="K514" s="2">
        <v>3.1249998838887501E-5</v>
      </c>
      <c r="L514" s="2">
        <v>2.5144583857532602E-5</v>
      </c>
      <c r="M514" s="1">
        <v>3.3135456099721197E-2</v>
      </c>
      <c r="N514" s="1">
        <v>3.4385153016569099</v>
      </c>
    </row>
    <row r="515" spans="1:14">
      <c r="A515" s="1">
        <v>514</v>
      </c>
      <c r="B515" s="1" t="s">
        <v>1411</v>
      </c>
      <c r="C515" s="1" t="s">
        <v>1412</v>
      </c>
      <c r="D515" s="5" t="s">
        <v>61</v>
      </c>
      <c r="E515" s="1" t="s">
        <v>1411</v>
      </c>
      <c r="F515" s="7">
        <v>5</v>
      </c>
      <c r="G515" s="1">
        <v>2</v>
      </c>
      <c r="H515" s="1" t="s">
        <v>22</v>
      </c>
      <c r="I515" s="1" t="s">
        <v>22</v>
      </c>
      <c r="J515" s="1" t="s">
        <v>4</v>
      </c>
      <c r="K515" s="2">
        <v>3.1250002036818699E-5</v>
      </c>
      <c r="L515" s="2">
        <v>1.3140132648079899E-5</v>
      </c>
      <c r="M515" s="1">
        <v>2.84881641963963E-3</v>
      </c>
      <c r="N515" s="1">
        <v>3.51624204627623</v>
      </c>
    </row>
    <row r="516" spans="1:14">
      <c r="A516" s="1">
        <v>515</v>
      </c>
      <c r="B516" s="1" t="s">
        <v>1413</v>
      </c>
      <c r="C516" s="1" t="s">
        <v>1414</v>
      </c>
      <c r="D516" s="5" t="s">
        <v>1415</v>
      </c>
      <c r="E516" s="1" t="s">
        <v>2352</v>
      </c>
      <c r="F516" s="7">
        <v>4</v>
      </c>
      <c r="G516" s="1">
        <v>6</v>
      </c>
      <c r="H516" s="1" t="s">
        <v>8</v>
      </c>
      <c r="I516" s="1" t="s">
        <v>22</v>
      </c>
      <c r="J516" s="1" t="s">
        <v>180</v>
      </c>
      <c r="K516" s="2">
        <v>3.1250005064751103E-5</v>
      </c>
      <c r="L516" s="2">
        <v>2.3309968926597802E-6</v>
      </c>
      <c r="M516" s="1">
        <v>-1.4080551075229699E-2</v>
      </c>
      <c r="N516" s="1">
        <v>3.5204222947731099</v>
      </c>
    </row>
    <row r="517" spans="1:14">
      <c r="A517" s="1">
        <v>516</v>
      </c>
      <c r="B517" s="1" t="s">
        <v>1416</v>
      </c>
      <c r="C517" s="1" t="s">
        <v>1417</v>
      </c>
      <c r="D517" s="5" t="s">
        <v>1418</v>
      </c>
      <c r="E517" s="1" t="s">
        <v>1416</v>
      </c>
      <c r="F517" s="7">
        <v>4</v>
      </c>
      <c r="G517" s="1">
        <v>5</v>
      </c>
      <c r="H517" s="1" t="s">
        <v>8</v>
      </c>
      <c r="I517" s="1" t="s">
        <v>8</v>
      </c>
      <c r="J517" s="1" t="s">
        <v>4</v>
      </c>
      <c r="K517" s="2">
        <v>3.1249997515516597E-5</v>
      </c>
      <c r="L517" s="2">
        <v>2.4422692111938799E-5</v>
      </c>
      <c r="M517" s="1">
        <v>2.66556592771891E-2</v>
      </c>
      <c r="N517" s="1">
        <v>3.3480102083349799</v>
      </c>
    </row>
    <row r="518" spans="1:14">
      <c r="A518" s="1">
        <v>517</v>
      </c>
      <c r="B518" s="1" t="s">
        <v>1419</v>
      </c>
      <c r="C518" s="1" t="s">
        <v>1420</v>
      </c>
      <c r="D518" s="5" t="s">
        <v>597</v>
      </c>
      <c r="E518" s="1" t="s">
        <v>1419</v>
      </c>
      <c r="F518" s="7">
        <v>4</v>
      </c>
      <c r="G518" s="1">
        <v>4</v>
      </c>
      <c r="H518" s="1" t="s">
        <v>68</v>
      </c>
      <c r="I518" s="1" t="s">
        <v>68</v>
      </c>
      <c r="J518" s="1" t="s">
        <v>4</v>
      </c>
      <c r="K518" s="2">
        <v>3.1249997852002001E-5</v>
      </c>
      <c r="L518" s="2">
        <v>2.9004222301343598E-5</v>
      </c>
      <c r="M518" s="1">
        <v>3.59458002814783E-3</v>
      </c>
      <c r="N518" s="1">
        <v>3.5658422654822499</v>
      </c>
    </row>
    <row r="519" spans="1:14">
      <c r="A519" s="1">
        <v>518</v>
      </c>
      <c r="B519" s="1" t="s">
        <v>1421</v>
      </c>
      <c r="C519" s="1" t="s">
        <v>1422</v>
      </c>
      <c r="D519" s="5" t="s">
        <v>1423</v>
      </c>
      <c r="E519" s="1" t="s">
        <v>1421</v>
      </c>
      <c r="F519" s="7">
        <v>4</v>
      </c>
      <c r="G519" s="1">
        <v>5</v>
      </c>
      <c r="H519" s="1" t="s">
        <v>8</v>
      </c>
      <c r="I519" s="1" t="s">
        <v>8</v>
      </c>
      <c r="J519" s="1" t="s">
        <v>4</v>
      </c>
      <c r="K519" s="2">
        <v>3.12500025699613E-5</v>
      </c>
      <c r="L519" s="2">
        <v>8.9772335494103699E-7</v>
      </c>
      <c r="M519" s="1">
        <v>4.9227799301391401E-2</v>
      </c>
      <c r="N519" s="1">
        <v>2.6786955949132998</v>
      </c>
    </row>
    <row r="520" spans="1:14">
      <c r="A520" s="1">
        <v>519</v>
      </c>
      <c r="B520" s="1" t="s">
        <v>1424</v>
      </c>
      <c r="C520" s="1" t="s">
        <v>1425</v>
      </c>
      <c r="D520" s="5" t="s">
        <v>1426</v>
      </c>
      <c r="E520" s="1" t="s">
        <v>1424</v>
      </c>
      <c r="F520" s="7">
        <v>4</v>
      </c>
      <c r="G520" s="1">
        <v>4</v>
      </c>
      <c r="H520" s="1" t="s">
        <v>8</v>
      </c>
      <c r="I520" s="1" t="s">
        <v>8</v>
      </c>
      <c r="J520" s="1" t="s">
        <v>4</v>
      </c>
      <c r="K520" s="2">
        <v>3.1250006325777E-5</v>
      </c>
      <c r="L520" s="2">
        <v>3.1233153658479397E-5</v>
      </c>
      <c r="M520" s="1">
        <v>-5.5204100524530704E-3</v>
      </c>
      <c r="N520" s="1">
        <v>3.06120699623829</v>
      </c>
    </row>
    <row r="521" spans="1:14">
      <c r="A521" s="1">
        <v>520</v>
      </c>
      <c r="B521" s="1" t="s">
        <v>1427</v>
      </c>
      <c r="C521" s="1" t="s">
        <v>1428</v>
      </c>
      <c r="D521" s="5" t="s">
        <v>1119</v>
      </c>
      <c r="E521" s="1" t="s">
        <v>1427</v>
      </c>
      <c r="F521" s="7">
        <v>4</v>
      </c>
      <c r="G521" s="1">
        <v>5</v>
      </c>
      <c r="H521" s="1" t="s">
        <v>8</v>
      </c>
      <c r="I521" s="1" t="s">
        <v>8</v>
      </c>
      <c r="J521" s="1" t="s">
        <v>4</v>
      </c>
      <c r="K521" s="2">
        <v>3.1250005987596202E-5</v>
      </c>
      <c r="L521" s="2">
        <v>2.2237148023605499E-5</v>
      </c>
      <c r="M521" s="1">
        <v>2.5720052066276301E-2</v>
      </c>
      <c r="N521" s="1">
        <v>3.3764400969427899</v>
      </c>
    </row>
    <row r="522" spans="1:14">
      <c r="A522" s="1">
        <v>521</v>
      </c>
      <c r="B522" s="1" t="s">
        <v>1429</v>
      </c>
      <c r="C522" s="1" t="s">
        <v>1430</v>
      </c>
      <c r="D522" s="5" t="s">
        <v>1431</v>
      </c>
      <c r="E522" s="1" t="s">
        <v>1429</v>
      </c>
      <c r="F522" s="7">
        <v>4</v>
      </c>
      <c r="G522" s="1">
        <v>6</v>
      </c>
      <c r="H522" s="1" t="s">
        <v>8</v>
      </c>
      <c r="I522" s="1" t="s">
        <v>8</v>
      </c>
      <c r="J522" s="1" t="s">
        <v>4</v>
      </c>
      <c r="K522" s="2">
        <v>3.12500021804182E-5</v>
      </c>
      <c r="L522" s="2">
        <v>2.1249141107309102E-5</v>
      </c>
      <c r="M522" s="1">
        <v>2.1643162547232701E-2</v>
      </c>
      <c r="N522" s="1">
        <v>2.3783783845819699</v>
      </c>
    </row>
    <row r="523" spans="1:14">
      <c r="A523" s="1">
        <v>522</v>
      </c>
      <c r="B523" s="1" t="s">
        <v>1432</v>
      </c>
      <c r="C523" s="1" t="s">
        <v>1433</v>
      </c>
      <c r="D523" s="5" t="s">
        <v>1434</v>
      </c>
      <c r="E523" s="1" t="s">
        <v>2353</v>
      </c>
      <c r="F523" s="7">
        <v>5</v>
      </c>
      <c r="G523" s="1">
        <v>7</v>
      </c>
      <c r="H523" s="1" t="s">
        <v>22</v>
      </c>
      <c r="I523" s="1" t="s">
        <v>22</v>
      </c>
      <c r="J523" s="1" t="s">
        <v>180</v>
      </c>
      <c r="K523" s="2">
        <v>3.1250002041000202E-5</v>
      </c>
      <c r="L523" s="2">
        <v>2.0827508819861202E-6</v>
      </c>
      <c r="M523" s="1">
        <v>2.9090974135733898E-2</v>
      </c>
      <c r="N523" s="1">
        <v>3.44738749365998</v>
      </c>
    </row>
    <row r="524" spans="1:14">
      <c r="A524" s="1">
        <v>523</v>
      </c>
      <c r="B524" s="1" t="s">
        <v>1435</v>
      </c>
      <c r="C524" s="1" t="s">
        <v>1436</v>
      </c>
      <c r="D524" s="5" t="s">
        <v>1437</v>
      </c>
      <c r="E524" s="1" t="s">
        <v>1435</v>
      </c>
      <c r="F524" s="7">
        <v>4</v>
      </c>
      <c r="G524" s="1">
        <v>3</v>
      </c>
      <c r="H524" s="1" t="s">
        <v>8</v>
      </c>
      <c r="I524" s="1" t="s">
        <v>8</v>
      </c>
      <c r="J524" s="1" t="s">
        <v>4</v>
      </c>
      <c r="K524" s="2">
        <v>3.1250005342657998E-5</v>
      </c>
      <c r="L524" s="2">
        <v>1.5945157794392401E-6</v>
      </c>
      <c r="M524" s="1">
        <v>3.6713997548403599E-2</v>
      </c>
      <c r="N524" s="1">
        <v>2.9977488955491198</v>
      </c>
    </row>
    <row r="525" spans="1:14">
      <c r="A525" s="1">
        <v>524</v>
      </c>
      <c r="B525" s="1" t="s">
        <v>1438</v>
      </c>
      <c r="C525" s="1" t="s">
        <v>1439</v>
      </c>
      <c r="D525" s="5" t="s">
        <v>119</v>
      </c>
      <c r="E525" s="1" t="s">
        <v>1438</v>
      </c>
      <c r="F525" s="7">
        <v>4</v>
      </c>
      <c r="G525" s="1">
        <v>4</v>
      </c>
      <c r="H525" s="1" t="s">
        <v>8</v>
      </c>
      <c r="I525" s="1" t="s">
        <v>8</v>
      </c>
      <c r="J525" s="1" t="s">
        <v>4</v>
      </c>
      <c r="K525" s="2">
        <v>3.1249997334510799E-5</v>
      </c>
      <c r="L525" s="2">
        <v>2.9121795230222799E-5</v>
      </c>
      <c r="M525" s="1">
        <v>-1.7326384797071201E-2</v>
      </c>
      <c r="N525" s="1">
        <v>3.37861350736787</v>
      </c>
    </row>
    <row r="526" spans="1:14">
      <c r="A526" s="1">
        <v>525</v>
      </c>
      <c r="B526" s="1" t="s">
        <v>1440</v>
      </c>
      <c r="C526" s="1" t="s">
        <v>1441</v>
      </c>
      <c r="D526" s="5" t="s">
        <v>1442</v>
      </c>
      <c r="E526" s="1" t="s">
        <v>2354</v>
      </c>
      <c r="F526" s="7">
        <v>4</v>
      </c>
      <c r="G526" s="1">
        <v>8</v>
      </c>
      <c r="H526" s="1" t="s">
        <v>8</v>
      </c>
      <c r="I526" s="1" t="s">
        <v>8</v>
      </c>
      <c r="J526" s="1" t="s">
        <v>180</v>
      </c>
      <c r="K526" s="2">
        <v>3.1249996899641103E-5</v>
      </c>
      <c r="L526" s="2">
        <v>1.8423910524872901E-6</v>
      </c>
      <c r="M526" s="1">
        <v>9.6910024750656003E-3</v>
      </c>
      <c r="N526" s="1">
        <v>3.7123945707844301</v>
      </c>
    </row>
    <row r="527" spans="1:14">
      <c r="A527" s="1">
        <v>526</v>
      </c>
      <c r="B527" s="1" t="s">
        <v>1443</v>
      </c>
      <c r="C527" s="1" t="s">
        <v>1444</v>
      </c>
      <c r="D527" s="5" t="s">
        <v>677</v>
      </c>
      <c r="E527" s="1" t="s">
        <v>1443</v>
      </c>
      <c r="F527" s="7">
        <v>4</v>
      </c>
      <c r="G527" s="1">
        <v>2</v>
      </c>
      <c r="H527" s="1" t="s">
        <v>12</v>
      </c>
      <c r="I527" s="1" t="s">
        <v>12</v>
      </c>
      <c r="J527" s="1" t="s">
        <v>4</v>
      </c>
      <c r="K527" s="2">
        <v>3.1250010919904501E-5</v>
      </c>
      <c r="L527" s="2">
        <v>1.3185721923408299E-5</v>
      </c>
      <c r="M527" s="1">
        <v>-4.8761461128455197E-2</v>
      </c>
      <c r="N527" s="1">
        <v>3.4164995038188199</v>
      </c>
    </row>
    <row r="528" spans="1:14">
      <c r="A528" s="1">
        <v>527</v>
      </c>
      <c r="B528" s="1" t="s">
        <v>1445</v>
      </c>
      <c r="C528" s="1" t="s">
        <v>1446</v>
      </c>
      <c r="D528" s="5" t="s">
        <v>292</v>
      </c>
      <c r="E528" s="1" t="s">
        <v>1445</v>
      </c>
      <c r="F528" s="7">
        <v>5</v>
      </c>
      <c r="G528" s="1">
        <v>4</v>
      </c>
      <c r="H528" s="1" t="s">
        <v>8</v>
      </c>
      <c r="I528" s="1" t="s">
        <v>8</v>
      </c>
      <c r="J528" s="1" t="s">
        <v>4</v>
      </c>
      <c r="K528" s="2">
        <v>3.1250002629278503E-5</v>
      </c>
      <c r="L528" s="2">
        <v>1.2161755893697799E-5</v>
      </c>
      <c r="M528" s="1">
        <v>1.32120966175861E-2</v>
      </c>
      <c r="N528" s="1">
        <v>3.4157441695830499</v>
      </c>
    </row>
    <row r="529" spans="1:14">
      <c r="A529" s="1">
        <v>528</v>
      </c>
      <c r="B529" s="1" t="s">
        <v>1447</v>
      </c>
      <c r="C529" s="1" t="s">
        <v>1448</v>
      </c>
      <c r="D529" s="5" t="s">
        <v>1449</v>
      </c>
      <c r="E529" s="1" t="s">
        <v>1447</v>
      </c>
      <c r="F529" s="7">
        <v>7</v>
      </c>
      <c r="G529" s="1">
        <v>6</v>
      </c>
      <c r="H529" s="1" t="s">
        <v>8</v>
      </c>
      <c r="I529" s="1" t="s">
        <v>8</v>
      </c>
      <c r="J529" s="1" t="s">
        <v>4</v>
      </c>
      <c r="K529" s="2">
        <v>3.1250002066245403E-5</v>
      </c>
      <c r="L529" s="2">
        <v>1.6962349391403401E-5</v>
      </c>
      <c r="M529" s="1">
        <v>4.89799919060427E-2</v>
      </c>
      <c r="N529" s="1">
        <v>2.7939215284220702</v>
      </c>
    </row>
    <row r="530" spans="1:14">
      <c r="A530" s="1">
        <v>529</v>
      </c>
      <c r="B530" s="1" t="s">
        <v>1450</v>
      </c>
      <c r="C530" s="1" t="s">
        <v>1451</v>
      </c>
      <c r="D530" s="5" t="s">
        <v>1452</v>
      </c>
      <c r="E530" s="1" t="s">
        <v>1450</v>
      </c>
      <c r="F530" s="7">
        <v>4</v>
      </c>
      <c r="G530" s="1">
        <v>3</v>
      </c>
      <c r="H530" s="1" t="s">
        <v>8</v>
      </c>
      <c r="I530" s="1" t="s">
        <v>8</v>
      </c>
      <c r="J530" s="1" t="s">
        <v>4</v>
      </c>
      <c r="K530" s="2">
        <v>3.1250007627971497E-5</v>
      </c>
      <c r="L530" s="2">
        <v>1.5836227375987202E-5</v>
      </c>
      <c r="M530" s="1">
        <v>2.8328733090681102E-3</v>
      </c>
      <c r="N530" s="1">
        <v>3.01197662992496</v>
      </c>
    </row>
    <row r="531" spans="1:14">
      <c r="A531" s="1">
        <v>530</v>
      </c>
      <c r="B531" s="1" t="s">
        <v>1453</v>
      </c>
      <c r="C531" s="1" t="s">
        <v>1454</v>
      </c>
      <c r="D531" s="5" t="s">
        <v>1455</v>
      </c>
      <c r="E531" s="1" t="s">
        <v>1453</v>
      </c>
      <c r="F531" s="7">
        <v>4</v>
      </c>
      <c r="G531" s="1">
        <v>4</v>
      </c>
      <c r="H531" s="1" t="s">
        <v>8</v>
      </c>
      <c r="I531" s="1" t="s">
        <v>8</v>
      </c>
      <c r="J531" s="1" t="s">
        <v>4</v>
      </c>
      <c r="K531" s="2">
        <v>3.1250006473973702E-5</v>
      </c>
      <c r="L531" s="2">
        <v>3.1110168853940303E-5</v>
      </c>
      <c r="M531" s="1">
        <v>3.26615936848213E-2</v>
      </c>
      <c r="N531" s="1">
        <v>3.0270829245366899</v>
      </c>
    </row>
    <row r="532" spans="1:14">
      <c r="A532" s="1">
        <v>531</v>
      </c>
      <c r="B532" s="1" t="s">
        <v>1456</v>
      </c>
      <c r="C532" s="1" t="s">
        <v>1457</v>
      </c>
      <c r="D532" s="5" t="s">
        <v>475</v>
      </c>
      <c r="E532" s="1" t="s">
        <v>1458</v>
      </c>
      <c r="F532" s="7">
        <v>4</v>
      </c>
      <c r="G532" s="1">
        <v>5</v>
      </c>
      <c r="H532" s="1" t="s">
        <v>8</v>
      </c>
      <c r="I532" s="1" t="s">
        <v>12</v>
      </c>
      <c r="J532" s="1" t="s">
        <v>180</v>
      </c>
      <c r="K532" s="2">
        <v>3.1249999105386299E-5</v>
      </c>
      <c r="L532" s="2">
        <v>1.0453996458543599E-5</v>
      </c>
      <c r="M532" s="1">
        <v>-1.0021182781373201E-2</v>
      </c>
      <c r="N532" s="1">
        <v>3.6339826223374199</v>
      </c>
    </row>
    <row r="533" spans="1:14">
      <c r="A533" s="1">
        <v>532</v>
      </c>
      <c r="B533" s="1" t="s">
        <v>1459</v>
      </c>
      <c r="C533" s="1" t="s">
        <v>1460</v>
      </c>
      <c r="D533" s="5" t="s">
        <v>1461</v>
      </c>
      <c r="E533" s="1" t="s">
        <v>1459</v>
      </c>
      <c r="F533" s="7">
        <v>4</v>
      </c>
      <c r="G533" s="1">
        <v>4</v>
      </c>
      <c r="H533" s="1" t="s">
        <v>8</v>
      </c>
      <c r="I533" s="1" t="s">
        <v>8</v>
      </c>
      <c r="J533" s="1" t="s">
        <v>4</v>
      </c>
      <c r="K533" s="2">
        <v>3.1250002382201499E-5</v>
      </c>
      <c r="L533" s="2">
        <v>3.28061137232542E-6</v>
      </c>
      <c r="M533" s="1">
        <v>3.5702034315498503E-2</v>
      </c>
      <c r="N533" s="1">
        <v>2.7792956601789101</v>
      </c>
    </row>
    <row r="534" spans="1:14">
      <c r="A534" s="1">
        <v>533</v>
      </c>
      <c r="B534" s="1" t="s">
        <v>1462</v>
      </c>
      <c r="C534" s="1" t="s">
        <v>1463</v>
      </c>
      <c r="D534" s="5" t="s">
        <v>1464</v>
      </c>
      <c r="E534" s="1" t="s">
        <v>1462</v>
      </c>
      <c r="F534" s="7">
        <v>4</v>
      </c>
      <c r="G534" s="1">
        <v>3</v>
      </c>
      <c r="H534" s="1" t="s">
        <v>8</v>
      </c>
      <c r="I534" s="1" t="s">
        <v>8</v>
      </c>
      <c r="J534" s="1" t="s">
        <v>4</v>
      </c>
      <c r="K534" s="2">
        <v>3.1250011777153201E-5</v>
      </c>
      <c r="L534" s="2">
        <v>1.7228799578967901E-5</v>
      </c>
      <c r="M534" s="1">
        <v>4.2869789466663998E-2</v>
      </c>
      <c r="N534" s="1">
        <v>3.0563481856141999</v>
      </c>
    </row>
    <row r="535" spans="1:14">
      <c r="A535" s="1">
        <v>534</v>
      </c>
      <c r="B535" s="1" t="s">
        <v>1465</v>
      </c>
      <c r="C535" s="1" t="s">
        <v>1466</v>
      </c>
      <c r="D535" s="5" t="s">
        <v>142</v>
      </c>
      <c r="E535" s="1" t="s">
        <v>1465</v>
      </c>
      <c r="F535" s="7">
        <v>4</v>
      </c>
      <c r="G535" s="1">
        <v>2</v>
      </c>
      <c r="H535" s="1" t="s">
        <v>12</v>
      </c>
      <c r="I535" s="1" t="s">
        <v>12</v>
      </c>
      <c r="J535" s="1" t="s">
        <v>4</v>
      </c>
      <c r="K535" s="2">
        <v>3.1250009143323997E-5</v>
      </c>
      <c r="L535" s="2">
        <v>1.2120210021813099E-5</v>
      </c>
      <c r="M535" s="1">
        <v>9.8009092011324093E-3</v>
      </c>
      <c r="N535" s="1">
        <v>3.7169106393231801</v>
      </c>
    </row>
    <row r="536" spans="1:14">
      <c r="A536" s="1">
        <v>535</v>
      </c>
      <c r="B536" s="1" t="s">
        <v>1467</v>
      </c>
      <c r="C536" s="1" t="s">
        <v>1468</v>
      </c>
      <c r="D536" s="5" t="s">
        <v>895</v>
      </c>
      <c r="E536" s="1" t="s">
        <v>2355</v>
      </c>
      <c r="F536" s="7">
        <v>4</v>
      </c>
      <c r="G536" s="1">
        <v>2</v>
      </c>
      <c r="H536" s="1" t="s">
        <v>98</v>
      </c>
      <c r="I536" s="1" t="s">
        <v>8</v>
      </c>
      <c r="J536" s="1" t="s">
        <v>180</v>
      </c>
      <c r="K536" s="2">
        <v>3.12500034599975E-5</v>
      </c>
      <c r="L536" s="2">
        <v>7.5566228034529297E-7</v>
      </c>
      <c r="M536" s="1">
        <v>1.44218320058215E-2</v>
      </c>
      <c r="N536" s="1">
        <v>3.8665684128983902</v>
      </c>
    </row>
    <row r="537" spans="1:14">
      <c r="A537" s="1">
        <v>536</v>
      </c>
      <c r="B537" s="1" t="s">
        <v>1469</v>
      </c>
      <c r="C537" s="1" t="s">
        <v>1470</v>
      </c>
      <c r="D537" s="5" t="s">
        <v>1471</v>
      </c>
      <c r="E537" s="1" t="s">
        <v>2356</v>
      </c>
      <c r="F537" s="7">
        <v>5</v>
      </c>
      <c r="G537" s="1">
        <v>5</v>
      </c>
      <c r="H537" s="1" t="s">
        <v>8</v>
      </c>
      <c r="I537" s="1" t="s">
        <v>8</v>
      </c>
      <c r="J537" s="1" t="s">
        <v>180</v>
      </c>
      <c r="K537" s="2">
        <v>3.1250002586967797E-5</v>
      </c>
      <c r="L537" s="2">
        <v>1.4979659245569E-6</v>
      </c>
      <c r="M537" s="1">
        <v>-2.1548308225845799E-2</v>
      </c>
      <c r="N537" s="1">
        <v>3.4302567151415801</v>
      </c>
    </row>
    <row r="538" spans="1:14">
      <c r="A538" s="1">
        <v>537</v>
      </c>
      <c r="B538" s="1" t="s">
        <v>1472</v>
      </c>
      <c r="C538" s="1" t="s">
        <v>1473</v>
      </c>
      <c r="D538" s="5" t="s">
        <v>1188</v>
      </c>
      <c r="E538" s="1" t="s">
        <v>1472</v>
      </c>
      <c r="F538" s="7">
        <v>4</v>
      </c>
      <c r="G538" s="1">
        <v>4</v>
      </c>
      <c r="H538" s="1" t="s">
        <v>3</v>
      </c>
      <c r="I538" s="1" t="s">
        <v>3</v>
      </c>
      <c r="J538" s="1" t="s">
        <v>4</v>
      </c>
      <c r="K538" s="2">
        <v>3.1250001558788398E-5</v>
      </c>
      <c r="L538" s="2">
        <v>2.7598714482170099E-5</v>
      </c>
      <c r="M538" s="1">
        <v>2.9689740414671202E-3</v>
      </c>
      <c r="N538" s="1">
        <v>3.7073581517876901</v>
      </c>
    </row>
    <row r="539" spans="1:14">
      <c r="A539" s="1">
        <v>538</v>
      </c>
      <c r="B539" s="1" t="s">
        <v>1474</v>
      </c>
      <c r="C539" s="1" t="s">
        <v>1475</v>
      </c>
      <c r="D539" s="5" t="s">
        <v>116</v>
      </c>
      <c r="E539" s="1" t="s">
        <v>1474</v>
      </c>
      <c r="F539" s="7">
        <v>5</v>
      </c>
      <c r="G539" s="1">
        <v>4</v>
      </c>
      <c r="H539" s="1" t="s">
        <v>8</v>
      </c>
      <c r="I539" s="1" t="s">
        <v>8</v>
      </c>
      <c r="J539" s="1" t="s">
        <v>4</v>
      </c>
      <c r="K539" s="2">
        <v>3.1250000139744601E-5</v>
      </c>
      <c r="L539" s="2">
        <v>2.82751268527574E-5</v>
      </c>
      <c r="M539" s="1">
        <v>5.6863588452053103E-2</v>
      </c>
      <c r="N539" s="1">
        <v>3.28495372290149</v>
      </c>
    </row>
    <row r="540" spans="1:14">
      <c r="A540" s="1">
        <v>539</v>
      </c>
      <c r="B540" s="1" t="s">
        <v>1476</v>
      </c>
      <c r="C540" s="1" t="s">
        <v>1477</v>
      </c>
      <c r="D540" s="5" t="s">
        <v>1478</v>
      </c>
      <c r="E540" s="1" t="s">
        <v>1476</v>
      </c>
      <c r="F540" s="7">
        <v>4</v>
      </c>
      <c r="G540" s="1">
        <v>4</v>
      </c>
      <c r="H540" s="1" t="s">
        <v>8</v>
      </c>
      <c r="I540" s="1" t="s">
        <v>8</v>
      </c>
      <c r="J540" s="1" t="s">
        <v>4</v>
      </c>
      <c r="K540" s="2">
        <v>3.1250003126674599E-5</v>
      </c>
      <c r="L540" s="2">
        <v>2.4645668042032E-5</v>
      </c>
      <c r="M540" s="1">
        <v>-8.9591379358182604E-3</v>
      </c>
      <c r="N540" s="1">
        <v>3.5280118766081698</v>
      </c>
    </row>
    <row r="541" spans="1:14">
      <c r="A541" s="1">
        <v>540</v>
      </c>
      <c r="B541" s="1" t="s">
        <v>1479</v>
      </c>
      <c r="C541" s="1" t="s">
        <v>1480</v>
      </c>
      <c r="D541" s="5" t="s">
        <v>1481</v>
      </c>
      <c r="E541" s="1" t="s">
        <v>1479</v>
      </c>
      <c r="F541" s="7">
        <v>4</v>
      </c>
      <c r="G541" s="1">
        <v>9</v>
      </c>
      <c r="H541" s="1" t="s">
        <v>8</v>
      </c>
      <c r="I541" s="1" t="s">
        <v>8</v>
      </c>
      <c r="J541" s="1" t="s">
        <v>4</v>
      </c>
      <c r="K541" s="2">
        <v>3.1250000672653401E-5</v>
      </c>
      <c r="L541" s="2">
        <v>3.0777640060805301E-5</v>
      </c>
      <c r="M541" s="1">
        <v>-1.07598529073524E-2</v>
      </c>
      <c r="N541" s="1">
        <v>2.3716451171035802</v>
      </c>
    </row>
    <row r="542" spans="1:14">
      <c r="A542" s="1">
        <v>541</v>
      </c>
      <c r="B542" s="1" t="s">
        <v>1482</v>
      </c>
      <c r="C542" s="1" t="s">
        <v>1483</v>
      </c>
      <c r="D542" s="5" t="s">
        <v>1484</v>
      </c>
      <c r="E542" s="1" t="s">
        <v>1482</v>
      </c>
      <c r="F542" s="7">
        <v>4</v>
      </c>
      <c r="G542" s="1">
        <v>4</v>
      </c>
      <c r="H542" s="1" t="s">
        <v>8</v>
      </c>
      <c r="I542" s="1" t="s">
        <v>8</v>
      </c>
      <c r="J542" s="1" t="s">
        <v>4</v>
      </c>
      <c r="K542" s="2">
        <v>3.1249997678950601E-5</v>
      </c>
      <c r="L542" s="2">
        <v>2.9981394911312401E-5</v>
      </c>
      <c r="M542" s="1">
        <v>1.1981956965946901E-2</v>
      </c>
      <c r="N542" s="1">
        <v>2.7945420001378798</v>
      </c>
    </row>
    <row r="543" spans="1:14">
      <c r="A543" s="1">
        <v>542</v>
      </c>
      <c r="B543" s="1" t="s">
        <v>1485</v>
      </c>
      <c r="C543" s="1" t="s">
        <v>1486</v>
      </c>
      <c r="D543" s="5" t="s">
        <v>1054</v>
      </c>
      <c r="E543" s="1" t="s">
        <v>1485</v>
      </c>
      <c r="F543" s="7">
        <v>5</v>
      </c>
      <c r="G543" s="1">
        <v>5</v>
      </c>
      <c r="H543" s="1" t="s">
        <v>8</v>
      </c>
      <c r="I543" s="1" t="s">
        <v>8</v>
      </c>
      <c r="J543" s="1" t="s">
        <v>4</v>
      </c>
      <c r="K543" s="2">
        <v>3.1250005148015397E-5</v>
      </c>
      <c r="L543" s="2">
        <v>2.5612616690182601E-5</v>
      </c>
      <c r="M543" s="1">
        <v>-1.51871356091248E-2</v>
      </c>
      <c r="N543" s="1">
        <v>3.4543539128727199</v>
      </c>
    </row>
    <row r="544" spans="1:14">
      <c r="A544" s="1">
        <v>543</v>
      </c>
      <c r="B544" s="1" t="s">
        <v>1487</v>
      </c>
      <c r="C544" s="1" t="s">
        <v>1488</v>
      </c>
      <c r="D544" s="5" t="s">
        <v>1489</v>
      </c>
      <c r="E544" s="1" t="s">
        <v>1487</v>
      </c>
      <c r="F544" s="7">
        <v>5</v>
      </c>
      <c r="G544" s="1">
        <v>3</v>
      </c>
      <c r="H544" s="1" t="s">
        <v>113</v>
      </c>
      <c r="I544" s="1" t="s">
        <v>113</v>
      </c>
      <c r="J544" s="1" t="s">
        <v>4</v>
      </c>
      <c r="K544" s="2">
        <v>3.1250013244233002E-5</v>
      </c>
      <c r="L544" s="2">
        <v>2.72826487334628E-5</v>
      </c>
      <c r="M544" s="2">
        <v>1.48101769781305E-5</v>
      </c>
      <c r="N544" s="1">
        <v>3.7694769802631201</v>
      </c>
    </row>
    <row r="545" spans="1:14">
      <c r="A545" s="1">
        <v>544</v>
      </c>
      <c r="B545" s="1" t="s">
        <v>1490</v>
      </c>
      <c r="C545" s="1" t="s">
        <v>1491</v>
      </c>
      <c r="D545" s="5" t="s">
        <v>503</v>
      </c>
      <c r="E545" s="1" t="s">
        <v>1490</v>
      </c>
      <c r="F545" s="7">
        <v>4</v>
      </c>
      <c r="G545" s="1">
        <v>3</v>
      </c>
      <c r="H545" s="1" t="s">
        <v>12</v>
      </c>
      <c r="I545" s="1" t="s">
        <v>12</v>
      </c>
      <c r="J545" s="1" t="s">
        <v>4</v>
      </c>
      <c r="K545" s="2">
        <v>3.1250008630969299E-5</v>
      </c>
      <c r="L545" s="2">
        <v>2.4550098481486201E-5</v>
      </c>
      <c r="M545" s="1">
        <v>-5.5958401131164202E-3</v>
      </c>
      <c r="N545" s="1">
        <v>3.6507001476216798</v>
      </c>
    </row>
    <row r="546" spans="1:14">
      <c r="A546" s="1">
        <v>545</v>
      </c>
      <c r="B546" s="1" t="s">
        <v>1492</v>
      </c>
      <c r="C546" s="1" t="s">
        <v>1493</v>
      </c>
      <c r="D546" s="5" t="s">
        <v>50</v>
      </c>
      <c r="E546" s="1" t="s">
        <v>2357</v>
      </c>
      <c r="F546" s="7">
        <v>5</v>
      </c>
      <c r="G546" s="1">
        <v>3</v>
      </c>
      <c r="H546" s="1" t="s">
        <v>8</v>
      </c>
      <c r="I546" s="1" t="s">
        <v>123</v>
      </c>
      <c r="J546" s="1" t="s">
        <v>180</v>
      </c>
      <c r="K546" s="2">
        <v>3.1250003929519999E-5</v>
      </c>
      <c r="L546" s="2">
        <v>1.35523022268475E-6</v>
      </c>
      <c r="M546" s="1">
        <v>-2.55331090600678E-2</v>
      </c>
      <c r="N546" s="1">
        <v>3.4556063228455498</v>
      </c>
    </row>
    <row r="547" spans="1:14">
      <c r="A547" s="1">
        <v>546</v>
      </c>
      <c r="B547" s="1" t="s">
        <v>1494</v>
      </c>
      <c r="C547" s="1" t="s">
        <v>1495</v>
      </c>
      <c r="D547" s="5" t="s">
        <v>1496</v>
      </c>
      <c r="E547" s="1" t="s">
        <v>2358</v>
      </c>
      <c r="F547" s="7">
        <v>4</v>
      </c>
      <c r="G547" s="1">
        <v>4</v>
      </c>
      <c r="H547" s="1" t="s">
        <v>8</v>
      </c>
      <c r="I547" s="1" t="s">
        <v>8</v>
      </c>
      <c r="J547" s="1" t="s">
        <v>180</v>
      </c>
      <c r="K547" s="2">
        <v>3.1249998339033999E-5</v>
      </c>
      <c r="L547" s="2">
        <v>1.30770652079304E-6</v>
      </c>
      <c r="M547" s="1">
        <v>-1.8730299277788E-2</v>
      </c>
      <c r="N547" s="1">
        <v>3.4394762878737399</v>
      </c>
    </row>
    <row r="548" spans="1:14">
      <c r="A548" s="1">
        <v>547</v>
      </c>
      <c r="B548" s="1" t="s">
        <v>1497</v>
      </c>
      <c r="C548" s="1" t="s">
        <v>1498</v>
      </c>
      <c r="D548" s="5" t="s">
        <v>50</v>
      </c>
      <c r="E548" s="1" t="s">
        <v>2359</v>
      </c>
      <c r="F548" s="7">
        <v>4</v>
      </c>
      <c r="G548" s="1">
        <v>3</v>
      </c>
      <c r="H548" s="1" t="s">
        <v>8</v>
      </c>
      <c r="I548" s="1" t="s">
        <v>22</v>
      </c>
      <c r="J548" s="1" t="s">
        <v>180</v>
      </c>
      <c r="K548" s="2">
        <v>3.1249999856355498E-5</v>
      </c>
      <c r="L548" s="2">
        <v>5.15938195908177E-8</v>
      </c>
      <c r="M548" s="1">
        <v>3.0312599302259699E-2</v>
      </c>
      <c r="N548" s="1">
        <v>2.5753243175125702</v>
      </c>
    </row>
    <row r="549" spans="1:14">
      <c r="A549" s="1">
        <v>548</v>
      </c>
      <c r="B549" s="1" t="s">
        <v>1499</v>
      </c>
      <c r="C549" s="1" t="s">
        <v>1500</v>
      </c>
      <c r="D549" s="5" t="s">
        <v>1501</v>
      </c>
      <c r="E549" s="1" t="s">
        <v>1499</v>
      </c>
      <c r="F549" s="7">
        <v>4</v>
      </c>
      <c r="G549" s="1">
        <v>5</v>
      </c>
      <c r="H549" s="1" t="s">
        <v>8</v>
      </c>
      <c r="I549" s="1" t="s">
        <v>8</v>
      </c>
      <c r="J549" s="1" t="s">
        <v>4</v>
      </c>
      <c r="K549" s="2">
        <v>3.1249996424336499E-5</v>
      </c>
      <c r="L549" s="2">
        <v>1.4412866470336399E-6</v>
      </c>
      <c r="M549" s="1">
        <v>6.9559299147670096E-4</v>
      </c>
      <c r="N549" s="1">
        <v>3.1610068772500899</v>
      </c>
    </row>
    <row r="550" spans="1:14">
      <c r="A550" s="1">
        <v>549</v>
      </c>
      <c r="B550" s="1" t="s">
        <v>1502</v>
      </c>
      <c r="C550" s="1" t="s">
        <v>1503</v>
      </c>
      <c r="D550" s="5" t="s">
        <v>292</v>
      </c>
      <c r="E550" s="1" t="s">
        <v>1502</v>
      </c>
      <c r="F550" s="7">
        <v>4</v>
      </c>
      <c r="G550" s="1">
        <v>4</v>
      </c>
      <c r="H550" s="1" t="s">
        <v>8</v>
      </c>
      <c r="I550" s="1" t="s">
        <v>8</v>
      </c>
      <c r="J550" s="1" t="s">
        <v>4</v>
      </c>
      <c r="K550" s="2">
        <v>3.1249996287532398E-5</v>
      </c>
      <c r="L550" s="2">
        <v>4.4582965736040298E-7</v>
      </c>
      <c r="M550" s="1">
        <v>-2.5826535705419901E-2</v>
      </c>
      <c r="N550" s="1">
        <v>3.1461979244068501</v>
      </c>
    </row>
    <row r="551" spans="1:14">
      <c r="A551" s="1">
        <v>550</v>
      </c>
      <c r="B551" s="1" t="s">
        <v>1504</v>
      </c>
      <c r="C551" s="1" t="s">
        <v>1505</v>
      </c>
      <c r="D551" s="5" t="s">
        <v>1506</v>
      </c>
      <c r="E551" s="1" t="s">
        <v>1504</v>
      </c>
      <c r="F551" s="7">
        <v>4</v>
      </c>
      <c r="G551" s="1">
        <v>4</v>
      </c>
      <c r="H551" s="1" t="s">
        <v>8</v>
      </c>
      <c r="I551" s="1" t="s">
        <v>8</v>
      </c>
      <c r="J551" s="1" t="s">
        <v>4</v>
      </c>
      <c r="K551" s="2">
        <v>3.1250000968529402E-5</v>
      </c>
      <c r="L551" s="2">
        <v>7.7300548058259107E-6</v>
      </c>
      <c r="M551" s="1">
        <v>9.1915596388219001E-3</v>
      </c>
      <c r="N551" s="1">
        <v>2.3664347168148701</v>
      </c>
    </row>
    <row r="552" spans="1:14">
      <c r="A552" s="1">
        <v>551</v>
      </c>
      <c r="B552" s="1" t="s">
        <v>1507</v>
      </c>
      <c r="C552" s="1" t="s">
        <v>1508</v>
      </c>
      <c r="D552" s="5" t="s">
        <v>500</v>
      </c>
      <c r="E552" s="1" t="s">
        <v>1507</v>
      </c>
      <c r="F552" s="7">
        <v>4</v>
      </c>
      <c r="G552" s="1">
        <v>4</v>
      </c>
      <c r="H552" s="1" t="s">
        <v>8</v>
      </c>
      <c r="I552" s="1" t="s">
        <v>8</v>
      </c>
      <c r="J552" s="1" t="s">
        <v>4</v>
      </c>
      <c r="K552" s="2">
        <v>3.1250007251310298E-5</v>
      </c>
      <c r="L552" s="2">
        <v>7.6047221080536904E-6</v>
      </c>
      <c r="M552" s="1">
        <v>-1.9653389332020699E-2</v>
      </c>
      <c r="N552" s="1">
        <v>3.1017418287840499</v>
      </c>
    </row>
    <row r="553" spans="1:14">
      <c r="A553" s="1">
        <v>552</v>
      </c>
      <c r="B553" s="1" t="s">
        <v>1509</v>
      </c>
      <c r="C553" s="1" t="s">
        <v>1510</v>
      </c>
      <c r="D553" s="5" t="s">
        <v>1511</v>
      </c>
      <c r="E553" s="1" t="s">
        <v>1512</v>
      </c>
      <c r="F553" s="7">
        <v>4</v>
      </c>
      <c r="G553" s="1">
        <v>5</v>
      </c>
      <c r="H553" s="1" t="s">
        <v>68</v>
      </c>
      <c r="I553" s="1" t="s">
        <v>8</v>
      </c>
      <c r="J553" s="1" t="s">
        <v>180</v>
      </c>
      <c r="K553" s="2">
        <v>3.1249999220030901E-5</v>
      </c>
      <c r="L553" s="2">
        <v>1.80004635901635E-7</v>
      </c>
      <c r="M553" s="1">
        <v>-1.7173390671993902E-2</v>
      </c>
      <c r="N553" s="1">
        <v>3.3527322036704299</v>
      </c>
    </row>
    <row r="554" spans="1:14">
      <c r="A554" s="1">
        <v>553</v>
      </c>
      <c r="B554" s="1" t="s">
        <v>1513</v>
      </c>
      <c r="C554" s="1" t="s">
        <v>1514</v>
      </c>
      <c r="D554" s="5" t="s">
        <v>1515</v>
      </c>
      <c r="E554" s="1" t="s">
        <v>1513</v>
      </c>
      <c r="F554" s="7">
        <v>4</v>
      </c>
      <c r="G554" s="1">
        <v>6</v>
      </c>
      <c r="H554" s="1" t="s">
        <v>8</v>
      </c>
      <c r="I554" s="1" t="s">
        <v>8</v>
      </c>
      <c r="J554" s="1" t="s">
        <v>4</v>
      </c>
      <c r="K554" s="2">
        <v>3.1250006339438801E-5</v>
      </c>
      <c r="L554" s="2">
        <v>2.12735699350604E-5</v>
      </c>
      <c r="M554" s="1">
        <v>2.4490028744423801E-3</v>
      </c>
      <c r="N554" s="1">
        <v>3.2319493816468898</v>
      </c>
    </row>
    <row r="555" spans="1:14">
      <c r="A555" s="1">
        <v>554</v>
      </c>
      <c r="B555" s="1" t="s">
        <v>1516</v>
      </c>
      <c r="C555" s="1" t="s">
        <v>1517</v>
      </c>
      <c r="D555" s="5" t="s">
        <v>61</v>
      </c>
      <c r="E555" s="1" t="s">
        <v>1516</v>
      </c>
      <c r="F555" s="7">
        <v>4</v>
      </c>
      <c r="G555" s="1">
        <v>2</v>
      </c>
      <c r="H555" s="1" t="s">
        <v>22</v>
      </c>
      <c r="I555" s="1" t="s">
        <v>22</v>
      </c>
      <c r="J555" s="1" t="s">
        <v>4</v>
      </c>
      <c r="K555" s="2">
        <v>3.1250005859750403E-5</v>
      </c>
      <c r="L555" s="2">
        <v>2.9194681167713799E-5</v>
      </c>
      <c r="M555" s="1">
        <v>-6.0782350706460797E-3</v>
      </c>
      <c r="N555" s="1">
        <v>3.6781115503549602</v>
      </c>
    </row>
    <row r="556" spans="1:14">
      <c r="A556" s="1">
        <v>555</v>
      </c>
      <c r="B556" s="1" t="s">
        <v>1518</v>
      </c>
      <c r="C556" s="1" t="s">
        <v>1519</v>
      </c>
      <c r="D556" s="5" t="s">
        <v>1520</v>
      </c>
      <c r="E556" s="1" t="s">
        <v>1518</v>
      </c>
      <c r="F556" s="7">
        <v>5</v>
      </c>
      <c r="G556" s="1">
        <v>2</v>
      </c>
      <c r="H556" s="1" t="s">
        <v>22</v>
      </c>
      <c r="I556" s="1" t="s">
        <v>22</v>
      </c>
      <c r="J556" s="1" t="s">
        <v>4</v>
      </c>
      <c r="K556" s="2">
        <v>3.1250015674566897E-5</v>
      </c>
      <c r="L556" s="2">
        <v>2.4144262209887E-5</v>
      </c>
      <c r="M556" s="1">
        <v>1.4413650034167599E-2</v>
      </c>
      <c r="N556" s="1">
        <v>3.6938871944828402</v>
      </c>
    </row>
    <row r="557" spans="1:14">
      <c r="A557" s="1">
        <v>556</v>
      </c>
      <c r="B557" s="1" t="s">
        <v>1521</v>
      </c>
      <c r="C557" s="1" t="s">
        <v>1522</v>
      </c>
      <c r="D557" s="5" t="s">
        <v>1523</v>
      </c>
      <c r="E557" s="1" t="s">
        <v>1521</v>
      </c>
      <c r="F557" s="7">
        <v>6</v>
      </c>
      <c r="G557" s="1">
        <v>3</v>
      </c>
      <c r="H557" s="1" t="s">
        <v>68</v>
      </c>
      <c r="I557" s="1" t="s">
        <v>68</v>
      </c>
      <c r="J557" s="1" t="s">
        <v>4</v>
      </c>
      <c r="K557" s="2">
        <v>3.1250006644643E-5</v>
      </c>
      <c r="L557" s="2">
        <v>2.50525708814688E-5</v>
      </c>
      <c r="M557" s="1">
        <v>-1.1834754947440001E-2</v>
      </c>
      <c r="N557" s="1">
        <v>3.6444164207384002</v>
      </c>
    </row>
    <row r="558" spans="1:14">
      <c r="A558" s="1">
        <v>557</v>
      </c>
      <c r="B558" s="1" t="s">
        <v>1524</v>
      </c>
      <c r="C558" s="1" t="s">
        <v>1525</v>
      </c>
      <c r="D558" s="5" t="s">
        <v>1158</v>
      </c>
      <c r="E558" s="1" t="s">
        <v>1524</v>
      </c>
      <c r="F558" s="7">
        <v>4</v>
      </c>
      <c r="G558" s="1">
        <v>3</v>
      </c>
      <c r="H558" s="1" t="s">
        <v>8</v>
      </c>
      <c r="I558" s="1" t="s">
        <v>8</v>
      </c>
      <c r="J558" s="1" t="s">
        <v>4</v>
      </c>
      <c r="K558" s="2">
        <v>3.1250004423614999E-5</v>
      </c>
      <c r="L558" s="2">
        <v>1.6939597649817299E-5</v>
      </c>
      <c r="M558" s="1">
        <v>2.5684857631638601E-2</v>
      </c>
      <c r="N558" s="1">
        <v>3.17700486491225</v>
      </c>
    </row>
    <row r="559" spans="1:14">
      <c r="A559" s="1">
        <v>558</v>
      </c>
      <c r="B559" s="1" t="s">
        <v>1526</v>
      </c>
      <c r="C559" s="1" t="s">
        <v>1527</v>
      </c>
      <c r="D559" s="5" t="s">
        <v>1528</v>
      </c>
      <c r="E559" s="1" t="s">
        <v>1526</v>
      </c>
      <c r="F559" s="7">
        <v>4</v>
      </c>
      <c r="G559" s="1">
        <v>5</v>
      </c>
      <c r="H559" s="1" t="s">
        <v>8</v>
      </c>
      <c r="I559" s="1" t="s">
        <v>8</v>
      </c>
      <c r="J559" s="1" t="s">
        <v>4</v>
      </c>
      <c r="K559" s="2">
        <v>3.1249998956100598E-5</v>
      </c>
      <c r="L559" s="2">
        <v>3.1127390637276401E-5</v>
      </c>
      <c r="M559" s="1">
        <v>-8.1242178564675492E-3</v>
      </c>
      <c r="N559" s="1">
        <v>3.3263323018686801</v>
      </c>
    </row>
    <row r="560" spans="1:14">
      <c r="A560" s="1">
        <v>559</v>
      </c>
      <c r="B560" s="1" t="s">
        <v>1529</v>
      </c>
      <c r="C560" s="1" t="s">
        <v>1530</v>
      </c>
      <c r="D560" s="5" t="s">
        <v>151</v>
      </c>
      <c r="E560" s="1" t="s">
        <v>1529</v>
      </c>
      <c r="F560" s="7">
        <v>4</v>
      </c>
      <c r="G560" s="1">
        <v>5</v>
      </c>
      <c r="H560" s="1" t="s">
        <v>68</v>
      </c>
      <c r="I560" s="1" t="s">
        <v>68</v>
      </c>
      <c r="J560" s="1" t="s">
        <v>4</v>
      </c>
      <c r="K560" s="2">
        <v>3.1249998579444399E-5</v>
      </c>
      <c r="L560" s="2">
        <v>3.8107657514141101E-6</v>
      </c>
      <c r="M560" s="1">
        <v>-1.6203323350847301E-3</v>
      </c>
      <c r="N560" s="1">
        <v>3.47826120620471</v>
      </c>
    </row>
    <row r="561" spans="1:14">
      <c r="A561" s="1">
        <v>560</v>
      </c>
      <c r="B561" s="1" t="s">
        <v>1531</v>
      </c>
      <c r="C561" s="1" t="s">
        <v>1532</v>
      </c>
      <c r="D561" s="5" t="s">
        <v>1533</v>
      </c>
      <c r="E561" s="1" t="s">
        <v>2360</v>
      </c>
      <c r="F561" s="7">
        <v>4</v>
      </c>
      <c r="G561" s="1">
        <v>6</v>
      </c>
      <c r="H561" s="1" t="s">
        <v>8</v>
      </c>
      <c r="I561" s="1" t="s">
        <v>22</v>
      </c>
      <c r="J561" s="1" t="s">
        <v>180</v>
      </c>
      <c r="K561" s="2">
        <v>3.1250001271965498E-5</v>
      </c>
      <c r="L561" s="2">
        <v>2.4731222186128199E-6</v>
      </c>
      <c r="M561" s="1">
        <v>1.2935380024188699E-2</v>
      </c>
      <c r="N561" s="1">
        <v>3.5774092436283502</v>
      </c>
    </row>
    <row r="562" spans="1:14">
      <c r="A562" s="1">
        <v>561</v>
      </c>
      <c r="B562" s="1" t="s">
        <v>1534</v>
      </c>
      <c r="C562" s="1" t="s">
        <v>1535</v>
      </c>
      <c r="D562" s="5" t="s">
        <v>1536</v>
      </c>
      <c r="E562" s="1" t="s">
        <v>1534</v>
      </c>
      <c r="F562" s="7">
        <v>4</v>
      </c>
      <c r="G562" s="1">
        <v>4</v>
      </c>
      <c r="H562" s="1" t="s">
        <v>8</v>
      </c>
      <c r="I562" s="1" t="s">
        <v>8</v>
      </c>
      <c r="J562" s="1" t="s">
        <v>4</v>
      </c>
      <c r="K562" s="2">
        <v>3.12499967384396E-5</v>
      </c>
      <c r="L562" s="2">
        <v>2.2250860998289699E-5</v>
      </c>
      <c r="M562" s="1">
        <v>-5.3378828037686701E-3</v>
      </c>
      <c r="N562" s="1">
        <v>3.6206401917736302</v>
      </c>
    </row>
    <row r="563" spans="1:14">
      <c r="A563" s="1">
        <v>562</v>
      </c>
      <c r="B563" s="1" t="s">
        <v>1537</v>
      </c>
      <c r="C563" s="1" t="s">
        <v>1538</v>
      </c>
      <c r="D563" s="5" t="s">
        <v>7</v>
      </c>
      <c r="E563" s="1" t="s">
        <v>1539</v>
      </c>
      <c r="F563" s="7">
        <v>4</v>
      </c>
      <c r="G563" s="1">
        <v>3</v>
      </c>
      <c r="H563" s="1" t="s">
        <v>8</v>
      </c>
      <c r="I563" s="1" t="s">
        <v>3</v>
      </c>
      <c r="J563" s="1" t="s">
        <v>180</v>
      </c>
      <c r="K563" s="2">
        <v>3.12500116877184E-5</v>
      </c>
      <c r="L563" s="2">
        <v>2.3246797930107399E-5</v>
      </c>
      <c r="M563" s="1">
        <v>-1.0154320363454801E-2</v>
      </c>
      <c r="N563" s="1">
        <v>3.63387584775661</v>
      </c>
    </row>
    <row r="564" spans="1:14">
      <c r="A564" s="1">
        <v>563</v>
      </c>
      <c r="B564" s="1" t="s">
        <v>1540</v>
      </c>
      <c r="C564" s="1" t="s">
        <v>1541</v>
      </c>
      <c r="D564" s="5" t="s">
        <v>1542</v>
      </c>
      <c r="E564" s="1" t="s">
        <v>2361</v>
      </c>
      <c r="F564" s="7">
        <v>4</v>
      </c>
      <c r="G564" s="1">
        <v>3</v>
      </c>
      <c r="H564" s="1" t="s">
        <v>8</v>
      </c>
      <c r="I564" s="1" t="s">
        <v>8</v>
      </c>
      <c r="J564" s="1" t="s">
        <v>180</v>
      </c>
      <c r="K564" s="2">
        <v>3.1250004393493897E-5</v>
      </c>
      <c r="L564" s="2">
        <v>2.2590421924954199E-6</v>
      </c>
      <c r="M564" s="1">
        <v>-1.2620524669610901E-2</v>
      </c>
      <c r="N564" s="1">
        <v>3.63429101807868</v>
      </c>
    </row>
    <row r="565" spans="1:14">
      <c r="A565" s="1">
        <v>564</v>
      </c>
      <c r="B565" s="1" t="s">
        <v>1543</v>
      </c>
      <c r="C565" s="1" t="s">
        <v>1544</v>
      </c>
      <c r="D565" s="5" t="s">
        <v>1545</v>
      </c>
      <c r="E565" s="1" t="s">
        <v>1543</v>
      </c>
      <c r="F565" s="7">
        <v>4</v>
      </c>
      <c r="G565" s="1">
        <v>5</v>
      </c>
      <c r="H565" s="1" t="s">
        <v>8</v>
      </c>
      <c r="I565" s="1" t="s">
        <v>8</v>
      </c>
      <c r="J565" s="1" t="s">
        <v>4</v>
      </c>
      <c r="K565" s="2">
        <v>3.1250000104196302E-5</v>
      </c>
      <c r="L565" s="2">
        <v>1.05517820422311E-5</v>
      </c>
      <c r="M565" s="1">
        <v>6.8787683057482899E-3</v>
      </c>
      <c r="N565" s="1">
        <v>2.8919512090825501</v>
      </c>
    </row>
    <row r="566" spans="1:14">
      <c r="A566" s="1">
        <v>565</v>
      </c>
      <c r="B566" s="1" t="s">
        <v>1546</v>
      </c>
      <c r="C566" s="1" t="s">
        <v>1547</v>
      </c>
      <c r="D566" s="5" t="s">
        <v>1548</v>
      </c>
      <c r="E566" s="1" t="s">
        <v>1546</v>
      </c>
      <c r="F566" s="7">
        <v>4</v>
      </c>
      <c r="G566" s="1">
        <v>6</v>
      </c>
      <c r="H566" s="1" t="s">
        <v>8</v>
      </c>
      <c r="I566" s="1" t="s">
        <v>8</v>
      </c>
      <c r="J566" s="1" t="s">
        <v>4</v>
      </c>
      <c r="K566" s="2">
        <v>3.12500099492029E-5</v>
      </c>
      <c r="L566" s="2">
        <v>3.11193961913713E-5</v>
      </c>
      <c r="M566" s="1">
        <v>9.1331657731359393E-3</v>
      </c>
      <c r="N566" s="1">
        <v>2.5046514276882199</v>
      </c>
    </row>
    <row r="567" spans="1:14">
      <c r="A567" s="1">
        <v>566</v>
      </c>
      <c r="B567" s="1" t="s">
        <v>1549</v>
      </c>
      <c r="C567" s="1" t="s">
        <v>1550</v>
      </c>
      <c r="D567" s="5" t="s">
        <v>1166</v>
      </c>
      <c r="E567" s="1" t="s">
        <v>1549</v>
      </c>
      <c r="F567" s="7">
        <v>4</v>
      </c>
      <c r="G567" s="1">
        <v>5</v>
      </c>
      <c r="H567" s="1" t="s">
        <v>8</v>
      </c>
      <c r="I567" s="1" t="s">
        <v>8</v>
      </c>
      <c r="J567" s="1" t="s">
        <v>4</v>
      </c>
      <c r="K567" s="2">
        <v>3.1250007014250401E-5</v>
      </c>
      <c r="L567" s="2">
        <v>2.0871408325340402E-5</v>
      </c>
      <c r="M567" s="1">
        <v>3.48343054754423E-2</v>
      </c>
      <c r="N567" s="1">
        <v>3.3715940379795502</v>
      </c>
    </row>
    <row r="568" spans="1:14">
      <c r="A568" s="1">
        <v>567</v>
      </c>
      <c r="B568" s="1" t="s">
        <v>1551</v>
      </c>
      <c r="C568" s="1" t="s">
        <v>1552</v>
      </c>
      <c r="D568" s="5" t="s">
        <v>1553</v>
      </c>
      <c r="E568" s="1" t="s">
        <v>2362</v>
      </c>
      <c r="F568" s="7">
        <v>5</v>
      </c>
      <c r="G568" s="1">
        <v>4</v>
      </c>
      <c r="H568" s="1" t="s">
        <v>8</v>
      </c>
      <c r="I568" s="1" t="s">
        <v>8</v>
      </c>
      <c r="J568" s="1" t="s">
        <v>180</v>
      </c>
      <c r="K568" s="2">
        <v>3.12499976797345E-5</v>
      </c>
      <c r="L568" s="2">
        <v>2.2788490359872099E-6</v>
      </c>
      <c r="M568" s="1">
        <v>-1.32554141537166E-3</v>
      </c>
      <c r="N568" s="1">
        <v>3.69090318591932</v>
      </c>
    </row>
    <row r="569" spans="1:14">
      <c r="A569" s="1">
        <v>568</v>
      </c>
      <c r="B569" s="1" t="s">
        <v>1554</v>
      </c>
      <c r="C569" s="1" t="s">
        <v>1555</v>
      </c>
      <c r="D569" s="5" t="s">
        <v>1200</v>
      </c>
      <c r="E569" s="1" t="s">
        <v>1554</v>
      </c>
      <c r="F569" s="7">
        <v>7</v>
      </c>
      <c r="G569" s="1">
        <v>6</v>
      </c>
      <c r="H569" s="1" t="s">
        <v>8</v>
      </c>
      <c r="I569" s="1" t="s">
        <v>8</v>
      </c>
      <c r="J569" s="1" t="s">
        <v>4</v>
      </c>
      <c r="K569" s="2">
        <v>3.1249999694378797E-5</v>
      </c>
      <c r="L569" s="2">
        <v>1.3600506968299399E-5</v>
      </c>
      <c r="M569" s="1">
        <v>-1.9471957733259099E-3</v>
      </c>
      <c r="N569" s="1">
        <v>2.8033733884287999</v>
      </c>
    </row>
    <row r="570" spans="1:14">
      <c r="A570" s="1">
        <v>569</v>
      </c>
      <c r="B570" s="1" t="s">
        <v>1556</v>
      </c>
      <c r="C570" s="1" t="s">
        <v>1557</v>
      </c>
      <c r="D570" s="5" t="s">
        <v>1558</v>
      </c>
      <c r="E570" s="1" t="s">
        <v>1556</v>
      </c>
      <c r="F570" s="7">
        <v>4</v>
      </c>
      <c r="G570" s="1">
        <v>5</v>
      </c>
      <c r="H570" s="1" t="s">
        <v>8</v>
      </c>
      <c r="I570" s="1" t="s">
        <v>8</v>
      </c>
      <c r="J570" s="1" t="s">
        <v>4</v>
      </c>
      <c r="K570" s="2">
        <v>3.1249999213715301E-5</v>
      </c>
      <c r="L570" s="2">
        <v>2.9120622938935799E-5</v>
      </c>
      <c r="M570" s="1">
        <v>1.0203427174928901E-2</v>
      </c>
      <c r="N570" s="1">
        <v>3.2897664973304401</v>
      </c>
    </row>
    <row r="571" spans="1:14">
      <c r="A571" s="1">
        <v>570</v>
      </c>
      <c r="B571" s="1" t="s">
        <v>1559</v>
      </c>
      <c r="C571" s="1" t="s">
        <v>1560</v>
      </c>
      <c r="D571" s="5" t="s">
        <v>1561</v>
      </c>
      <c r="E571" s="1" t="s">
        <v>1559</v>
      </c>
      <c r="F571" s="7">
        <v>4</v>
      </c>
      <c r="G571" s="1">
        <v>6</v>
      </c>
      <c r="H571" s="1" t="s">
        <v>8</v>
      </c>
      <c r="I571" s="1" t="s">
        <v>8</v>
      </c>
      <c r="J571" s="1" t="s">
        <v>4</v>
      </c>
      <c r="K571" s="2">
        <v>3.1250001001485401E-5</v>
      </c>
      <c r="L571" s="2">
        <v>4.8742855060334898E-6</v>
      </c>
      <c r="M571" s="1">
        <v>4.3644481161436398E-2</v>
      </c>
      <c r="N571" s="1">
        <v>3.2863054074962399</v>
      </c>
    </row>
    <row r="572" spans="1:14">
      <c r="A572" s="1">
        <v>571</v>
      </c>
      <c r="B572" s="1" t="s">
        <v>1562</v>
      </c>
      <c r="C572" s="1" t="s">
        <v>1563</v>
      </c>
      <c r="D572" s="5" t="s">
        <v>1564</v>
      </c>
      <c r="E572" s="1" t="s">
        <v>1562</v>
      </c>
      <c r="F572" s="7">
        <v>4</v>
      </c>
      <c r="G572" s="1">
        <v>3</v>
      </c>
      <c r="H572" s="1" t="s">
        <v>68</v>
      </c>
      <c r="I572" s="1" t="s">
        <v>68</v>
      </c>
      <c r="J572" s="1" t="s">
        <v>4</v>
      </c>
      <c r="K572" s="2">
        <v>3.1250003224632001E-5</v>
      </c>
      <c r="L572" s="2">
        <v>1.85736165421335E-6</v>
      </c>
      <c r="M572" s="1">
        <v>-1.8438252093297001E-2</v>
      </c>
      <c r="N572" s="1">
        <v>3.5400277449547999</v>
      </c>
    </row>
    <row r="573" spans="1:14">
      <c r="A573" s="1">
        <v>572</v>
      </c>
      <c r="B573" s="1" t="s">
        <v>1565</v>
      </c>
      <c r="C573" s="1" t="s">
        <v>1566</v>
      </c>
      <c r="D573" s="5" t="s">
        <v>1567</v>
      </c>
      <c r="E573" s="1" t="s">
        <v>1565</v>
      </c>
      <c r="F573" s="7">
        <v>4</v>
      </c>
      <c r="G573" s="1">
        <v>4</v>
      </c>
      <c r="H573" s="1" t="s">
        <v>8</v>
      </c>
      <c r="I573" s="1" t="s">
        <v>8</v>
      </c>
      <c r="J573" s="1" t="s">
        <v>4</v>
      </c>
      <c r="K573" s="2">
        <v>3.1250003954175502E-5</v>
      </c>
      <c r="L573" s="2">
        <v>3.0118755282424299E-5</v>
      </c>
      <c r="M573" s="1">
        <v>2.53315894945744E-2</v>
      </c>
      <c r="N573" s="1">
        <v>2.1273788510777698</v>
      </c>
    </row>
    <row r="574" spans="1:14">
      <c r="A574" s="1">
        <v>573</v>
      </c>
      <c r="B574" s="1" t="s">
        <v>1568</v>
      </c>
      <c r="C574" s="1" t="s">
        <v>1569</v>
      </c>
      <c r="D574" s="5" t="s">
        <v>959</v>
      </c>
      <c r="E574" s="1" t="s">
        <v>1568</v>
      </c>
      <c r="F574" s="7">
        <v>4</v>
      </c>
      <c r="G574" s="1">
        <v>3</v>
      </c>
      <c r="H574" s="1" t="s">
        <v>22</v>
      </c>
      <c r="I574" s="1" t="s">
        <v>22</v>
      </c>
      <c r="J574" s="1" t="s">
        <v>4</v>
      </c>
      <c r="K574" s="2">
        <v>3.1250016243805902E-5</v>
      </c>
      <c r="L574" s="2">
        <v>1.60421331127556E-5</v>
      </c>
      <c r="M574" s="1">
        <v>1.06602048006898E-3</v>
      </c>
      <c r="N574" s="1">
        <v>3.5449774142975898</v>
      </c>
    </row>
    <row r="575" spans="1:14">
      <c r="A575" s="1">
        <v>574</v>
      </c>
      <c r="B575" s="1" t="s">
        <v>1570</v>
      </c>
      <c r="C575" s="1" t="s">
        <v>1571</v>
      </c>
      <c r="D575" s="5" t="s">
        <v>942</v>
      </c>
      <c r="E575" s="1" t="s">
        <v>1570</v>
      </c>
      <c r="F575" s="7">
        <v>5</v>
      </c>
      <c r="G575" s="1">
        <v>5</v>
      </c>
      <c r="H575" s="1" t="s">
        <v>8</v>
      </c>
      <c r="I575" s="1" t="s">
        <v>8</v>
      </c>
      <c r="J575" s="1" t="s">
        <v>4</v>
      </c>
      <c r="K575" s="2">
        <v>3.1250010147163302E-5</v>
      </c>
      <c r="L575" s="2">
        <v>1.6789068352139302E-5</v>
      </c>
      <c r="M575" s="1">
        <v>2.93002933621355E-2</v>
      </c>
      <c r="N575" s="1">
        <v>3.3986400849760798</v>
      </c>
    </row>
    <row r="576" spans="1:14">
      <c r="A576" s="1">
        <v>575</v>
      </c>
      <c r="B576" s="1" t="s">
        <v>1572</v>
      </c>
      <c r="C576" s="1" t="s">
        <v>1573</v>
      </c>
      <c r="D576" s="5" t="s">
        <v>1574</v>
      </c>
      <c r="E576" s="1" t="s">
        <v>1575</v>
      </c>
      <c r="F576" s="7">
        <v>4</v>
      </c>
      <c r="G576" s="1">
        <v>3</v>
      </c>
      <c r="H576" s="1" t="s">
        <v>8</v>
      </c>
      <c r="I576" s="1" t="s">
        <v>12</v>
      </c>
      <c r="J576" s="1" t="s">
        <v>180</v>
      </c>
      <c r="K576" s="2">
        <v>3.12500113931883E-5</v>
      </c>
      <c r="L576" s="2">
        <v>1.37850288306053E-5</v>
      </c>
      <c r="M576" s="1">
        <v>-4.5556683706280403E-2</v>
      </c>
      <c r="N576" s="1">
        <v>3.6223004070949498</v>
      </c>
    </row>
    <row r="577" spans="1:14">
      <c r="A577" s="1">
        <v>576</v>
      </c>
      <c r="B577" s="1" t="s">
        <v>1576</v>
      </c>
      <c r="C577" s="1" t="s">
        <v>1577</v>
      </c>
      <c r="D577" s="5" t="s">
        <v>1578</v>
      </c>
      <c r="E577" s="1" t="s">
        <v>2363</v>
      </c>
      <c r="F577" s="7">
        <v>4</v>
      </c>
      <c r="G577" s="1">
        <v>3</v>
      </c>
      <c r="H577" s="1" t="s">
        <v>8</v>
      </c>
      <c r="I577" s="1" t="s">
        <v>8</v>
      </c>
      <c r="J577" s="1" t="s">
        <v>180</v>
      </c>
      <c r="K577" s="2">
        <v>3.1249998604577601E-5</v>
      </c>
      <c r="L577" s="2">
        <v>3.32514298260232E-6</v>
      </c>
      <c r="M577" s="1">
        <v>2.7527758456411498E-3</v>
      </c>
      <c r="N577" s="1">
        <v>3.6833567516166901</v>
      </c>
    </row>
    <row r="578" spans="1:14">
      <c r="A578" s="1">
        <v>577</v>
      </c>
      <c r="B578" s="1" t="s">
        <v>1579</v>
      </c>
      <c r="C578" s="1" t="s">
        <v>1580</v>
      </c>
      <c r="D578" s="5" t="s">
        <v>1161</v>
      </c>
      <c r="E578" s="1" t="s">
        <v>1579</v>
      </c>
      <c r="F578" s="7">
        <v>5</v>
      </c>
      <c r="G578" s="1">
        <v>4</v>
      </c>
      <c r="H578" s="1" t="s">
        <v>8</v>
      </c>
      <c r="I578" s="1" t="s">
        <v>8</v>
      </c>
      <c r="J578" s="1" t="s">
        <v>4</v>
      </c>
      <c r="K578" s="2">
        <v>3.1250003840917202E-5</v>
      </c>
      <c r="L578" s="2">
        <v>2.94250517682037E-5</v>
      </c>
      <c r="M578" s="1">
        <v>-2.1672936932759499E-4</v>
      </c>
      <c r="N578" s="1">
        <v>3.5340303269073998</v>
      </c>
    </row>
    <row r="579" spans="1:14">
      <c r="A579" s="1">
        <v>578</v>
      </c>
      <c r="B579" s="1" t="s">
        <v>1581</v>
      </c>
      <c r="C579" s="1" t="s">
        <v>1582</v>
      </c>
      <c r="D579" s="5" t="s">
        <v>1583</v>
      </c>
      <c r="E579" s="1" t="s">
        <v>1581</v>
      </c>
      <c r="F579" s="7">
        <v>4</v>
      </c>
      <c r="G579" s="1">
        <v>3</v>
      </c>
      <c r="H579" s="1" t="s">
        <v>12</v>
      </c>
      <c r="I579" s="1" t="s">
        <v>12</v>
      </c>
      <c r="J579" s="1" t="s">
        <v>4</v>
      </c>
      <c r="K579" s="2">
        <v>3.1250006469064597E-5</v>
      </c>
      <c r="L579" s="2">
        <v>5.0484789238532899E-6</v>
      </c>
      <c r="M579" s="1">
        <v>-2.5237540997736101E-2</v>
      </c>
      <c r="N579" s="1">
        <v>3.44289791873859</v>
      </c>
    </row>
    <row r="580" spans="1:14">
      <c r="A580" s="1">
        <v>579</v>
      </c>
      <c r="B580" s="1" t="s">
        <v>1584</v>
      </c>
      <c r="C580" s="1" t="s">
        <v>1585</v>
      </c>
      <c r="D580" s="5" t="s">
        <v>283</v>
      </c>
      <c r="E580" s="1" t="s">
        <v>1584</v>
      </c>
      <c r="F580" s="7">
        <v>4</v>
      </c>
      <c r="G580" s="1">
        <v>2</v>
      </c>
      <c r="H580" s="1" t="s">
        <v>12</v>
      </c>
      <c r="I580" s="1" t="s">
        <v>12</v>
      </c>
      <c r="J580" s="1" t="s">
        <v>4</v>
      </c>
      <c r="K580" s="2">
        <v>3.1250012312958698E-5</v>
      </c>
      <c r="L580" s="2">
        <v>2.17101712501302E-5</v>
      </c>
      <c r="M580" s="1">
        <v>-2.1263076983590399E-2</v>
      </c>
      <c r="N580" s="1">
        <v>3.7666223667640399</v>
      </c>
    </row>
    <row r="581" spans="1:14">
      <c r="A581" s="1">
        <v>580</v>
      </c>
      <c r="B581" s="1" t="s">
        <v>1586</v>
      </c>
      <c r="C581" s="1" t="s">
        <v>1587</v>
      </c>
      <c r="D581" s="5" t="s">
        <v>1588</v>
      </c>
      <c r="E581" s="1" t="s">
        <v>1586</v>
      </c>
      <c r="F581" s="7">
        <v>4</v>
      </c>
      <c r="G581" s="1">
        <v>4</v>
      </c>
      <c r="H581" s="1" t="s">
        <v>8</v>
      </c>
      <c r="I581" s="1" t="s">
        <v>8</v>
      </c>
      <c r="J581" s="1" t="s">
        <v>4</v>
      </c>
      <c r="K581" s="2">
        <v>3.1250006810484198E-5</v>
      </c>
      <c r="L581" s="2">
        <v>1.5010823489224401E-5</v>
      </c>
      <c r="M581" s="1">
        <v>7.3799999454751096E-3</v>
      </c>
      <c r="N581" s="1">
        <v>3.2782356616535901</v>
      </c>
    </row>
    <row r="582" spans="1:14">
      <c r="A582" s="1">
        <v>581</v>
      </c>
      <c r="B582" s="1" t="s">
        <v>1589</v>
      </c>
      <c r="C582" s="1" t="s">
        <v>1590</v>
      </c>
      <c r="D582" s="5" t="s">
        <v>295</v>
      </c>
      <c r="E582" s="1" t="s">
        <v>1589</v>
      </c>
      <c r="F582" s="7">
        <v>4</v>
      </c>
      <c r="G582" s="1">
        <v>5</v>
      </c>
      <c r="H582" s="1" t="s">
        <v>8</v>
      </c>
      <c r="I582" s="1" t="s">
        <v>8</v>
      </c>
      <c r="J582" s="1" t="s">
        <v>4</v>
      </c>
      <c r="K582" s="2">
        <v>3.1250003922533401E-5</v>
      </c>
      <c r="L582" s="2">
        <v>1.2415275780639801E-5</v>
      </c>
      <c r="M582" s="1">
        <v>6.1171246235431902E-2</v>
      </c>
      <c r="N582" s="1">
        <v>3.1028650453092199</v>
      </c>
    </row>
    <row r="583" spans="1:14">
      <c r="A583" s="1">
        <v>582</v>
      </c>
      <c r="B583" s="1" t="s">
        <v>1591</v>
      </c>
      <c r="C583" s="1" t="s">
        <v>1592</v>
      </c>
      <c r="D583" s="5" t="s">
        <v>1593</v>
      </c>
      <c r="E583" s="1" t="s">
        <v>2364</v>
      </c>
      <c r="F583" s="7">
        <v>4</v>
      </c>
      <c r="G583" s="1">
        <v>3</v>
      </c>
      <c r="H583" s="1" t="s">
        <v>8</v>
      </c>
      <c r="I583" s="1" t="s">
        <v>8</v>
      </c>
      <c r="J583" s="1" t="s">
        <v>180</v>
      </c>
      <c r="K583" s="2">
        <v>3.1249999409372397E-5</v>
      </c>
      <c r="L583" s="2">
        <v>7.5622334054413505E-7</v>
      </c>
      <c r="M583" s="1">
        <v>8.0304130286208402E-3</v>
      </c>
      <c r="N583" s="1">
        <v>3.3931089220983099</v>
      </c>
    </row>
    <row r="584" spans="1:14">
      <c r="A584" s="1">
        <v>583</v>
      </c>
      <c r="B584" s="1" t="s">
        <v>1594</v>
      </c>
      <c r="C584" s="1" t="s">
        <v>1595</v>
      </c>
      <c r="D584" s="5" t="s">
        <v>1596</v>
      </c>
      <c r="E584" s="1" t="s">
        <v>1597</v>
      </c>
      <c r="F584" s="7">
        <v>4</v>
      </c>
      <c r="G584" s="1">
        <v>3</v>
      </c>
      <c r="H584" s="1" t="s">
        <v>8</v>
      </c>
      <c r="I584" s="1" t="s">
        <v>8</v>
      </c>
      <c r="J584" s="1" t="s">
        <v>180</v>
      </c>
      <c r="K584" s="2">
        <v>3.1250000696671799E-5</v>
      </c>
      <c r="L584" s="2">
        <v>3.1215048172112497E-5</v>
      </c>
      <c r="M584" s="1">
        <v>-8.1275572057251094E-3</v>
      </c>
      <c r="N584" s="1">
        <v>3.0959147161418699</v>
      </c>
    </row>
    <row r="585" spans="1:14">
      <c r="A585" s="1">
        <v>584</v>
      </c>
      <c r="B585" s="1" t="s">
        <v>1598</v>
      </c>
      <c r="C585" s="1" t="s">
        <v>1599</v>
      </c>
      <c r="D585" s="5" t="s">
        <v>1600</v>
      </c>
      <c r="E585" s="1" t="s">
        <v>1598</v>
      </c>
      <c r="F585" s="7">
        <v>4</v>
      </c>
      <c r="G585" s="1">
        <v>5</v>
      </c>
      <c r="H585" s="1" t="s">
        <v>8</v>
      </c>
      <c r="I585" s="1" t="s">
        <v>8</v>
      </c>
      <c r="J585" s="1" t="s">
        <v>4</v>
      </c>
      <c r="K585" s="2">
        <v>3.1250003740283501E-5</v>
      </c>
      <c r="L585" s="2">
        <v>3.16889511054133E-6</v>
      </c>
      <c r="M585" s="1">
        <v>-1.1158975165130799E-3</v>
      </c>
      <c r="N585" s="1">
        <v>3.2121803057329199</v>
      </c>
    </row>
    <row r="586" spans="1:14">
      <c r="A586" s="1">
        <v>585</v>
      </c>
      <c r="B586" s="1" t="s">
        <v>1601</v>
      </c>
      <c r="C586" s="1" t="s">
        <v>1602</v>
      </c>
      <c r="D586" s="5" t="s">
        <v>1603</v>
      </c>
      <c r="E586" s="1" t="s">
        <v>2365</v>
      </c>
      <c r="F586" s="7">
        <v>4</v>
      </c>
      <c r="G586" s="1">
        <v>6</v>
      </c>
      <c r="H586" s="1" t="s">
        <v>8</v>
      </c>
      <c r="I586" s="1" t="s">
        <v>8</v>
      </c>
      <c r="J586" s="1" t="s">
        <v>180</v>
      </c>
      <c r="K586" s="2">
        <v>3.1249999468853903E-5</v>
      </c>
      <c r="L586" s="2">
        <v>2.3504877273358802E-6</v>
      </c>
      <c r="M586" s="1">
        <v>6.8173753506925996E-3</v>
      </c>
      <c r="N586" s="1">
        <v>3.6561035492539302</v>
      </c>
    </row>
    <row r="587" spans="1:14">
      <c r="A587" s="1">
        <v>586</v>
      </c>
      <c r="B587" s="1" t="s">
        <v>1604</v>
      </c>
      <c r="C587" s="1" t="s">
        <v>1605</v>
      </c>
      <c r="D587" s="5" t="s">
        <v>1606</v>
      </c>
      <c r="E587" s="1" t="s">
        <v>2366</v>
      </c>
      <c r="F587" s="7">
        <v>4</v>
      </c>
      <c r="G587" s="1">
        <v>7</v>
      </c>
      <c r="H587" s="1" t="s">
        <v>8</v>
      </c>
      <c r="I587" s="1" t="s">
        <v>8</v>
      </c>
      <c r="J587" s="1" t="s">
        <v>180</v>
      </c>
      <c r="K587" s="2">
        <v>3.1250002054271501E-5</v>
      </c>
      <c r="L587" s="2">
        <v>1.3856627693361599E-6</v>
      </c>
      <c r="M587" s="1">
        <v>-9.3110159720062296E-3</v>
      </c>
      <c r="N587" s="1">
        <v>3.4192380261002899</v>
      </c>
    </row>
    <row r="588" spans="1:14">
      <c r="A588" s="1">
        <v>587</v>
      </c>
      <c r="B588" s="1" t="s">
        <v>1607</v>
      </c>
      <c r="C588" s="1" t="s">
        <v>1608</v>
      </c>
      <c r="D588" s="5" t="s">
        <v>1609</v>
      </c>
      <c r="E588" s="1" t="s">
        <v>1607</v>
      </c>
      <c r="F588" s="7">
        <v>4</v>
      </c>
      <c r="G588" s="1">
        <v>5</v>
      </c>
      <c r="H588" s="1" t="s">
        <v>8</v>
      </c>
      <c r="I588" s="1" t="s">
        <v>8</v>
      </c>
      <c r="J588" s="1" t="s">
        <v>4</v>
      </c>
      <c r="K588" s="2">
        <v>3.1249998666061602E-5</v>
      </c>
      <c r="L588" s="2">
        <v>7.2938237557137399E-7</v>
      </c>
      <c r="M588" s="1">
        <v>2.7606170552047601E-2</v>
      </c>
      <c r="N588" s="1">
        <v>2.52421860955925</v>
      </c>
    </row>
    <row r="589" spans="1:14">
      <c r="A589" s="1">
        <v>588</v>
      </c>
      <c r="B589" s="1" t="s">
        <v>1610</v>
      </c>
      <c r="C589" s="1" t="s">
        <v>1611</v>
      </c>
      <c r="D589" s="5" t="s">
        <v>47</v>
      </c>
      <c r="E589" s="1" t="s">
        <v>1612</v>
      </c>
      <c r="F589" s="7">
        <v>4</v>
      </c>
      <c r="G589" s="1">
        <v>2</v>
      </c>
      <c r="H589" s="1" t="s">
        <v>12</v>
      </c>
      <c r="I589" s="1" t="s">
        <v>1613</v>
      </c>
      <c r="J589" s="1" t="s">
        <v>180</v>
      </c>
      <c r="K589" s="2">
        <v>3.1250004005667299E-5</v>
      </c>
      <c r="L589" s="2">
        <v>2.46777885289774E-6</v>
      </c>
      <c r="M589" s="1">
        <v>-2.3794905036993402E-3</v>
      </c>
      <c r="N589" s="1">
        <v>3.8265511777146699</v>
      </c>
    </row>
    <row r="590" spans="1:14">
      <c r="A590" s="1">
        <v>589</v>
      </c>
      <c r="B590" s="1" t="s">
        <v>1614</v>
      </c>
      <c r="C590" s="1" t="s">
        <v>1615</v>
      </c>
      <c r="D590" s="5" t="s">
        <v>1616</v>
      </c>
      <c r="E590" s="1" t="s">
        <v>1614</v>
      </c>
      <c r="F590" s="7">
        <v>4</v>
      </c>
      <c r="G590" s="1">
        <v>4</v>
      </c>
      <c r="H590" s="1" t="s">
        <v>8</v>
      </c>
      <c r="I590" s="1" t="s">
        <v>8</v>
      </c>
      <c r="J590" s="1" t="s">
        <v>4</v>
      </c>
      <c r="K590" s="2">
        <v>3.1250002261242301E-5</v>
      </c>
      <c r="L590" s="2">
        <v>2.5090789364579201E-6</v>
      </c>
      <c r="M590" s="1">
        <v>3.8577412624761102E-2</v>
      </c>
      <c r="N590" s="1">
        <v>2.8500984814028798</v>
      </c>
    </row>
    <row r="591" spans="1:14">
      <c r="A591" s="1">
        <v>590</v>
      </c>
      <c r="B591" s="1" t="s">
        <v>1617</v>
      </c>
      <c r="C591" s="1" t="s">
        <v>1618</v>
      </c>
      <c r="D591" s="5" t="s">
        <v>1619</v>
      </c>
      <c r="E591" s="1" t="s">
        <v>1617</v>
      </c>
      <c r="F591" s="7">
        <v>5</v>
      </c>
      <c r="G591" s="1">
        <v>5</v>
      </c>
      <c r="H591" s="1" t="s">
        <v>8</v>
      </c>
      <c r="I591" s="1" t="s">
        <v>8</v>
      </c>
      <c r="J591" s="1" t="s">
        <v>4</v>
      </c>
      <c r="K591" s="2">
        <v>3.1250003776864598E-5</v>
      </c>
      <c r="L591" s="2">
        <v>3.0800549356206802E-5</v>
      </c>
      <c r="M591" s="1">
        <v>7.9618419897684502E-3</v>
      </c>
      <c r="N591" s="1">
        <v>2.1464173200800101</v>
      </c>
    </row>
    <row r="592" spans="1:14">
      <c r="A592" s="1">
        <v>591</v>
      </c>
      <c r="B592" s="1" t="s">
        <v>1620</v>
      </c>
      <c r="C592" s="1" t="s">
        <v>1621</v>
      </c>
      <c r="D592" s="5" t="s">
        <v>1360</v>
      </c>
      <c r="E592" s="1" t="s">
        <v>1622</v>
      </c>
      <c r="F592" s="7">
        <v>4</v>
      </c>
      <c r="G592" s="1">
        <v>4</v>
      </c>
      <c r="H592" s="1" t="s">
        <v>8</v>
      </c>
      <c r="I592" s="1" t="s">
        <v>12</v>
      </c>
      <c r="J592" s="1" t="s">
        <v>180</v>
      </c>
      <c r="K592" s="2">
        <v>3.1250007702056597E-5</v>
      </c>
      <c r="L592" s="2">
        <v>1.1092484899494901E-5</v>
      </c>
      <c r="M592" s="1">
        <v>1.26983109401841E-2</v>
      </c>
      <c r="N592" s="1">
        <v>3.65826771691746</v>
      </c>
    </row>
    <row r="593" spans="1:14">
      <c r="A593" s="1">
        <v>592</v>
      </c>
      <c r="B593" s="1" t="s">
        <v>1623</v>
      </c>
      <c r="C593" s="1" t="s">
        <v>1624</v>
      </c>
      <c r="D593" s="5" t="s">
        <v>1625</v>
      </c>
      <c r="E593" s="1" t="s">
        <v>1623</v>
      </c>
      <c r="F593" s="7">
        <v>4</v>
      </c>
      <c r="G593" s="1">
        <v>5</v>
      </c>
      <c r="H593" s="1" t="s">
        <v>8</v>
      </c>
      <c r="I593" s="1" t="s">
        <v>8</v>
      </c>
      <c r="J593" s="1" t="s">
        <v>4</v>
      </c>
      <c r="K593" s="2">
        <v>3.12500070984643E-5</v>
      </c>
      <c r="L593" s="2">
        <v>8.9389581884253408E-6</v>
      </c>
      <c r="M593" s="1">
        <v>2.5731465544112E-2</v>
      </c>
      <c r="N593" s="1">
        <v>3.25875335589153</v>
      </c>
    </row>
    <row r="594" spans="1:14">
      <c r="A594" s="1">
        <v>593</v>
      </c>
      <c r="B594" s="1" t="s">
        <v>1626</v>
      </c>
      <c r="C594" s="1" t="s">
        <v>1627</v>
      </c>
      <c r="D594" s="5" t="s">
        <v>829</v>
      </c>
      <c r="E594" s="1" t="s">
        <v>1626</v>
      </c>
      <c r="F594" s="7">
        <v>4</v>
      </c>
      <c r="G594" s="1">
        <v>5</v>
      </c>
      <c r="H594" s="1" t="s">
        <v>8</v>
      </c>
      <c r="I594" s="1" t="s">
        <v>8</v>
      </c>
      <c r="J594" s="1" t="s">
        <v>4</v>
      </c>
      <c r="K594" s="2">
        <v>3.12500058992936E-5</v>
      </c>
      <c r="L594" s="2">
        <v>2.52087586002096E-5</v>
      </c>
      <c r="M594" s="1">
        <v>1.0134965602965401E-2</v>
      </c>
      <c r="N594" s="1">
        <v>3.5858670232763599</v>
      </c>
    </row>
    <row r="595" spans="1:14">
      <c r="A595" s="1">
        <v>594</v>
      </c>
      <c r="B595" s="1" t="s">
        <v>1628</v>
      </c>
      <c r="C595" s="1" t="s">
        <v>1629</v>
      </c>
      <c r="D595" s="5" t="s">
        <v>1630</v>
      </c>
      <c r="E595" s="1" t="s">
        <v>1628</v>
      </c>
      <c r="F595" s="7">
        <v>4</v>
      </c>
      <c r="G595" s="1">
        <v>5</v>
      </c>
      <c r="H595" s="1" t="s">
        <v>8</v>
      </c>
      <c r="I595" s="1" t="s">
        <v>8</v>
      </c>
      <c r="J595" s="1" t="s">
        <v>4</v>
      </c>
      <c r="K595" s="2">
        <v>3.1250000742563902E-5</v>
      </c>
      <c r="L595" s="2">
        <v>3.0741853638097901E-5</v>
      </c>
      <c r="M595" s="1">
        <v>2.43546474269749E-2</v>
      </c>
      <c r="N595" s="1">
        <v>1.98149655688756</v>
      </c>
    </row>
    <row r="596" spans="1:14">
      <c r="A596" s="1">
        <v>595</v>
      </c>
      <c r="B596" s="1" t="s">
        <v>1631</v>
      </c>
      <c r="C596" s="1" t="s">
        <v>1632</v>
      </c>
      <c r="D596" s="5" t="s">
        <v>28</v>
      </c>
      <c r="E596" s="1" t="s">
        <v>1631</v>
      </c>
      <c r="F596" s="7">
        <v>5</v>
      </c>
      <c r="G596" s="1">
        <v>3</v>
      </c>
      <c r="H596" s="1" t="s">
        <v>8</v>
      </c>
      <c r="I596" s="1" t="s">
        <v>8</v>
      </c>
      <c r="J596" s="1" t="s">
        <v>4</v>
      </c>
      <c r="K596" s="2">
        <v>3.12499993033957E-5</v>
      </c>
      <c r="L596" s="2">
        <v>1.6314906535486801E-5</v>
      </c>
      <c r="M596" s="1">
        <v>-1.01772331694149E-2</v>
      </c>
      <c r="N596" s="1">
        <v>3.35283364847951</v>
      </c>
    </row>
    <row r="597" spans="1:14">
      <c r="A597" s="1">
        <v>596</v>
      </c>
      <c r="B597" s="1" t="s">
        <v>1633</v>
      </c>
      <c r="C597" s="1" t="s">
        <v>1634</v>
      </c>
      <c r="D597" s="5" t="s">
        <v>1593</v>
      </c>
      <c r="E597" s="1" t="s">
        <v>1633</v>
      </c>
      <c r="F597" s="7">
        <v>6</v>
      </c>
      <c r="G597" s="1">
        <v>3</v>
      </c>
      <c r="H597" s="1" t="s">
        <v>8</v>
      </c>
      <c r="I597" s="1" t="s">
        <v>8</v>
      </c>
      <c r="J597" s="1" t="s">
        <v>4</v>
      </c>
      <c r="K597" s="2">
        <v>3.1250004814915401E-5</v>
      </c>
      <c r="L597" s="2">
        <v>1.02361753795811E-5</v>
      </c>
      <c r="M597" s="1">
        <v>-7.6879973594898799E-3</v>
      </c>
      <c r="N597" s="1">
        <v>3.4264590530213601</v>
      </c>
    </row>
    <row r="598" spans="1:14">
      <c r="A598" s="1">
        <v>597</v>
      </c>
      <c r="B598" s="1" t="s">
        <v>1635</v>
      </c>
      <c r="C598" s="1" t="s">
        <v>1636</v>
      </c>
      <c r="D598" s="5" t="s">
        <v>142</v>
      </c>
      <c r="E598" s="1" t="s">
        <v>2367</v>
      </c>
      <c r="F598" s="7">
        <v>4</v>
      </c>
      <c r="G598" s="1">
        <v>2</v>
      </c>
      <c r="H598" s="1" t="s">
        <v>12</v>
      </c>
      <c r="I598" s="1" t="s">
        <v>8</v>
      </c>
      <c r="J598" s="1" t="s">
        <v>180</v>
      </c>
      <c r="K598" s="2">
        <v>3.1250003160560701E-5</v>
      </c>
      <c r="L598" s="2">
        <v>1.50599824755328E-6</v>
      </c>
      <c r="M598" s="1">
        <v>2.2401106028137701E-2</v>
      </c>
      <c r="N598" s="1">
        <v>3.5701076348103098</v>
      </c>
    </row>
    <row r="599" spans="1:14">
      <c r="A599" s="1">
        <v>598</v>
      </c>
      <c r="B599" s="1" t="s">
        <v>1637</v>
      </c>
      <c r="C599" s="1" t="s">
        <v>1638</v>
      </c>
      <c r="D599" s="5" t="s">
        <v>1639</v>
      </c>
      <c r="E599" s="1" t="s">
        <v>1637</v>
      </c>
      <c r="F599" s="7">
        <v>4</v>
      </c>
      <c r="G599" s="1">
        <v>4</v>
      </c>
      <c r="H599" s="1" t="s">
        <v>8</v>
      </c>
      <c r="I599" s="1" t="s">
        <v>8</v>
      </c>
      <c r="J599" s="1" t="s">
        <v>4</v>
      </c>
      <c r="K599" s="2">
        <v>3.1249997527849498E-5</v>
      </c>
      <c r="L599" s="2">
        <v>1.38789654974572E-5</v>
      </c>
      <c r="M599" s="1">
        <v>2.2354718050706799E-2</v>
      </c>
      <c r="N599" s="1">
        <v>3.1394465148028301</v>
      </c>
    </row>
    <row r="600" spans="1:14">
      <c r="A600" s="1">
        <v>599</v>
      </c>
      <c r="B600" s="1" t="s">
        <v>1640</v>
      </c>
      <c r="C600" s="1" t="s">
        <v>1641</v>
      </c>
      <c r="D600" s="5" t="s">
        <v>979</v>
      </c>
      <c r="E600" s="1" t="s">
        <v>1642</v>
      </c>
      <c r="F600" s="7">
        <v>4</v>
      </c>
      <c r="G600" s="1">
        <v>8</v>
      </c>
      <c r="H600" s="1" t="s">
        <v>8</v>
      </c>
      <c r="I600" s="1" t="s">
        <v>8</v>
      </c>
      <c r="J600" s="1" t="s">
        <v>180</v>
      </c>
      <c r="K600" s="2">
        <v>3.1249999424438802E-5</v>
      </c>
      <c r="L600" s="2">
        <v>4.26996866978103E-6</v>
      </c>
      <c r="M600" s="1">
        <v>1.9143309121264399E-2</v>
      </c>
      <c r="N600" s="1">
        <v>3.7028991653941401</v>
      </c>
    </row>
    <row r="601" spans="1:14">
      <c r="A601" s="1">
        <v>600</v>
      </c>
      <c r="B601" s="1" t="s">
        <v>1643</v>
      </c>
      <c r="C601" s="1" t="s">
        <v>1644</v>
      </c>
      <c r="D601" s="5" t="s">
        <v>47</v>
      </c>
      <c r="E601" s="1" t="s">
        <v>1643</v>
      </c>
      <c r="F601" s="7">
        <v>5</v>
      </c>
      <c r="G601" s="1">
        <v>2</v>
      </c>
      <c r="H601" s="1" t="s">
        <v>12</v>
      </c>
      <c r="I601" s="1" t="s">
        <v>12</v>
      </c>
      <c r="J601" s="1" t="s">
        <v>4</v>
      </c>
      <c r="K601" s="2">
        <v>3.12500102495742E-5</v>
      </c>
      <c r="L601" s="2">
        <v>8.9998413081066594E-6</v>
      </c>
      <c r="M601" s="1">
        <v>-2.0503472381681001E-2</v>
      </c>
      <c r="N601" s="1">
        <v>3.5282185750456501</v>
      </c>
    </row>
    <row r="602" spans="1:14">
      <c r="A602" s="1">
        <v>601</v>
      </c>
      <c r="B602" s="1" t="s">
        <v>1645</v>
      </c>
      <c r="C602" s="1" t="s">
        <v>1646</v>
      </c>
      <c r="D602" s="5" t="s">
        <v>148</v>
      </c>
      <c r="E602" s="1" t="s">
        <v>1645</v>
      </c>
      <c r="F602" s="7">
        <v>4</v>
      </c>
      <c r="G602" s="1">
        <v>5</v>
      </c>
      <c r="H602" s="1" t="s">
        <v>3</v>
      </c>
      <c r="I602" s="1" t="s">
        <v>3</v>
      </c>
      <c r="J602" s="1" t="s">
        <v>4</v>
      </c>
      <c r="K602" s="2">
        <v>3.1250006558296197E-5</v>
      </c>
      <c r="L602" s="2">
        <v>3.123167820539E-5</v>
      </c>
      <c r="M602" s="1">
        <v>4.1898464864765103E-2</v>
      </c>
      <c r="N602" s="1">
        <v>3.1922148274497801</v>
      </c>
    </row>
    <row r="603" spans="1:14">
      <c r="A603" s="1">
        <v>602</v>
      </c>
      <c r="B603" s="1" t="s">
        <v>1647</v>
      </c>
      <c r="C603" s="1" t="s">
        <v>1648</v>
      </c>
      <c r="D603" s="5" t="s">
        <v>1649</v>
      </c>
      <c r="E603" s="1" t="s">
        <v>1647</v>
      </c>
      <c r="F603" s="7">
        <v>7</v>
      </c>
      <c r="G603" s="1">
        <v>4</v>
      </c>
      <c r="H603" s="1" t="s">
        <v>8</v>
      </c>
      <c r="I603" s="1" t="s">
        <v>8</v>
      </c>
      <c r="J603" s="1" t="s">
        <v>4</v>
      </c>
      <c r="K603" s="2">
        <v>3.1250009947287203E-5</v>
      </c>
      <c r="L603" s="2">
        <v>1.05171088992355E-5</v>
      </c>
      <c r="M603" s="1">
        <v>4.1132491598830201E-2</v>
      </c>
      <c r="N603" s="1">
        <v>3.1147602101455401</v>
      </c>
    </row>
    <row r="604" spans="1:14">
      <c r="A604" s="1">
        <v>603</v>
      </c>
      <c r="B604" s="1" t="s">
        <v>1650</v>
      </c>
      <c r="C604" s="1" t="s">
        <v>1651</v>
      </c>
      <c r="D604" s="5" t="s">
        <v>1652</v>
      </c>
      <c r="E604" s="1" t="s">
        <v>2368</v>
      </c>
      <c r="F604" s="7">
        <v>6</v>
      </c>
      <c r="G604" s="1">
        <v>5</v>
      </c>
      <c r="H604" s="1" t="s">
        <v>8</v>
      </c>
      <c r="I604" s="1" t="s">
        <v>8</v>
      </c>
      <c r="J604" s="1" t="s">
        <v>180</v>
      </c>
      <c r="K604" s="2">
        <v>3.1249999660523202E-5</v>
      </c>
      <c r="L604" s="2">
        <v>5.9740767805180997E-6</v>
      </c>
      <c r="M604" s="1">
        <v>1.6097496502453599E-2</v>
      </c>
      <c r="N604" s="1">
        <v>3.87612943783332</v>
      </c>
    </row>
    <row r="605" spans="1:14">
      <c r="A605" s="1">
        <v>604</v>
      </c>
      <c r="B605" s="1" t="s">
        <v>1653</v>
      </c>
      <c r="C605" s="1" t="s">
        <v>1654</v>
      </c>
      <c r="D605" s="5" t="s">
        <v>1655</v>
      </c>
      <c r="E605" s="1" t="s">
        <v>1656</v>
      </c>
      <c r="F605" s="7">
        <v>4</v>
      </c>
      <c r="G605" s="1">
        <v>4</v>
      </c>
      <c r="H605" s="1" t="s">
        <v>8</v>
      </c>
      <c r="I605" s="1" t="s">
        <v>8</v>
      </c>
      <c r="J605" s="1" t="s">
        <v>180</v>
      </c>
      <c r="K605" s="2">
        <v>3.1250003644265202E-5</v>
      </c>
      <c r="L605" s="2">
        <v>2.0683749750617302E-5</v>
      </c>
      <c r="M605" s="1">
        <v>-2.4149891867281701E-2</v>
      </c>
      <c r="N605" s="1">
        <v>3.3958565539887502</v>
      </c>
    </row>
    <row r="606" spans="1:14">
      <c r="A606" s="1">
        <v>605</v>
      </c>
      <c r="B606" s="1" t="s">
        <v>1657</v>
      </c>
      <c r="C606" s="1" t="s">
        <v>1658</v>
      </c>
      <c r="D606" s="5" t="s">
        <v>1659</v>
      </c>
      <c r="E606" s="1" t="s">
        <v>1657</v>
      </c>
      <c r="F606" s="7">
        <v>4</v>
      </c>
      <c r="G606" s="1">
        <v>3</v>
      </c>
      <c r="H606" s="1" t="s">
        <v>98</v>
      </c>
      <c r="I606" s="1" t="s">
        <v>98</v>
      </c>
      <c r="J606" s="1" t="s">
        <v>4</v>
      </c>
      <c r="K606" s="2">
        <v>3.1250003153595902E-5</v>
      </c>
      <c r="L606" s="2">
        <v>2.68000487393294E-5</v>
      </c>
      <c r="M606" s="1">
        <v>-3.0924782145987699E-2</v>
      </c>
      <c r="N606" s="1">
        <v>3.5920828878514</v>
      </c>
    </row>
    <row r="607" spans="1:14">
      <c r="A607" s="1">
        <v>606</v>
      </c>
      <c r="B607" s="1" t="s">
        <v>1660</v>
      </c>
      <c r="C607" s="1" t="s">
        <v>1661</v>
      </c>
      <c r="D607" s="5" t="s">
        <v>1662</v>
      </c>
      <c r="E607" s="1" t="s">
        <v>1663</v>
      </c>
      <c r="F607" s="7">
        <v>4</v>
      </c>
      <c r="G607" s="1">
        <v>7</v>
      </c>
      <c r="H607" s="1" t="s">
        <v>8</v>
      </c>
      <c r="I607" s="1" t="s">
        <v>12</v>
      </c>
      <c r="J607" s="1" t="s">
        <v>180</v>
      </c>
      <c r="K607" s="2">
        <v>3.1250003185373203E-5</v>
      </c>
      <c r="L607" s="2">
        <v>7.8132410127730998E-6</v>
      </c>
      <c r="M607" s="1">
        <v>3.3582095262108397E-2</v>
      </c>
      <c r="N607" s="1">
        <v>3.6309816228261398</v>
      </c>
    </row>
    <row r="608" spans="1:14">
      <c r="A608" s="1">
        <v>607</v>
      </c>
      <c r="B608" s="1" t="s">
        <v>1664</v>
      </c>
      <c r="C608" s="1" t="s">
        <v>1665</v>
      </c>
      <c r="D608" s="5" t="s">
        <v>1666</v>
      </c>
      <c r="E608" s="1" t="s">
        <v>1667</v>
      </c>
      <c r="F608" s="7">
        <v>4</v>
      </c>
      <c r="G608" s="1">
        <v>5</v>
      </c>
      <c r="H608" s="1" t="s">
        <v>8</v>
      </c>
      <c r="I608" s="1" t="s">
        <v>8</v>
      </c>
      <c r="J608" s="1" t="s">
        <v>180</v>
      </c>
      <c r="K608" s="2">
        <v>3.12499981531251E-5</v>
      </c>
      <c r="L608" s="2">
        <v>3.3372066080592502E-7</v>
      </c>
      <c r="M608" s="1">
        <v>-2.42161409443362E-2</v>
      </c>
      <c r="N608" s="1">
        <v>3.1595100274710299</v>
      </c>
    </row>
    <row r="609" spans="1:14">
      <c r="A609" s="1">
        <v>608</v>
      </c>
      <c r="B609" s="1" t="s">
        <v>1668</v>
      </c>
      <c r="C609" s="1" t="s">
        <v>1669</v>
      </c>
      <c r="D609" s="5" t="s">
        <v>1172</v>
      </c>
      <c r="E609" s="1" t="s">
        <v>1668</v>
      </c>
      <c r="F609" s="7">
        <v>4</v>
      </c>
      <c r="G609" s="1">
        <v>5</v>
      </c>
      <c r="H609" s="1" t="s">
        <v>8</v>
      </c>
      <c r="I609" s="1" t="s">
        <v>8</v>
      </c>
      <c r="J609" s="1" t="s">
        <v>4</v>
      </c>
      <c r="K609" s="2">
        <v>3.1250005044650801E-5</v>
      </c>
      <c r="L609" s="2">
        <v>3.1080862894499602E-5</v>
      </c>
      <c r="M609" s="1">
        <v>-1.5260772821676399E-2</v>
      </c>
      <c r="N609" s="1">
        <v>2.9983017223523198</v>
      </c>
    </row>
    <row r="610" spans="1:14">
      <c r="A610" s="1">
        <v>609</v>
      </c>
      <c r="B610" s="1" t="s">
        <v>1670</v>
      </c>
      <c r="C610" s="1" t="s">
        <v>1671</v>
      </c>
      <c r="D610" s="5" t="s">
        <v>407</v>
      </c>
      <c r="E610" s="1" t="s">
        <v>1670</v>
      </c>
      <c r="F610" s="7">
        <v>4</v>
      </c>
      <c r="G610" s="1">
        <v>4</v>
      </c>
      <c r="H610" s="1" t="s">
        <v>8</v>
      </c>
      <c r="I610" s="1" t="s">
        <v>8</v>
      </c>
      <c r="J610" s="1" t="s">
        <v>4</v>
      </c>
      <c r="K610" s="2">
        <v>3.1250008975922599E-5</v>
      </c>
      <c r="L610" s="2">
        <v>1.5600552365893002E-5</v>
      </c>
      <c r="M610" s="1">
        <v>3.0496849531118598E-3</v>
      </c>
      <c r="N610" s="1">
        <v>3.3021324517257402</v>
      </c>
    </row>
    <row r="611" spans="1:14">
      <c r="A611" s="1">
        <v>610</v>
      </c>
      <c r="B611" s="1" t="s">
        <v>1672</v>
      </c>
      <c r="C611" s="1" t="s">
        <v>1673</v>
      </c>
      <c r="D611" s="5" t="s">
        <v>47</v>
      </c>
      <c r="E611" s="1" t="s">
        <v>1674</v>
      </c>
      <c r="F611" s="7">
        <v>4</v>
      </c>
      <c r="G611" s="1">
        <v>2</v>
      </c>
      <c r="H611" s="1" t="s">
        <v>12</v>
      </c>
      <c r="I611" s="1" t="s">
        <v>8</v>
      </c>
      <c r="J611" s="1" t="s">
        <v>180</v>
      </c>
      <c r="K611" s="2">
        <v>3.1249999191673498E-5</v>
      </c>
      <c r="L611" s="2">
        <v>2.64713343747711E-6</v>
      </c>
      <c r="M611" s="1">
        <v>7.9392101683310994E-3</v>
      </c>
      <c r="N611" s="1">
        <v>3.6179912552322202</v>
      </c>
    </row>
    <row r="612" spans="1:14">
      <c r="A612" s="1">
        <v>611</v>
      </c>
      <c r="B612" s="1" t="s">
        <v>1675</v>
      </c>
      <c r="C612" s="1" t="s">
        <v>1676</v>
      </c>
      <c r="D612" s="5" t="s">
        <v>142</v>
      </c>
      <c r="E612" s="1" t="s">
        <v>1675</v>
      </c>
      <c r="F612" s="7">
        <v>4</v>
      </c>
      <c r="G612" s="1">
        <v>2</v>
      </c>
      <c r="H612" s="1" t="s">
        <v>12</v>
      </c>
      <c r="I612" s="1" t="s">
        <v>12</v>
      </c>
      <c r="J612" s="1" t="s">
        <v>4</v>
      </c>
      <c r="K612" s="2">
        <v>3.1250001518186598E-5</v>
      </c>
      <c r="L612" s="2">
        <v>2.2410581831151899E-5</v>
      </c>
      <c r="M612" s="1">
        <v>-8.6583985624937299E-3</v>
      </c>
      <c r="N612" s="1">
        <v>3.6935234747344898</v>
      </c>
    </row>
    <row r="613" spans="1:14">
      <c r="A613" s="1">
        <v>612</v>
      </c>
      <c r="B613" s="1" t="s">
        <v>1677</v>
      </c>
      <c r="C613" s="1" t="s">
        <v>1678</v>
      </c>
      <c r="D613" s="5" t="s">
        <v>1679</v>
      </c>
      <c r="E613" s="1" t="s">
        <v>1677</v>
      </c>
      <c r="F613" s="7">
        <v>4</v>
      </c>
      <c r="G613" s="1">
        <v>7</v>
      </c>
      <c r="H613" s="1" t="s">
        <v>8</v>
      </c>
      <c r="I613" s="1" t="s">
        <v>8</v>
      </c>
      <c r="J613" s="1" t="s">
        <v>4</v>
      </c>
      <c r="K613" s="2">
        <v>3.1250008641622602E-5</v>
      </c>
      <c r="L613" s="2">
        <v>1.2622882301208101E-5</v>
      </c>
      <c r="M613" s="1">
        <v>1.26528199658224E-2</v>
      </c>
      <c r="N613" s="1">
        <v>3.32184098369143</v>
      </c>
    </row>
    <row r="614" spans="1:14">
      <c r="A614" s="1">
        <v>613</v>
      </c>
      <c r="B614" s="1" t="s">
        <v>1680</v>
      </c>
      <c r="C614" s="1" t="s">
        <v>1681</v>
      </c>
      <c r="D614" s="5" t="s">
        <v>1478</v>
      </c>
      <c r="E614" s="1" t="s">
        <v>2369</v>
      </c>
      <c r="F614" s="7">
        <v>4</v>
      </c>
      <c r="G614" s="1">
        <v>4</v>
      </c>
      <c r="H614" s="1" t="s">
        <v>8</v>
      </c>
      <c r="I614" s="1" t="s">
        <v>8</v>
      </c>
      <c r="J614" s="1" t="s">
        <v>180</v>
      </c>
      <c r="K614" s="2">
        <v>3.1249997316438999E-5</v>
      </c>
      <c r="L614" s="2">
        <v>1.75242803772866E-6</v>
      </c>
      <c r="M614" s="1">
        <v>2.23280163206638E-2</v>
      </c>
      <c r="N614" s="1">
        <v>3.5367053981034799</v>
      </c>
    </row>
    <row r="615" spans="1:14">
      <c r="A615" s="1">
        <v>614</v>
      </c>
      <c r="B615" s="1" t="s">
        <v>1682</v>
      </c>
      <c r="C615" s="1" t="s">
        <v>1683</v>
      </c>
      <c r="D615" s="5" t="s">
        <v>1684</v>
      </c>
      <c r="E615" s="1" t="s">
        <v>1682</v>
      </c>
      <c r="F615" s="7">
        <v>4</v>
      </c>
      <c r="G615" s="1">
        <v>4</v>
      </c>
      <c r="H615" s="1" t="s">
        <v>98</v>
      </c>
      <c r="I615" s="1" t="s">
        <v>98</v>
      </c>
      <c r="J615" s="1" t="s">
        <v>4</v>
      </c>
      <c r="K615" s="2">
        <v>3.1250005925332498E-5</v>
      </c>
      <c r="L615" s="2">
        <v>1.07288350320253E-5</v>
      </c>
      <c r="M615" s="1">
        <v>-2.4286253822651802E-2</v>
      </c>
      <c r="N615" s="1">
        <v>3.6013179697067401</v>
      </c>
    </row>
    <row r="616" spans="1:14">
      <c r="A616" s="1">
        <v>615</v>
      </c>
      <c r="B616" s="1" t="s">
        <v>1685</v>
      </c>
      <c r="C616" s="1" t="s">
        <v>1686</v>
      </c>
      <c r="D616" s="5" t="s">
        <v>1434</v>
      </c>
      <c r="E616" s="1" t="s">
        <v>1685</v>
      </c>
      <c r="F616" s="7">
        <v>5</v>
      </c>
      <c r="G616" s="1">
        <v>7</v>
      </c>
      <c r="H616" s="1" t="s">
        <v>22</v>
      </c>
      <c r="I616" s="1" t="s">
        <v>22</v>
      </c>
      <c r="J616" s="1" t="s">
        <v>4</v>
      </c>
      <c r="K616" s="2">
        <v>3.1249997389030102E-5</v>
      </c>
      <c r="L616" s="2">
        <v>3.61946509317417E-6</v>
      </c>
      <c r="M616" s="1">
        <v>-6.9113374231406502E-3</v>
      </c>
      <c r="N616" s="1">
        <v>3.3573789271241599</v>
      </c>
    </row>
    <row r="617" spans="1:14">
      <c r="A617" s="1">
        <v>616</v>
      </c>
      <c r="B617" s="1" t="s">
        <v>1687</v>
      </c>
      <c r="C617" s="1" t="s">
        <v>1688</v>
      </c>
      <c r="D617" s="5" t="s">
        <v>1689</v>
      </c>
      <c r="E617" s="1" t="s">
        <v>1690</v>
      </c>
      <c r="F617" s="7">
        <v>6</v>
      </c>
      <c r="G617" s="1">
        <v>4</v>
      </c>
      <c r="H617" s="1" t="s">
        <v>68</v>
      </c>
      <c r="I617" s="1" t="s">
        <v>8</v>
      </c>
      <c r="J617" s="1" t="s">
        <v>180</v>
      </c>
      <c r="K617" s="2">
        <v>3.1250000851414602E-5</v>
      </c>
      <c r="L617" s="2">
        <v>6.1253087977482901E-8</v>
      </c>
      <c r="M617" s="1">
        <v>1.7455138717599999E-2</v>
      </c>
      <c r="N617" s="1">
        <v>3.45136181034565</v>
      </c>
    </row>
    <row r="618" spans="1:14">
      <c r="A618" s="1">
        <v>617</v>
      </c>
      <c r="B618" s="1" t="s">
        <v>1691</v>
      </c>
      <c r="C618" s="1" t="s">
        <v>1692</v>
      </c>
      <c r="D618" s="5" t="s">
        <v>1693</v>
      </c>
      <c r="E618" s="1" t="s">
        <v>1691</v>
      </c>
      <c r="F618" s="7">
        <v>9</v>
      </c>
      <c r="G618" s="1">
        <v>6</v>
      </c>
      <c r="H618" s="1" t="s">
        <v>8</v>
      </c>
      <c r="I618" s="1" t="s">
        <v>8</v>
      </c>
      <c r="J618" s="1" t="s">
        <v>4</v>
      </c>
      <c r="K618" s="2">
        <v>3.1250012403143299E-5</v>
      </c>
      <c r="L618" s="2">
        <v>1.5548266727057702E-5</v>
      </c>
      <c r="M618" s="1">
        <v>2.0204974483362999E-2</v>
      </c>
      <c r="N618" s="1">
        <v>3.5711576615031499</v>
      </c>
    </row>
    <row r="619" spans="1:14">
      <c r="A619" s="1">
        <v>618</v>
      </c>
      <c r="B619" s="1" t="s">
        <v>1694</v>
      </c>
      <c r="C619" s="1" t="s">
        <v>1695</v>
      </c>
      <c r="D619" s="5" t="s">
        <v>1583</v>
      </c>
      <c r="E619" s="1" t="s">
        <v>1694</v>
      </c>
      <c r="F619" s="7">
        <v>5</v>
      </c>
      <c r="G619" s="1">
        <v>3</v>
      </c>
      <c r="H619" s="1" t="s">
        <v>12</v>
      </c>
      <c r="I619" s="1" t="s">
        <v>12</v>
      </c>
      <c r="J619" s="1" t="s">
        <v>4</v>
      </c>
      <c r="K619" s="2">
        <v>3.1249999284817903E-5</v>
      </c>
      <c r="L619" s="2">
        <v>1.6466778242226399E-6</v>
      </c>
      <c r="M619" s="1">
        <v>7.3582988328553204E-3</v>
      </c>
      <c r="N619" s="1">
        <v>3.6872114641650402</v>
      </c>
    </row>
    <row r="620" spans="1:14">
      <c r="A620" s="1">
        <v>619</v>
      </c>
      <c r="B620" s="1" t="s">
        <v>1696</v>
      </c>
      <c r="C620" s="1" t="s">
        <v>1697</v>
      </c>
      <c r="D620" s="5" t="s">
        <v>700</v>
      </c>
      <c r="E620" s="1" t="s">
        <v>1696</v>
      </c>
      <c r="F620" s="7">
        <v>4</v>
      </c>
      <c r="G620" s="1">
        <v>7</v>
      </c>
      <c r="H620" s="1" t="s">
        <v>8</v>
      </c>
      <c r="I620" s="1" t="s">
        <v>8</v>
      </c>
      <c r="J620" s="1" t="s">
        <v>4</v>
      </c>
      <c r="K620" s="2">
        <v>3.1250004523700798E-5</v>
      </c>
      <c r="L620" s="2">
        <v>3.1185148896720197E-5</v>
      </c>
      <c r="M620" s="1">
        <v>-5.8630816039268998E-3</v>
      </c>
      <c r="N620" s="1">
        <v>2.4562322588458501</v>
      </c>
    </row>
    <row r="621" spans="1:14">
      <c r="A621" s="1">
        <v>620</v>
      </c>
      <c r="B621" s="1" t="s">
        <v>1698</v>
      </c>
      <c r="C621" s="1" t="s">
        <v>1699</v>
      </c>
      <c r="D621" s="5" t="s">
        <v>1700</v>
      </c>
      <c r="E621" s="1" t="s">
        <v>1698</v>
      </c>
      <c r="F621" s="7">
        <v>5</v>
      </c>
      <c r="G621" s="1">
        <v>9</v>
      </c>
      <c r="H621" s="1" t="s">
        <v>8</v>
      </c>
      <c r="I621" s="1" t="s">
        <v>8</v>
      </c>
      <c r="J621" s="1" t="s">
        <v>4</v>
      </c>
      <c r="K621" s="2">
        <v>3.1250001314622497E-5</v>
      </c>
      <c r="L621" s="2">
        <v>9.7176797961356702E-6</v>
      </c>
      <c r="M621" s="1">
        <v>2.6016980320768802E-3</v>
      </c>
      <c r="N621" s="1">
        <v>3.4923404371501401</v>
      </c>
    </row>
    <row r="622" spans="1:14">
      <c r="A622" s="1">
        <v>621</v>
      </c>
      <c r="B622" s="1" t="s">
        <v>1701</v>
      </c>
      <c r="C622" s="1" t="s">
        <v>1702</v>
      </c>
      <c r="D622" s="5" t="s">
        <v>1703</v>
      </c>
      <c r="E622" s="1" t="s">
        <v>1704</v>
      </c>
      <c r="F622" s="7">
        <v>4</v>
      </c>
      <c r="G622" s="1">
        <v>7</v>
      </c>
      <c r="H622" s="1" t="s">
        <v>8</v>
      </c>
      <c r="I622" s="1" t="s">
        <v>44</v>
      </c>
      <c r="J622" s="1" t="s">
        <v>180</v>
      </c>
      <c r="K622" s="2">
        <v>3.1250002667608702E-5</v>
      </c>
      <c r="L622" s="2">
        <v>1.17769020493068E-6</v>
      </c>
      <c r="M622" s="1">
        <v>5.6103612903761696E-3</v>
      </c>
      <c r="N622" s="1">
        <v>3.43279249786751</v>
      </c>
    </row>
    <row r="623" spans="1:14">
      <c r="A623" s="1">
        <v>622</v>
      </c>
      <c r="B623" s="1" t="s">
        <v>1705</v>
      </c>
      <c r="C623" s="1" t="s">
        <v>1706</v>
      </c>
      <c r="D623" s="5" t="s">
        <v>1707</v>
      </c>
      <c r="E623" s="1" t="s">
        <v>1705</v>
      </c>
      <c r="F623" s="7">
        <v>4</v>
      </c>
      <c r="G623" s="1">
        <v>5</v>
      </c>
      <c r="H623" s="1" t="s">
        <v>8</v>
      </c>
      <c r="I623" s="1" t="s">
        <v>8</v>
      </c>
      <c r="J623" s="1" t="s">
        <v>4</v>
      </c>
      <c r="K623" s="2">
        <v>3.1250013243412003E-5</v>
      </c>
      <c r="L623" s="2">
        <v>2.8489182406574001E-5</v>
      </c>
      <c r="M623" s="1">
        <v>4.8839168526697502E-3</v>
      </c>
      <c r="N623" s="1">
        <v>2.68513560237826</v>
      </c>
    </row>
    <row r="624" spans="1:14">
      <c r="A624" s="1">
        <v>623</v>
      </c>
      <c r="B624" s="1" t="s">
        <v>1708</v>
      </c>
      <c r="C624" s="1" t="s">
        <v>1709</v>
      </c>
      <c r="D624" s="5" t="s">
        <v>177</v>
      </c>
      <c r="E624" s="1" t="s">
        <v>1708</v>
      </c>
      <c r="F624" s="7">
        <v>4</v>
      </c>
      <c r="G624" s="1">
        <v>4</v>
      </c>
      <c r="H624" s="1" t="s">
        <v>8</v>
      </c>
      <c r="I624" s="1" t="s">
        <v>8</v>
      </c>
      <c r="J624" s="1" t="s">
        <v>4</v>
      </c>
      <c r="K624" s="2">
        <v>3.1250009595345501E-5</v>
      </c>
      <c r="L624" s="2">
        <v>2.1826156639592801E-5</v>
      </c>
      <c r="M624" s="1">
        <v>2.69141101952887E-2</v>
      </c>
      <c r="N624" s="1">
        <v>3.36279676028835</v>
      </c>
    </row>
    <row r="625" spans="1:14">
      <c r="A625" s="1">
        <v>624</v>
      </c>
      <c r="B625" s="1" t="s">
        <v>1710</v>
      </c>
      <c r="C625" s="1" t="s">
        <v>1711</v>
      </c>
      <c r="D625" s="5" t="s">
        <v>1712</v>
      </c>
      <c r="E625" s="1" t="s">
        <v>1713</v>
      </c>
      <c r="F625" s="7">
        <v>4</v>
      </c>
      <c r="G625" s="1">
        <v>4</v>
      </c>
      <c r="H625" s="1" t="s">
        <v>8</v>
      </c>
      <c r="I625" s="1" t="s">
        <v>8</v>
      </c>
      <c r="J625" s="1" t="s">
        <v>180</v>
      </c>
      <c r="K625" s="2">
        <v>3.1250014822035798E-5</v>
      </c>
      <c r="L625" s="2">
        <v>3.0294105011452599E-5</v>
      </c>
      <c r="M625" s="1">
        <v>-1.36679260845227E-2</v>
      </c>
      <c r="N625" s="1">
        <v>3.5333257480116198</v>
      </c>
    </row>
    <row r="626" spans="1:14">
      <c r="A626" s="1">
        <v>625</v>
      </c>
      <c r="B626" s="1" t="s">
        <v>1714</v>
      </c>
      <c r="C626" s="1" t="s">
        <v>1715</v>
      </c>
      <c r="D626" s="5" t="s">
        <v>1716</v>
      </c>
      <c r="E626" s="1" t="s">
        <v>1714</v>
      </c>
      <c r="F626" s="7">
        <v>4</v>
      </c>
      <c r="G626" s="1">
        <v>6</v>
      </c>
      <c r="H626" s="1" t="s">
        <v>8</v>
      </c>
      <c r="I626" s="1" t="s">
        <v>8</v>
      </c>
      <c r="J626" s="1" t="s">
        <v>4</v>
      </c>
      <c r="K626" s="2">
        <v>3.1250016197302499E-5</v>
      </c>
      <c r="L626" s="2">
        <v>2.00316520933888E-5</v>
      </c>
      <c r="M626" s="1">
        <v>-6.2057680110896699E-2</v>
      </c>
      <c r="N626" s="1">
        <v>3.4111505552880401</v>
      </c>
    </row>
    <row r="627" spans="1:14">
      <c r="A627" s="1">
        <v>626</v>
      </c>
      <c r="B627" s="1" t="s">
        <v>1717</v>
      </c>
      <c r="C627" s="1" t="s">
        <v>1718</v>
      </c>
      <c r="D627" s="5" t="s">
        <v>1719</v>
      </c>
      <c r="E627" s="1" t="s">
        <v>1717</v>
      </c>
      <c r="F627" s="7">
        <v>4</v>
      </c>
      <c r="G627" s="1">
        <v>4</v>
      </c>
      <c r="H627" s="1" t="s">
        <v>123</v>
      </c>
      <c r="I627" s="1" t="s">
        <v>123</v>
      </c>
      <c r="J627" s="1" t="s">
        <v>4</v>
      </c>
      <c r="K627" s="2">
        <v>3.1250005971648801E-5</v>
      </c>
      <c r="L627" s="2">
        <v>3.11831614612707E-5</v>
      </c>
      <c r="M627" s="1">
        <v>-1.14831352830222E-2</v>
      </c>
      <c r="N627" s="1">
        <v>2.7267253830703799</v>
      </c>
    </row>
    <row r="628" spans="1:14">
      <c r="A628" s="1">
        <v>627</v>
      </c>
      <c r="B628" s="1" t="s">
        <v>1720</v>
      </c>
      <c r="C628" s="1" t="s">
        <v>1721</v>
      </c>
      <c r="D628" s="5" t="s">
        <v>227</v>
      </c>
      <c r="E628" s="1" t="s">
        <v>1720</v>
      </c>
      <c r="F628" s="7">
        <v>4</v>
      </c>
      <c r="G628" s="1">
        <v>3</v>
      </c>
      <c r="H628" s="1" t="s">
        <v>8</v>
      </c>
      <c r="I628" s="1" t="s">
        <v>8</v>
      </c>
      <c r="J628" s="1" t="s">
        <v>4</v>
      </c>
      <c r="K628" s="2">
        <v>3.125000593771E-5</v>
      </c>
      <c r="L628" s="2">
        <v>5.24486172162046E-6</v>
      </c>
      <c r="M628" s="1">
        <v>2.01297542534177E-2</v>
      </c>
      <c r="N628" s="1">
        <v>3.3347405895650799</v>
      </c>
    </row>
    <row r="629" spans="1:14">
      <c r="A629" s="1">
        <v>628</v>
      </c>
      <c r="B629" s="1" t="s">
        <v>1722</v>
      </c>
      <c r="C629" s="1" t="s">
        <v>1723</v>
      </c>
      <c r="D629" s="5" t="s">
        <v>1724</v>
      </c>
      <c r="E629" s="1" t="s">
        <v>1722</v>
      </c>
      <c r="F629" s="7">
        <v>4</v>
      </c>
      <c r="G629" s="1">
        <v>4</v>
      </c>
      <c r="H629" s="1" t="s">
        <v>8</v>
      </c>
      <c r="I629" s="1" t="s">
        <v>8</v>
      </c>
      <c r="J629" s="1" t="s">
        <v>4</v>
      </c>
      <c r="K629" s="2">
        <v>3.1250007591449598E-5</v>
      </c>
      <c r="L629" s="2">
        <v>1.7883876335549E-5</v>
      </c>
      <c r="M629" s="1">
        <v>4.1686711004906797E-3</v>
      </c>
      <c r="N629" s="1">
        <v>3.6595175130396198</v>
      </c>
    </row>
    <row r="630" spans="1:14">
      <c r="A630" s="1">
        <v>629</v>
      </c>
      <c r="B630" s="1" t="s">
        <v>1725</v>
      </c>
      <c r="C630" s="1" t="s">
        <v>1726</v>
      </c>
      <c r="D630" s="5" t="s">
        <v>1727</v>
      </c>
      <c r="E630" s="1" t="s">
        <v>1725</v>
      </c>
      <c r="F630" s="7">
        <v>4</v>
      </c>
      <c r="G630" s="1">
        <v>5</v>
      </c>
      <c r="H630" s="1" t="s">
        <v>8</v>
      </c>
      <c r="I630" s="1" t="s">
        <v>8</v>
      </c>
      <c r="J630" s="1" t="s">
        <v>4</v>
      </c>
      <c r="K630" s="2">
        <v>3.1250005300589802E-5</v>
      </c>
      <c r="L630" s="2">
        <v>3.0192945010500701E-5</v>
      </c>
      <c r="M630" s="1">
        <v>2.69031590642363E-2</v>
      </c>
      <c r="N630" s="1">
        <v>3.28109421182352</v>
      </c>
    </row>
    <row r="631" spans="1:14">
      <c r="A631" s="1">
        <v>630</v>
      </c>
      <c r="B631" s="1" t="s">
        <v>1728</v>
      </c>
      <c r="C631" s="1" t="s">
        <v>1729</v>
      </c>
      <c r="D631" s="5" t="s">
        <v>47</v>
      </c>
      <c r="E631" s="1" t="s">
        <v>1728</v>
      </c>
      <c r="F631" s="7">
        <v>5</v>
      </c>
      <c r="G631" s="1">
        <v>2</v>
      </c>
      <c r="H631" s="1" t="s">
        <v>12</v>
      </c>
      <c r="I631" s="1" t="s">
        <v>12</v>
      </c>
      <c r="J631" s="1" t="s">
        <v>4</v>
      </c>
      <c r="K631" s="2">
        <v>3.1250001311750798E-5</v>
      </c>
      <c r="L631" s="2">
        <v>8.2978631110616804E-6</v>
      </c>
      <c r="M631" s="1">
        <v>-1.7965278526631299E-2</v>
      </c>
      <c r="N631" s="1">
        <v>3.3817494409284099</v>
      </c>
    </row>
    <row r="632" spans="1:14">
      <c r="A632" s="1">
        <v>631</v>
      </c>
      <c r="B632" s="1" t="s">
        <v>1730</v>
      </c>
      <c r="C632" s="1" t="s">
        <v>1731</v>
      </c>
      <c r="D632" s="5" t="s">
        <v>1732</v>
      </c>
      <c r="E632" s="1" t="s">
        <v>1730</v>
      </c>
      <c r="F632" s="7">
        <v>5</v>
      </c>
      <c r="G632" s="1">
        <v>5</v>
      </c>
      <c r="H632" s="1" t="s">
        <v>8</v>
      </c>
      <c r="I632" s="1" t="s">
        <v>8</v>
      </c>
      <c r="J632" s="1" t="s">
        <v>4</v>
      </c>
      <c r="K632" s="2">
        <v>3.12500060762147E-5</v>
      </c>
      <c r="L632" s="2">
        <v>1.32003133121193E-5</v>
      </c>
      <c r="M632" s="1">
        <v>1.23721509529053E-2</v>
      </c>
      <c r="N632" s="1">
        <v>3.3084733391759902</v>
      </c>
    </row>
    <row r="633" spans="1:14">
      <c r="A633" s="1">
        <v>632</v>
      </c>
      <c r="B633" s="1" t="s">
        <v>1733</v>
      </c>
      <c r="C633" s="1" t="s">
        <v>1734</v>
      </c>
      <c r="D633" s="5" t="s">
        <v>1735</v>
      </c>
      <c r="E633" s="1" t="s">
        <v>1733</v>
      </c>
      <c r="F633" s="7">
        <v>6</v>
      </c>
      <c r="G633" s="1">
        <v>7</v>
      </c>
      <c r="H633" s="1" t="s">
        <v>8</v>
      </c>
      <c r="I633" s="1" t="s">
        <v>8</v>
      </c>
      <c r="J633" s="1" t="s">
        <v>4</v>
      </c>
      <c r="K633" s="2">
        <v>3.1250011852266097E-5</v>
      </c>
      <c r="L633" s="2">
        <v>3.1157111429285497E-5</v>
      </c>
      <c r="M633" s="1">
        <v>-1.4502578408439599E-3</v>
      </c>
      <c r="N633" s="1">
        <v>2.2742006563201498</v>
      </c>
    </row>
    <row r="634" spans="1:14">
      <c r="A634" s="1">
        <v>633</v>
      </c>
      <c r="B634" s="1" t="s">
        <v>1736</v>
      </c>
      <c r="C634" s="1" t="s">
        <v>1737</v>
      </c>
      <c r="D634" s="5" t="s">
        <v>1471</v>
      </c>
      <c r="E634" s="1" t="s">
        <v>1736</v>
      </c>
      <c r="F634" s="7">
        <v>4</v>
      </c>
      <c r="G634" s="1">
        <v>5</v>
      </c>
      <c r="H634" s="1" t="s">
        <v>8</v>
      </c>
      <c r="I634" s="1" t="s">
        <v>8</v>
      </c>
      <c r="J634" s="1" t="s">
        <v>4</v>
      </c>
      <c r="K634" s="2">
        <v>3.1249998798481E-5</v>
      </c>
      <c r="L634" s="2">
        <v>3.0012934104138901E-5</v>
      </c>
      <c r="M634" s="1">
        <v>-8.7073028931072805E-4</v>
      </c>
      <c r="N634" s="1">
        <v>2.9814421016867798</v>
      </c>
    </row>
    <row r="635" spans="1:14">
      <c r="A635" s="1">
        <v>634</v>
      </c>
      <c r="B635" s="1" t="s">
        <v>1738</v>
      </c>
      <c r="C635" s="1" t="s">
        <v>1739</v>
      </c>
      <c r="D635" s="5" t="s">
        <v>677</v>
      </c>
      <c r="E635" s="1" t="s">
        <v>1738</v>
      </c>
      <c r="F635" s="7">
        <v>4</v>
      </c>
      <c r="G635" s="1">
        <v>2</v>
      </c>
      <c r="H635" s="1" t="s">
        <v>12</v>
      </c>
      <c r="I635" s="1" t="s">
        <v>12</v>
      </c>
      <c r="J635" s="1" t="s">
        <v>4</v>
      </c>
      <c r="K635" s="2">
        <v>3.1250005745003601E-5</v>
      </c>
      <c r="L635" s="2">
        <v>1.30149228781735E-5</v>
      </c>
      <c r="M635" s="1">
        <v>-7.1702322106403905E-4</v>
      </c>
      <c r="N635" s="1">
        <v>3.6817312545987502</v>
      </c>
    </row>
    <row r="636" spans="1:14">
      <c r="A636" s="1">
        <v>635</v>
      </c>
      <c r="B636" s="1" t="s">
        <v>1740</v>
      </c>
      <c r="C636" s="1" t="s">
        <v>1741</v>
      </c>
      <c r="D636" s="5" t="s">
        <v>475</v>
      </c>
      <c r="E636" s="1" t="s">
        <v>2370</v>
      </c>
      <c r="F636" s="7">
        <v>4</v>
      </c>
      <c r="G636" s="1">
        <v>5</v>
      </c>
      <c r="H636" s="1" t="s">
        <v>8</v>
      </c>
      <c r="I636" s="1" t="s">
        <v>8</v>
      </c>
      <c r="J636" s="1" t="s">
        <v>180</v>
      </c>
      <c r="K636" s="2">
        <v>3.1250004840255401E-5</v>
      </c>
      <c r="L636" s="2">
        <v>5.0316641383702904E-6</v>
      </c>
      <c r="M636" s="1">
        <v>7.1768233721272098E-3</v>
      </c>
      <c r="N636" s="1">
        <v>3.8306583144303401</v>
      </c>
    </row>
    <row r="637" spans="1:14">
      <c r="A637" s="1">
        <v>636</v>
      </c>
      <c r="B637" s="1" t="s">
        <v>1742</v>
      </c>
      <c r="C637" s="1" t="s">
        <v>1743</v>
      </c>
      <c r="D637" s="5" t="s">
        <v>1744</v>
      </c>
      <c r="E637" s="1" t="s">
        <v>1742</v>
      </c>
      <c r="F637" s="7">
        <v>5</v>
      </c>
      <c r="G637" s="1">
        <v>7</v>
      </c>
      <c r="H637" s="1" t="s">
        <v>22</v>
      </c>
      <c r="I637" s="1" t="s">
        <v>22</v>
      </c>
      <c r="J637" s="1" t="s">
        <v>4</v>
      </c>
      <c r="K637" s="2">
        <v>3.1250005528531802E-5</v>
      </c>
      <c r="L637" s="2">
        <v>2.8052570140667901E-5</v>
      </c>
      <c r="M637" s="1">
        <v>1.2913838429327001E-3</v>
      </c>
      <c r="N637" s="1">
        <v>3.7739726874442598</v>
      </c>
    </row>
    <row r="638" spans="1:14">
      <c r="A638" s="1">
        <v>637</v>
      </c>
      <c r="B638" s="1" t="s">
        <v>1745</v>
      </c>
      <c r="C638" s="1" t="s">
        <v>1746</v>
      </c>
      <c r="D638" s="5" t="s">
        <v>1747</v>
      </c>
      <c r="E638" s="1" t="s">
        <v>1745</v>
      </c>
      <c r="F638" s="7">
        <v>4</v>
      </c>
      <c r="G638" s="1">
        <v>5</v>
      </c>
      <c r="H638" s="1" t="s">
        <v>8</v>
      </c>
      <c r="I638" s="1" t="s">
        <v>8</v>
      </c>
      <c r="J638" s="1" t="s">
        <v>4</v>
      </c>
      <c r="K638" s="2">
        <v>3.1250003933371797E-5</v>
      </c>
      <c r="L638" s="2">
        <v>6.3933150669524797E-6</v>
      </c>
      <c r="M638" s="1">
        <v>2.1667833292900299E-2</v>
      </c>
      <c r="N638" s="1">
        <v>3.1965837957163301</v>
      </c>
    </row>
    <row r="639" spans="1:14">
      <c r="A639" s="1">
        <v>638</v>
      </c>
      <c r="B639" s="1" t="s">
        <v>1748</v>
      </c>
      <c r="C639" s="1" t="s">
        <v>1749</v>
      </c>
      <c r="D639" s="5" t="s">
        <v>674</v>
      </c>
      <c r="E639" s="1" t="s">
        <v>1748</v>
      </c>
      <c r="F639" s="7">
        <v>4</v>
      </c>
      <c r="G639" s="1">
        <v>3</v>
      </c>
      <c r="H639" s="1" t="s">
        <v>8</v>
      </c>
      <c r="I639" s="1" t="s">
        <v>8</v>
      </c>
      <c r="J639" s="1" t="s">
        <v>4</v>
      </c>
      <c r="K639" s="2">
        <v>3.1250008120471398E-5</v>
      </c>
      <c r="L639" s="2">
        <v>3.6401370301241602E-6</v>
      </c>
      <c r="M639" s="1">
        <v>1.4631973085879E-2</v>
      </c>
      <c r="N639" s="1">
        <v>3.1235287003035199</v>
      </c>
    </row>
    <row r="640" spans="1:14">
      <c r="A640" s="1">
        <v>639</v>
      </c>
      <c r="B640" s="1" t="s">
        <v>1750</v>
      </c>
      <c r="C640" s="1" t="s">
        <v>1751</v>
      </c>
      <c r="D640" s="5" t="s">
        <v>1752</v>
      </c>
      <c r="E640" s="1" t="s">
        <v>1750</v>
      </c>
      <c r="F640" s="7">
        <v>4</v>
      </c>
      <c r="G640" s="1">
        <v>5</v>
      </c>
      <c r="H640" s="1" t="s">
        <v>8</v>
      </c>
      <c r="I640" s="1" t="s">
        <v>8</v>
      </c>
      <c r="J640" s="1" t="s">
        <v>4</v>
      </c>
      <c r="K640" s="2">
        <v>3.1250004818759501E-5</v>
      </c>
      <c r="L640" s="2">
        <v>3.1107251446073E-5</v>
      </c>
      <c r="M640" s="1">
        <v>1.22843525111058E-2</v>
      </c>
      <c r="N640" s="1">
        <v>2.4724421872590199</v>
      </c>
    </row>
    <row r="641" spans="1:14">
      <c r="A641" s="1">
        <v>640</v>
      </c>
      <c r="B641" s="1" t="s">
        <v>1753</v>
      </c>
      <c r="C641" s="1" t="s">
        <v>1754</v>
      </c>
      <c r="D641" s="5" t="s">
        <v>356</v>
      </c>
      <c r="E641" s="1" t="s">
        <v>1753</v>
      </c>
      <c r="F641" s="7">
        <v>5</v>
      </c>
      <c r="G641" s="1">
        <v>3</v>
      </c>
      <c r="H641" s="1" t="s">
        <v>8</v>
      </c>
      <c r="I641" s="1" t="s">
        <v>8</v>
      </c>
      <c r="J641" s="1" t="s">
        <v>4</v>
      </c>
      <c r="K641" s="2">
        <v>3.1250003971513203E-5</v>
      </c>
      <c r="L641" s="2">
        <v>1.3419892950023E-5</v>
      </c>
      <c r="M641" s="1">
        <v>1.7374860408466399E-2</v>
      </c>
      <c r="N641" s="1">
        <v>3.5728898362748098</v>
      </c>
    </row>
    <row r="642" spans="1:14">
      <c r="A642" s="1">
        <v>641</v>
      </c>
      <c r="B642" s="1" t="s">
        <v>1755</v>
      </c>
      <c r="C642" s="1" t="s">
        <v>1756</v>
      </c>
      <c r="D642" s="5" t="s">
        <v>61</v>
      </c>
      <c r="E642" s="1" t="s">
        <v>1757</v>
      </c>
      <c r="F642" s="7">
        <v>5</v>
      </c>
      <c r="G642" s="1">
        <v>2</v>
      </c>
      <c r="H642" s="1" t="s">
        <v>22</v>
      </c>
      <c r="I642" s="1" t="s">
        <v>8</v>
      </c>
      <c r="J642" s="1" t="s">
        <v>180</v>
      </c>
      <c r="K642" s="2">
        <v>3.1250000412387701E-5</v>
      </c>
      <c r="L642" s="2">
        <v>2.4590341253070901E-7</v>
      </c>
      <c r="M642" s="1">
        <v>3.0234333594847802E-2</v>
      </c>
      <c r="N642" s="1">
        <v>3.2453587542353799</v>
      </c>
    </row>
    <row r="643" spans="1:14">
      <c r="A643" s="1">
        <v>642</v>
      </c>
      <c r="B643" s="1" t="s">
        <v>1758</v>
      </c>
      <c r="C643" s="1" t="s">
        <v>1759</v>
      </c>
      <c r="D643" s="5" t="s">
        <v>1760</v>
      </c>
      <c r="E643" s="1" t="s">
        <v>1758</v>
      </c>
      <c r="F643" s="7">
        <v>4</v>
      </c>
      <c r="G643" s="1">
        <v>5</v>
      </c>
      <c r="H643" s="1" t="s">
        <v>8</v>
      </c>
      <c r="I643" s="1" t="s">
        <v>8</v>
      </c>
      <c r="J643" s="1" t="s">
        <v>4</v>
      </c>
      <c r="K643" s="2">
        <v>3.1249999015806798E-5</v>
      </c>
      <c r="L643" s="2">
        <v>3.0810732846230103E-5</v>
      </c>
      <c r="M643" s="1">
        <v>1.33723427171617E-3</v>
      </c>
      <c r="N643" s="1">
        <v>2.4172046013394799</v>
      </c>
    </row>
    <row r="644" spans="1:14">
      <c r="A644" s="1">
        <v>643</v>
      </c>
      <c r="B644" s="1" t="s">
        <v>568</v>
      </c>
      <c r="C644" s="1" t="s">
        <v>566</v>
      </c>
      <c r="D644" s="5" t="s">
        <v>1452</v>
      </c>
      <c r="E644" s="1" t="s">
        <v>568</v>
      </c>
      <c r="F644" s="7">
        <v>4</v>
      </c>
      <c r="G644" s="1">
        <v>3</v>
      </c>
      <c r="H644" s="1" t="s">
        <v>8</v>
      </c>
      <c r="I644" s="1" t="s">
        <v>8</v>
      </c>
      <c r="J644" s="1" t="s">
        <v>4</v>
      </c>
      <c r="K644" s="2">
        <v>3.1250001580810997E-5</v>
      </c>
      <c r="L644" s="2">
        <v>1.6720260159793101E-5</v>
      </c>
      <c r="M644" s="1">
        <v>-2.15537338719968E-2</v>
      </c>
      <c r="N644" s="1">
        <v>3.4479264077039802</v>
      </c>
    </row>
    <row r="645" spans="1:14">
      <c r="A645" s="1">
        <v>644</v>
      </c>
      <c r="B645" s="1" t="s">
        <v>1761</v>
      </c>
      <c r="C645" s="1" t="s">
        <v>1762</v>
      </c>
      <c r="D645" s="5" t="s">
        <v>580</v>
      </c>
      <c r="E645" s="1" t="s">
        <v>1761</v>
      </c>
      <c r="F645" s="7">
        <v>5</v>
      </c>
      <c r="G645" s="1">
        <v>4</v>
      </c>
      <c r="H645" s="1" t="s">
        <v>8</v>
      </c>
      <c r="I645" s="1" t="s">
        <v>8</v>
      </c>
      <c r="J645" s="1" t="s">
        <v>4</v>
      </c>
      <c r="K645" s="2">
        <v>3.1249999428062999E-5</v>
      </c>
      <c r="L645" s="2">
        <v>1.3752718493941201E-5</v>
      </c>
      <c r="M645" s="1">
        <v>6.9679429952884597E-3</v>
      </c>
      <c r="N645" s="1">
        <v>2.8559788756578901</v>
      </c>
    </row>
    <row r="646" spans="1:14">
      <c r="A646" s="1">
        <v>645</v>
      </c>
      <c r="B646" s="1" t="s">
        <v>1763</v>
      </c>
      <c r="C646" s="1" t="s">
        <v>1764</v>
      </c>
      <c r="D646" s="5" t="s">
        <v>1765</v>
      </c>
      <c r="E646" s="1" t="s">
        <v>1763</v>
      </c>
      <c r="F646" s="7">
        <v>4</v>
      </c>
      <c r="G646" s="1">
        <v>6</v>
      </c>
      <c r="H646" s="1" t="s">
        <v>8</v>
      </c>
      <c r="I646" s="1" t="s">
        <v>8</v>
      </c>
      <c r="J646" s="1" t="s">
        <v>4</v>
      </c>
      <c r="K646" s="2">
        <v>3.1249992841213098E-5</v>
      </c>
      <c r="L646" s="2">
        <v>1.41424854600141E-5</v>
      </c>
      <c r="M646" s="1">
        <v>3.86865260505064E-3</v>
      </c>
      <c r="N646" s="1">
        <v>3.3812988846530301</v>
      </c>
    </row>
    <row r="647" spans="1:14">
      <c r="A647" s="1">
        <v>646</v>
      </c>
      <c r="B647" s="1" t="s">
        <v>1766</v>
      </c>
      <c r="C647" s="1" t="s">
        <v>1767</v>
      </c>
      <c r="D647" s="5" t="s">
        <v>1768</v>
      </c>
      <c r="E647" s="1" t="s">
        <v>1766</v>
      </c>
      <c r="F647" s="7">
        <v>4</v>
      </c>
      <c r="G647" s="1">
        <v>4</v>
      </c>
      <c r="H647" s="1" t="s">
        <v>98</v>
      </c>
      <c r="I647" s="1" t="s">
        <v>98</v>
      </c>
      <c r="J647" s="1" t="s">
        <v>4</v>
      </c>
      <c r="K647" s="2">
        <v>3.1249996187679499E-5</v>
      </c>
      <c r="L647" s="2">
        <v>8.6416350045404603E-6</v>
      </c>
      <c r="M647" s="1">
        <v>-2.4950983803620298E-2</v>
      </c>
      <c r="N647" s="1">
        <v>3.3852465992273899</v>
      </c>
    </row>
    <row r="648" spans="1:14">
      <c r="A648" s="1">
        <v>647</v>
      </c>
      <c r="B648" s="1" t="s">
        <v>1769</v>
      </c>
      <c r="C648" s="1" t="s">
        <v>1770</v>
      </c>
      <c r="D648" s="5" t="s">
        <v>580</v>
      </c>
      <c r="E648" s="1" t="s">
        <v>1769</v>
      </c>
      <c r="F648" s="7">
        <v>4</v>
      </c>
      <c r="G648" s="1">
        <v>4</v>
      </c>
      <c r="H648" s="1" t="s">
        <v>8</v>
      </c>
      <c r="I648" s="1" t="s">
        <v>8</v>
      </c>
      <c r="J648" s="1" t="s">
        <v>4</v>
      </c>
      <c r="K648" s="2">
        <v>3.1250004015020101E-5</v>
      </c>
      <c r="L648" s="2">
        <v>2.2271056560622899E-5</v>
      </c>
      <c r="M648" s="1">
        <v>2.1320327825968301E-2</v>
      </c>
      <c r="N648" s="1">
        <v>3.34098977271243</v>
      </c>
    </row>
    <row r="649" spans="1:14">
      <c r="A649" s="1">
        <v>648</v>
      </c>
      <c r="B649" s="1" t="s">
        <v>1771</v>
      </c>
      <c r="C649" s="1" t="s">
        <v>1772</v>
      </c>
      <c r="D649" s="5" t="s">
        <v>1773</v>
      </c>
      <c r="E649" s="1" t="s">
        <v>1771</v>
      </c>
      <c r="F649" s="7">
        <v>5</v>
      </c>
      <c r="G649" s="1">
        <v>6</v>
      </c>
      <c r="H649" s="1" t="s">
        <v>8</v>
      </c>
      <c r="I649" s="1" t="s">
        <v>8</v>
      </c>
      <c r="J649" s="1" t="s">
        <v>4</v>
      </c>
      <c r="K649" s="2">
        <v>3.1250007121312702E-5</v>
      </c>
      <c r="L649" s="2">
        <v>3.08535113306517E-5</v>
      </c>
      <c r="M649" s="1">
        <v>-2.2302435223266099E-2</v>
      </c>
      <c r="N649" s="1">
        <v>2.4081259205239198</v>
      </c>
    </row>
    <row r="650" spans="1:14">
      <c r="A650" s="1">
        <v>649</v>
      </c>
      <c r="B650" s="1" t="s">
        <v>1774</v>
      </c>
      <c r="C650" s="1" t="s">
        <v>1775</v>
      </c>
      <c r="D650" s="5" t="s">
        <v>1776</v>
      </c>
      <c r="E650" s="1" t="s">
        <v>1774</v>
      </c>
      <c r="F650" s="7">
        <v>4</v>
      </c>
      <c r="G650" s="1">
        <v>7</v>
      </c>
      <c r="H650" s="1" t="s">
        <v>8</v>
      </c>
      <c r="I650" s="1" t="s">
        <v>8</v>
      </c>
      <c r="J650" s="1" t="s">
        <v>4</v>
      </c>
      <c r="K650" s="2">
        <v>3.1249994058451803E-5</v>
      </c>
      <c r="L650" s="2">
        <v>3.0600096919173803E-5</v>
      </c>
      <c r="M650" s="1">
        <v>-6.2238282657887103E-3</v>
      </c>
      <c r="N650" s="1">
        <v>2.7875086284181698</v>
      </c>
    </row>
    <row r="651" spans="1:14">
      <c r="A651" s="1">
        <v>650</v>
      </c>
      <c r="B651" s="1" t="s">
        <v>1777</v>
      </c>
      <c r="C651" s="1" t="s">
        <v>1778</v>
      </c>
      <c r="D651" s="5" t="s">
        <v>1779</v>
      </c>
      <c r="E651" s="1" t="s">
        <v>1777</v>
      </c>
      <c r="F651" s="7">
        <v>5</v>
      </c>
      <c r="G651" s="1">
        <v>4</v>
      </c>
      <c r="H651" s="1" t="s">
        <v>8</v>
      </c>
      <c r="I651" s="1" t="s">
        <v>8</v>
      </c>
      <c r="J651" s="1" t="s">
        <v>4</v>
      </c>
      <c r="K651" s="2">
        <v>3.1249995658875197E-5</v>
      </c>
      <c r="L651" s="2">
        <v>3.1164548236426399E-5</v>
      </c>
      <c r="M651" s="1">
        <v>-1.12042595605856E-2</v>
      </c>
      <c r="N651" s="1">
        <v>2.9982957704011901</v>
      </c>
    </row>
    <row r="652" spans="1:14">
      <c r="A652" s="1">
        <v>651</v>
      </c>
      <c r="B652" s="1" t="s">
        <v>1780</v>
      </c>
      <c r="C652" s="1" t="s">
        <v>1781</v>
      </c>
      <c r="D652" s="5" t="s">
        <v>800</v>
      </c>
      <c r="E652" s="1" t="s">
        <v>1780</v>
      </c>
      <c r="F652" s="7">
        <v>5</v>
      </c>
      <c r="G652" s="1">
        <v>6</v>
      </c>
      <c r="H652" s="1" t="s">
        <v>8</v>
      </c>
      <c r="I652" s="1" t="s">
        <v>8</v>
      </c>
      <c r="J652" s="1" t="s">
        <v>4</v>
      </c>
      <c r="K652" s="2">
        <v>3.1250000936926102E-5</v>
      </c>
      <c r="L652" s="2">
        <v>1.0747147882538599E-5</v>
      </c>
      <c r="M652" s="1">
        <v>1.4014247957170701E-2</v>
      </c>
      <c r="N652" s="1">
        <v>3.2442735690500202</v>
      </c>
    </row>
    <row r="653" spans="1:14">
      <c r="A653" s="1">
        <v>652</v>
      </c>
      <c r="B653" s="1" t="s">
        <v>1782</v>
      </c>
      <c r="C653" s="1" t="s">
        <v>1783</v>
      </c>
      <c r="D653" s="5" t="s">
        <v>1452</v>
      </c>
      <c r="E653" s="1" t="s">
        <v>1782</v>
      </c>
      <c r="F653" s="7">
        <v>6</v>
      </c>
      <c r="G653" s="1">
        <v>3</v>
      </c>
      <c r="H653" s="1" t="s">
        <v>8</v>
      </c>
      <c r="I653" s="1" t="s">
        <v>8</v>
      </c>
      <c r="J653" s="1" t="s">
        <v>4</v>
      </c>
      <c r="K653" s="2">
        <v>3.1249995413723702E-5</v>
      </c>
      <c r="L653" s="2">
        <v>9.8597462333917706E-6</v>
      </c>
      <c r="M653" s="1">
        <v>4.1779434561703896E-3</v>
      </c>
      <c r="N653" s="1">
        <v>3.4071027570214998</v>
      </c>
    </row>
    <row r="654" spans="1:14">
      <c r="A654" s="1">
        <v>653</v>
      </c>
      <c r="B654" s="1" t="s">
        <v>1784</v>
      </c>
      <c r="C654" s="1" t="s">
        <v>1785</v>
      </c>
      <c r="D654" s="5" t="s">
        <v>855</v>
      </c>
      <c r="E654" s="1" t="s">
        <v>1784</v>
      </c>
      <c r="F654" s="7">
        <v>5</v>
      </c>
      <c r="G654" s="1">
        <v>8</v>
      </c>
      <c r="H654" s="1" t="s">
        <v>3</v>
      </c>
      <c r="I654" s="1" t="s">
        <v>3</v>
      </c>
      <c r="J654" s="1" t="s">
        <v>4</v>
      </c>
      <c r="K654" s="2">
        <v>3.1250018461432402E-5</v>
      </c>
      <c r="L654" s="2">
        <v>2.6477385746555399E-5</v>
      </c>
      <c r="M654" s="1">
        <v>-2.4546662289111499E-2</v>
      </c>
      <c r="N654" s="1">
        <v>3.5753153888465898</v>
      </c>
    </row>
    <row r="655" spans="1:14">
      <c r="A655" s="1">
        <v>654</v>
      </c>
      <c r="B655" s="1" t="s">
        <v>1786</v>
      </c>
      <c r="C655" s="1" t="s">
        <v>1787</v>
      </c>
      <c r="D655" s="5" t="s">
        <v>1788</v>
      </c>
      <c r="E655" s="1" t="s">
        <v>1786</v>
      </c>
      <c r="F655" s="7">
        <v>4</v>
      </c>
      <c r="G655" s="1">
        <v>6</v>
      </c>
      <c r="H655" s="1" t="s">
        <v>8</v>
      </c>
      <c r="I655" s="1" t="s">
        <v>8</v>
      </c>
      <c r="J655" s="1" t="s">
        <v>4</v>
      </c>
      <c r="K655" s="2">
        <v>3.1250007669000703E-5</v>
      </c>
      <c r="L655" s="2">
        <v>3.0293690781715801E-6</v>
      </c>
      <c r="M655" s="1">
        <v>-8.1915627083404205E-3</v>
      </c>
      <c r="N655" s="1">
        <v>3.2318585011271699</v>
      </c>
    </row>
    <row r="656" spans="1:14">
      <c r="A656" s="1">
        <v>655</v>
      </c>
      <c r="B656" s="1" t="s">
        <v>1789</v>
      </c>
      <c r="C656" s="1" t="s">
        <v>1790</v>
      </c>
      <c r="D656" s="5" t="s">
        <v>1791</v>
      </c>
      <c r="E656" s="1" t="s">
        <v>1789</v>
      </c>
      <c r="F656" s="7">
        <v>5</v>
      </c>
      <c r="G656" s="1">
        <v>4</v>
      </c>
      <c r="H656" s="1" t="s">
        <v>8</v>
      </c>
      <c r="I656" s="1" t="s">
        <v>8</v>
      </c>
      <c r="J656" s="1" t="s">
        <v>4</v>
      </c>
      <c r="K656" s="2">
        <v>3.1250004660682099E-5</v>
      </c>
      <c r="L656" s="2">
        <v>6.4585469978764701E-6</v>
      </c>
      <c r="M656" s="1">
        <v>2.81421504716412E-2</v>
      </c>
      <c r="N656" s="1">
        <v>3.0414170924634898</v>
      </c>
    </row>
    <row r="657" spans="1:14">
      <c r="A657" s="1">
        <v>656</v>
      </c>
      <c r="B657" s="1" t="s">
        <v>1792</v>
      </c>
      <c r="C657" s="1" t="s">
        <v>1793</v>
      </c>
      <c r="D657" s="5" t="s">
        <v>1794</v>
      </c>
      <c r="E657" s="1" t="s">
        <v>1792</v>
      </c>
      <c r="F657" s="7">
        <v>7</v>
      </c>
      <c r="G657" s="1">
        <v>3</v>
      </c>
      <c r="H657" s="1" t="s">
        <v>8</v>
      </c>
      <c r="I657" s="1" t="s">
        <v>8</v>
      </c>
      <c r="J657" s="1" t="s">
        <v>4</v>
      </c>
      <c r="K657" s="2">
        <v>3.1250003788805397E-5</v>
      </c>
      <c r="L657" s="2">
        <v>2.71161992615369E-5</v>
      </c>
      <c r="M657" s="1">
        <v>-3.5008921617020398E-2</v>
      </c>
      <c r="N657" s="1">
        <v>3.5925016592491601</v>
      </c>
    </row>
    <row r="658" spans="1:14">
      <c r="A658" s="1">
        <v>657</v>
      </c>
      <c r="B658" s="1" t="s">
        <v>1795</v>
      </c>
      <c r="C658" s="1" t="s">
        <v>1796</v>
      </c>
      <c r="D658" s="5" t="s">
        <v>1797</v>
      </c>
      <c r="E658" s="1" t="s">
        <v>1795</v>
      </c>
      <c r="F658" s="7">
        <v>5</v>
      </c>
      <c r="G658" s="1">
        <v>8</v>
      </c>
      <c r="H658" s="1" t="s">
        <v>8</v>
      </c>
      <c r="I658" s="1" t="s">
        <v>8</v>
      </c>
      <c r="J658" s="1" t="s">
        <v>4</v>
      </c>
      <c r="K658" s="2">
        <v>3.1250001053748899E-5</v>
      </c>
      <c r="L658" s="2">
        <v>1.93845888839503E-5</v>
      </c>
      <c r="M658" s="1">
        <v>1.2838532327791001E-2</v>
      </c>
      <c r="N658" s="1">
        <v>3.16921360748958</v>
      </c>
    </row>
    <row r="659" spans="1:14">
      <c r="A659" s="1">
        <v>658</v>
      </c>
      <c r="B659" s="1" t="s">
        <v>1798</v>
      </c>
      <c r="C659" s="1" t="s">
        <v>1799</v>
      </c>
      <c r="D659" s="5" t="s">
        <v>1800</v>
      </c>
      <c r="E659" s="1" t="s">
        <v>2371</v>
      </c>
      <c r="F659" s="7">
        <v>5</v>
      </c>
      <c r="G659" s="1">
        <v>4</v>
      </c>
      <c r="H659" s="1" t="s">
        <v>8</v>
      </c>
      <c r="I659" s="1" t="s">
        <v>8</v>
      </c>
      <c r="J659" s="1" t="s">
        <v>180</v>
      </c>
      <c r="K659" s="2">
        <v>3.1250002124595199E-5</v>
      </c>
      <c r="L659" s="2">
        <v>4.8839640171318199E-6</v>
      </c>
      <c r="M659" s="2">
        <v>-4.8001181644607901E-5</v>
      </c>
      <c r="N659" s="1">
        <v>3.8539338900403401</v>
      </c>
    </row>
    <row r="660" spans="1:14">
      <c r="A660" s="1">
        <v>659</v>
      </c>
      <c r="B660" s="1" t="s">
        <v>1801</v>
      </c>
      <c r="C660" s="1" t="s">
        <v>1802</v>
      </c>
      <c r="D660" s="5" t="s">
        <v>988</v>
      </c>
      <c r="E660" s="1" t="s">
        <v>1801</v>
      </c>
      <c r="F660" s="7">
        <v>5</v>
      </c>
      <c r="G660" s="1">
        <v>3</v>
      </c>
      <c r="H660" s="1" t="s">
        <v>98</v>
      </c>
      <c r="I660" s="1" t="s">
        <v>98</v>
      </c>
      <c r="J660" s="1" t="s">
        <v>4</v>
      </c>
      <c r="K660" s="2">
        <v>3.1249999913377797E-5</v>
      </c>
      <c r="L660" s="2">
        <v>3.1128787585278201E-5</v>
      </c>
      <c r="M660" s="1">
        <v>-2.0472814664415698E-2</v>
      </c>
      <c r="N660" s="1">
        <v>2.8280027531698799</v>
      </c>
    </row>
    <row r="661" spans="1:14">
      <c r="A661" s="1">
        <v>660</v>
      </c>
      <c r="B661" s="1" t="s">
        <v>1803</v>
      </c>
      <c r="C661" s="1" t="s">
        <v>1804</v>
      </c>
      <c r="D661" s="5" t="s">
        <v>1805</v>
      </c>
      <c r="E661" s="1" t="s">
        <v>1803</v>
      </c>
      <c r="F661" s="7">
        <v>4</v>
      </c>
      <c r="G661" s="1">
        <v>9</v>
      </c>
      <c r="H661" s="1" t="s">
        <v>8</v>
      </c>
      <c r="I661" s="1" t="s">
        <v>8</v>
      </c>
      <c r="J661" s="1" t="s">
        <v>4</v>
      </c>
      <c r="K661" s="2">
        <v>3.1250011961865201E-5</v>
      </c>
      <c r="L661" s="2">
        <v>3.1197555952391003E-5</v>
      </c>
      <c r="M661" s="1">
        <v>7.5842848919727103E-3</v>
      </c>
      <c r="N661" s="1">
        <v>2.60838172957722</v>
      </c>
    </row>
    <row r="662" spans="1:14">
      <c r="A662" s="1">
        <v>661</v>
      </c>
      <c r="B662" s="1" t="s">
        <v>1806</v>
      </c>
      <c r="C662" s="1" t="s">
        <v>1807</v>
      </c>
      <c r="D662" s="5" t="s">
        <v>1808</v>
      </c>
      <c r="E662" s="1" t="s">
        <v>1806</v>
      </c>
      <c r="F662" s="7">
        <v>4</v>
      </c>
      <c r="G662" s="1">
        <v>6</v>
      </c>
      <c r="H662" s="1" t="s">
        <v>8</v>
      </c>
      <c r="I662" s="1" t="s">
        <v>8</v>
      </c>
      <c r="J662" s="1" t="s">
        <v>4</v>
      </c>
      <c r="K662" s="2">
        <v>3.1249996230882299E-5</v>
      </c>
      <c r="L662" s="2">
        <v>1.8706045771238901E-5</v>
      </c>
      <c r="M662" s="1">
        <v>2.04560595536236E-2</v>
      </c>
      <c r="N662" s="1">
        <v>3.5483741529953998</v>
      </c>
    </row>
    <row r="663" spans="1:14">
      <c r="A663" s="1">
        <v>662</v>
      </c>
      <c r="B663" s="1" t="s">
        <v>1809</v>
      </c>
      <c r="C663" s="1" t="s">
        <v>1810</v>
      </c>
      <c r="D663" s="5" t="s">
        <v>1811</v>
      </c>
      <c r="E663" s="1" t="s">
        <v>1812</v>
      </c>
      <c r="F663" s="7">
        <v>4</v>
      </c>
      <c r="G663" s="1">
        <v>5</v>
      </c>
      <c r="H663" s="1" t="s">
        <v>8</v>
      </c>
      <c r="I663" s="1" t="s">
        <v>8</v>
      </c>
      <c r="J663" s="1" t="s">
        <v>180</v>
      </c>
      <c r="K663" s="2">
        <v>3.1249998294019199E-5</v>
      </c>
      <c r="L663" s="2">
        <v>7.8973609341356198E-8</v>
      </c>
      <c r="M663" s="1">
        <v>2.0996769966771401E-2</v>
      </c>
      <c r="N663" s="1">
        <v>3.42016355045312</v>
      </c>
    </row>
    <row r="664" spans="1:14">
      <c r="A664" s="1">
        <v>663</v>
      </c>
      <c r="B664" s="1" t="s">
        <v>1813</v>
      </c>
      <c r="C664" s="1" t="s">
        <v>1814</v>
      </c>
      <c r="D664" s="5" t="s">
        <v>1815</v>
      </c>
      <c r="E664" s="1" t="s">
        <v>1813</v>
      </c>
      <c r="F664" s="7">
        <v>4</v>
      </c>
      <c r="G664" s="1">
        <v>4</v>
      </c>
      <c r="H664" s="1" t="s">
        <v>8</v>
      </c>
      <c r="I664" s="1" t="s">
        <v>8</v>
      </c>
      <c r="J664" s="1" t="s">
        <v>4</v>
      </c>
      <c r="K664" s="2">
        <v>3.1250004718489001E-5</v>
      </c>
      <c r="L664" s="2">
        <v>4.1698580948915203E-6</v>
      </c>
      <c r="M664" s="1">
        <v>1.4836026130726701E-2</v>
      </c>
      <c r="N664" s="1">
        <v>3.30485611444047</v>
      </c>
    </row>
    <row r="665" spans="1:14">
      <c r="A665" s="1">
        <v>664</v>
      </c>
      <c r="B665" s="1" t="s">
        <v>1816</v>
      </c>
      <c r="C665" s="1" t="s">
        <v>1817</v>
      </c>
      <c r="D665" s="5" t="s">
        <v>1818</v>
      </c>
      <c r="E665" s="1" t="s">
        <v>2372</v>
      </c>
      <c r="F665" s="7">
        <v>4</v>
      </c>
      <c r="G665" s="1">
        <v>5</v>
      </c>
      <c r="H665" s="1" t="s">
        <v>8</v>
      </c>
      <c r="I665" s="1" t="s">
        <v>8</v>
      </c>
      <c r="J665" s="1" t="s">
        <v>180</v>
      </c>
      <c r="K665" s="2">
        <v>3.12499986249778E-5</v>
      </c>
      <c r="L665" s="2">
        <v>5.6962052164207895E-7</v>
      </c>
      <c r="M665" s="1">
        <v>2.4038227650038302E-3</v>
      </c>
      <c r="N665" s="1">
        <v>3.0150816265679401</v>
      </c>
    </row>
    <row r="666" spans="1:14">
      <c r="A666" s="1">
        <v>665</v>
      </c>
      <c r="B666" s="1" t="s">
        <v>1819</v>
      </c>
      <c r="C666" s="1" t="s">
        <v>1820</v>
      </c>
      <c r="D666" s="5" t="s">
        <v>1821</v>
      </c>
      <c r="E666" s="1" t="s">
        <v>1819</v>
      </c>
      <c r="F666" s="7">
        <v>4</v>
      </c>
      <c r="G666" s="1">
        <v>3</v>
      </c>
      <c r="H666" s="1" t="s">
        <v>8</v>
      </c>
      <c r="I666" s="1" t="s">
        <v>8</v>
      </c>
      <c r="J666" s="1" t="s">
        <v>4</v>
      </c>
      <c r="K666" s="2">
        <v>3.1249997853261898E-5</v>
      </c>
      <c r="L666" s="2">
        <v>3.0811796735259697E-5</v>
      </c>
      <c r="M666" s="1">
        <v>-3.9526169187993697E-2</v>
      </c>
      <c r="N666" s="1">
        <v>2.6721146576572101</v>
      </c>
    </row>
    <row r="667" spans="1:14">
      <c r="A667" s="1">
        <v>666</v>
      </c>
      <c r="B667" s="1" t="s">
        <v>1822</v>
      </c>
      <c r="C667" s="1" t="s">
        <v>1823</v>
      </c>
      <c r="D667" s="5" t="s">
        <v>1079</v>
      </c>
      <c r="E667" s="1" t="s">
        <v>1822</v>
      </c>
      <c r="F667" s="7">
        <v>5</v>
      </c>
      <c r="G667" s="1">
        <v>3</v>
      </c>
      <c r="H667" s="1" t="s">
        <v>8</v>
      </c>
      <c r="I667" s="1" t="s">
        <v>8</v>
      </c>
      <c r="J667" s="1" t="s">
        <v>4</v>
      </c>
      <c r="K667" s="2">
        <v>3.1250016134934298E-5</v>
      </c>
      <c r="L667" s="2">
        <v>2.5815114396133499E-5</v>
      </c>
      <c r="M667" s="1">
        <v>-2.5839041582109701E-3</v>
      </c>
      <c r="N667" s="1">
        <v>3.37391066016695</v>
      </c>
    </row>
    <row r="668" spans="1:14">
      <c r="A668" s="1">
        <v>667</v>
      </c>
      <c r="B668" s="1" t="s">
        <v>1824</v>
      </c>
      <c r="C668" s="1" t="s">
        <v>1825</v>
      </c>
      <c r="D668" s="5" t="s">
        <v>47</v>
      </c>
      <c r="E668" s="1" t="s">
        <v>1824</v>
      </c>
      <c r="F668" s="7">
        <v>4</v>
      </c>
      <c r="G668" s="1">
        <v>2</v>
      </c>
      <c r="H668" s="1" t="s">
        <v>12</v>
      </c>
      <c r="I668" s="1" t="s">
        <v>12</v>
      </c>
      <c r="J668" s="1" t="s">
        <v>4</v>
      </c>
      <c r="K668" s="2">
        <v>3.1250007280836098E-5</v>
      </c>
      <c r="L668" s="2">
        <v>9.9485907411189506E-6</v>
      </c>
      <c r="M668" s="1">
        <v>4.0274822456254303E-3</v>
      </c>
      <c r="N668" s="1">
        <v>3.5273544262584</v>
      </c>
    </row>
    <row r="669" spans="1:14">
      <c r="A669" s="1">
        <v>668</v>
      </c>
      <c r="B669" s="1" t="s">
        <v>1826</v>
      </c>
      <c r="C669" s="1" t="s">
        <v>1827</v>
      </c>
      <c r="D669" s="5" t="s">
        <v>1828</v>
      </c>
      <c r="E669" s="1" t="s">
        <v>1829</v>
      </c>
      <c r="F669" s="7">
        <v>4</v>
      </c>
      <c r="G669" s="1">
        <v>4</v>
      </c>
      <c r="H669" s="1" t="s">
        <v>123</v>
      </c>
      <c r="I669" s="1" t="s">
        <v>8</v>
      </c>
      <c r="J669" s="1" t="s">
        <v>180</v>
      </c>
      <c r="K669" s="2">
        <v>3.12500055609028E-5</v>
      </c>
      <c r="L669" s="2">
        <v>2.85016326742179E-5</v>
      </c>
      <c r="M669" s="1">
        <v>-3.6870177946077803E-2</v>
      </c>
      <c r="N669" s="1">
        <v>2.9109747215830399</v>
      </c>
    </row>
    <row r="670" spans="1:14">
      <c r="A670" s="1">
        <v>669</v>
      </c>
      <c r="B670" s="1" t="s">
        <v>1830</v>
      </c>
      <c r="C670" s="1" t="s">
        <v>1831</v>
      </c>
      <c r="D670" s="5" t="s">
        <v>292</v>
      </c>
      <c r="E670" s="1" t="s">
        <v>1830</v>
      </c>
      <c r="F670" s="7">
        <v>7</v>
      </c>
      <c r="G670" s="1">
        <v>4</v>
      </c>
      <c r="H670" s="1" t="s">
        <v>8</v>
      </c>
      <c r="I670" s="1" t="s">
        <v>8</v>
      </c>
      <c r="J670" s="1" t="s">
        <v>4</v>
      </c>
      <c r="K670" s="2">
        <v>3.1249997875862797E-5</v>
      </c>
      <c r="L670" s="2">
        <v>1.95714127198699E-5</v>
      </c>
      <c r="M670" s="1">
        <v>5.71077554111809E-3</v>
      </c>
      <c r="N670" s="1">
        <v>3.36164413871164</v>
      </c>
    </row>
    <row r="671" spans="1:14">
      <c r="A671" s="1">
        <v>670</v>
      </c>
      <c r="B671" s="1" t="s">
        <v>1832</v>
      </c>
      <c r="C671" s="1" t="s">
        <v>1833</v>
      </c>
      <c r="D671" s="5" t="s">
        <v>1834</v>
      </c>
      <c r="E671" s="1" t="s">
        <v>1832</v>
      </c>
      <c r="F671" s="7">
        <v>4</v>
      </c>
      <c r="G671" s="1">
        <v>5</v>
      </c>
      <c r="H671" s="1" t="s">
        <v>8</v>
      </c>
      <c r="I671" s="1" t="s">
        <v>8</v>
      </c>
      <c r="J671" s="1" t="s">
        <v>4</v>
      </c>
      <c r="K671" s="2">
        <v>3.1250007440577499E-5</v>
      </c>
      <c r="L671" s="2">
        <v>3.0210612180283602E-5</v>
      </c>
      <c r="M671" s="1">
        <v>-6.8317146190737203E-3</v>
      </c>
      <c r="N671" s="1">
        <v>3.99425472552648</v>
      </c>
    </row>
    <row r="672" spans="1:14">
      <c r="A672" s="1">
        <v>671</v>
      </c>
      <c r="B672" s="1" t="s">
        <v>1835</v>
      </c>
      <c r="C672" s="1" t="s">
        <v>1836</v>
      </c>
      <c r="D672" s="5" t="s">
        <v>1837</v>
      </c>
      <c r="E672" s="1" t="s">
        <v>1835</v>
      </c>
      <c r="F672" s="7">
        <v>4</v>
      </c>
      <c r="G672" s="1">
        <v>7</v>
      </c>
      <c r="H672" s="1" t="s">
        <v>8</v>
      </c>
      <c r="I672" s="1" t="s">
        <v>8</v>
      </c>
      <c r="J672" s="1" t="s">
        <v>4</v>
      </c>
      <c r="K672" s="2">
        <v>3.1249999194578299E-5</v>
      </c>
      <c r="L672" s="2">
        <v>3.0905270369008299E-5</v>
      </c>
      <c r="M672" s="1">
        <v>2.5375829436212499E-2</v>
      </c>
      <c r="N672" s="1">
        <v>3.4917088285494899</v>
      </c>
    </row>
    <row r="673" spans="1:14">
      <c r="A673" s="1">
        <v>672</v>
      </c>
      <c r="B673" s="1" t="s">
        <v>1838</v>
      </c>
      <c r="C673" s="1" t="s">
        <v>1839</v>
      </c>
      <c r="D673" s="5" t="s">
        <v>1840</v>
      </c>
      <c r="E673" s="1" t="s">
        <v>2373</v>
      </c>
      <c r="F673" s="7">
        <v>4</v>
      </c>
      <c r="G673" s="1">
        <v>4</v>
      </c>
      <c r="H673" s="1" t="s">
        <v>8</v>
      </c>
      <c r="I673" s="1" t="s">
        <v>8</v>
      </c>
      <c r="J673" s="1" t="s">
        <v>180</v>
      </c>
      <c r="K673" s="2">
        <v>3.1249998777993699E-5</v>
      </c>
      <c r="L673" s="2">
        <v>3.3148170772933999E-6</v>
      </c>
      <c r="M673" s="1">
        <v>-3.09390079083584E-2</v>
      </c>
      <c r="N673" s="1">
        <v>3.7668524865633</v>
      </c>
    </row>
    <row r="674" spans="1:14">
      <c r="A674" s="1">
        <v>673</v>
      </c>
      <c r="B674" s="1" t="s">
        <v>1841</v>
      </c>
      <c r="C674" s="1" t="s">
        <v>1842</v>
      </c>
      <c r="D674" s="5" t="s">
        <v>1843</v>
      </c>
      <c r="E674" s="1" t="s">
        <v>1841</v>
      </c>
      <c r="F674" s="7">
        <v>6</v>
      </c>
      <c r="G674" s="1">
        <v>8</v>
      </c>
      <c r="H674" s="1" t="s">
        <v>123</v>
      </c>
      <c r="I674" s="1" t="s">
        <v>123</v>
      </c>
      <c r="J674" s="1" t="s">
        <v>4</v>
      </c>
      <c r="K674" s="2">
        <v>3.1250006215332903E-5</v>
      </c>
      <c r="L674" s="2">
        <v>2.4981319978065301E-5</v>
      </c>
      <c r="M674" s="1">
        <v>3.9974427300449998E-2</v>
      </c>
      <c r="N674" s="1">
        <v>3.26683091115276</v>
      </c>
    </row>
    <row r="675" spans="1:14">
      <c r="A675" s="1">
        <v>674</v>
      </c>
      <c r="B675" s="1" t="s">
        <v>1844</v>
      </c>
      <c r="C675" s="1" t="s">
        <v>1845</v>
      </c>
      <c r="D675" s="5" t="s">
        <v>900</v>
      </c>
      <c r="E675" s="1" t="s">
        <v>1846</v>
      </c>
      <c r="F675" s="7">
        <v>5</v>
      </c>
      <c r="G675" s="1">
        <v>5</v>
      </c>
      <c r="H675" s="1" t="s">
        <v>8</v>
      </c>
      <c r="I675" s="1" t="s">
        <v>12</v>
      </c>
      <c r="J675" s="1" t="s">
        <v>180</v>
      </c>
      <c r="K675" s="2">
        <v>3.1249998996210101E-5</v>
      </c>
      <c r="L675" s="2">
        <v>1.29795811242884E-5</v>
      </c>
      <c r="M675" s="1">
        <v>8.6114559691949904E-3</v>
      </c>
      <c r="N675" s="1">
        <v>3.8160384141439798</v>
      </c>
    </row>
    <row r="676" spans="1:14">
      <c r="A676" s="1">
        <v>675</v>
      </c>
      <c r="B676" s="1" t="s">
        <v>1847</v>
      </c>
      <c r="C676" s="1" t="s">
        <v>1848</v>
      </c>
      <c r="D676" s="5" t="s">
        <v>1849</v>
      </c>
      <c r="E676" s="1" t="s">
        <v>2374</v>
      </c>
      <c r="F676" s="7">
        <v>4</v>
      </c>
      <c r="G676" s="1">
        <v>4</v>
      </c>
      <c r="H676" s="1" t="s">
        <v>8</v>
      </c>
      <c r="I676" s="1" t="s">
        <v>8</v>
      </c>
      <c r="J676" s="1" t="s">
        <v>180</v>
      </c>
      <c r="K676" s="2">
        <v>3.12500024153526E-5</v>
      </c>
      <c r="L676" s="2">
        <v>2.23071566067872E-6</v>
      </c>
      <c r="M676" s="1">
        <v>-4.2178762000091297E-3</v>
      </c>
      <c r="N676" s="1">
        <v>3.5177694376474902</v>
      </c>
    </row>
    <row r="677" spans="1:14">
      <c r="A677" s="1">
        <v>676</v>
      </c>
      <c r="B677" s="1" t="s">
        <v>1850</v>
      </c>
      <c r="C677" s="1" t="s">
        <v>1851</v>
      </c>
      <c r="D677" s="5" t="s">
        <v>1852</v>
      </c>
      <c r="E677" s="1" t="s">
        <v>1850</v>
      </c>
      <c r="F677" s="7">
        <v>4</v>
      </c>
      <c r="G677" s="1">
        <v>5</v>
      </c>
      <c r="H677" s="1" t="s">
        <v>8</v>
      </c>
      <c r="I677" s="1" t="s">
        <v>8</v>
      </c>
      <c r="J677" s="1" t="s">
        <v>4</v>
      </c>
      <c r="K677" s="2">
        <v>3.12500041970746E-5</v>
      </c>
      <c r="L677" s="2">
        <v>3.0953443763131202E-5</v>
      </c>
      <c r="M677" s="1">
        <v>-1.3307966155640101E-2</v>
      </c>
      <c r="N677" s="1">
        <v>2.6740749258213499</v>
      </c>
    </row>
    <row r="678" spans="1:14">
      <c r="A678" s="1">
        <v>677</v>
      </c>
      <c r="B678" s="1" t="s">
        <v>1853</v>
      </c>
      <c r="C678" s="1" t="s">
        <v>1854</v>
      </c>
      <c r="D678" s="5" t="s">
        <v>274</v>
      </c>
      <c r="E678" s="1" t="s">
        <v>1853</v>
      </c>
      <c r="F678" s="7">
        <v>7</v>
      </c>
      <c r="G678" s="1">
        <v>4</v>
      </c>
      <c r="H678" s="1" t="s">
        <v>8</v>
      </c>
      <c r="I678" s="1" t="s">
        <v>8</v>
      </c>
      <c r="J678" s="1" t="s">
        <v>4</v>
      </c>
      <c r="K678" s="2">
        <v>3.1250002737993501E-5</v>
      </c>
      <c r="L678" s="2">
        <v>3.0550055190092897E-5</v>
      </c>
      <c r="M678" s="1">
        <v>-2.0739975575088099E-2</v>
      </c>
      <c r="N678" s="1">
        <v>3.4932947188397701</v>
      </c>
    </row>
    <row r="679" spans="1:14">
      <c r="A679" s="1">
        <v>678</v>
      </c>
      <c r="B679" s="1" t="s">
        <v>1855</v>
      </c>
      <c r="C679" s="1" t="s">
        <v>1856</v>
      </c>
      <c r="D679" s="5" t="s">
        <v>1857</v>
      </c>
      <c r="E679" s="1" t="s">
        <v>2375</v>
      </c>
      <c r="F679" s="7">
        <v>7</v>
      </c>
      <c r="G679" s="1">
        <v>6</v>
      </c>
      <c r="H679" s="1" t="s">
        <v>8</v>
      </c>
      <c r="I679" s="1" t="s">
        <v>8</v>
      </c>
      <c r="J679" s="1" t="s">
        <v>180</v>
      </c>
      <c r="K679" s="2">
        <v>3.1250003577175103E-5</v>
      </c>
      <c r="L679" s="2">
        <v>2.0616860719075201E-6</v>
      </c>
      <c r="M679" s="1">
        <v>-4.9032523474181701E-3</v>
      </c>
      <c r="N679" s="1">
        <v>3.58682829560883</v>
      </c>
    </row>
    <row r="680" spans="1:14">
      <c r="A680" s="1">
        <v>679</v>
      </c>
      <c r="B680" s="1" t="s">
        <v>1858</v>
      </c>
      <c r="C680" s="1" t="s">
        <v>1859</v>
      </c>
      <c r="D680" s="5" t="s">
        <v>1860</v>
      </c>
      <c r="E680" s="1" t="s">
        <v>1858</v>
      </c>
      <c r="F680" s="7">
        <v>5</v>
      </c>
      <c r="G680" s="1">
        <v>8</v>
      </c>
      <c r="H680" s="1" t="s">
        <v>8</v>
      </c>
      <c r="I680" s="1" t="s">
        <v>8</v>
      </c>
      <c r="J680" s="1" t="s">
        <v>4</v>
      </c>
      <c r="K680" s="2">
        <v>3.1250018004496102E-5</v>
      </c>
      <c r="L680" s="2">
        <v>2.6646174830516501E-5</v>
      </c>
      <c r="M680" s="1">
        <v>1.48888752320344E-2</v>
      </c>
      <c r="N680" s="1">
        <v>3.66661404916014</v>
      </c>
    </row>
    <row r="681" spans="1:14">
      <c r="A681" s="1">
        <v>680</v>
      </c>
      <c r="B681" s="1" t="s">
        <v>1861</v>
      </c>
      <c r="C681" s="1" t="s">
        <v>1862</v>
      </c>
      <c r="D681" s="5" t="s">
        <v>1818</v>
      </c>
      <c r="E681" s="1" t="s">
        <v>1861</v>
      </c>
      <c r="F681" s="7">
        <v>7</v>
      </c>
      <c r="G681" s="1">
        <v>5</v>
      </c>
      <c r="H681" s="1" t="s">
        <v>8</v>
      </c>
      <c r="I681" s="1" t="s">
        <v>8</v>
      </c>
      <c r="J681" s="1" t="s">
        <v>4</v>
      </c>
      <c r="K681" s="2">
        <v>3.1250003409028601E-5</v>
      </c>
      <c r="L681" s="2">
        <v>2.9011324805938399E-5</v>
      </c>
      <c r="M681" s="1">
        <v>3.3067248231937102E-2</v>
      </c>
      <c r="N681" s="1">
        <v>3.4687340149831098</v>
      </c>
    </row>
    <row r="682" spans="1:14">
      <c r="A682" s="1">
        <v>681</v>
      </c>
      <c r="B682" s="1" t="s">
        <v>1863</v>
      </c>
      <c r="C682" s="1" t="s">
        <v>1864</v>
      </c>
      <c r="D682" s="5" t="s">
        <v>1865</v>
      </c>
      <c r="E682" s="1" t="s">
        <v>1863</v>
      </c>
      <c r="F682" s="7">
        <v>4</v>
      </c>
      <c r="G682" s="1">
        <v>3</v>
      </c>
      <c r="H682" s="1" t="s">
        <v>8</v>
      </c>
      <c r="I682" s="1" t="s">
        <v>8</v>
      </c>
      <c r="J682" s="1" t="s">
        <v>4</v>
      </c>
      <c r="K682" s="2">
        <v>3.1250014551792497E-5</v>
      </c>
      <c r="L682" s="2">
        <v>1.2831234178851599E-5</v>
      </c>
      <c r="M682" s="1">
        <v>3.62243677395497E-2</v>
      </c>
      <c r="N682" s="1">
        <v>3.3118032024089499</v>
      </c>
    </row>
    <row r="683" spans="1:14">
      <c r="A683" s="1">
        <v>682</v>
      </c>
      <c r="B683" s="1" t="s">
        <v>1866</v>
      </c>
      <c r="C683" s="1" t="s">
        <v>1867</v>
      </c>
      <c r="D683" s="5" t="s">
        <v>1868</v>
      </c>
      <c r="E683" s="1" t="s">
        <v>1866</v>
      </c>
      <c r="F683" s="7">
        <v>4</v>
      </c>
      <c r="G683" s="1">
        <v>4</v>
      </c>
      <c r="H683" s="1" t="s">
        <v>8</v>
      </c>
      <c r="I683" s="1" t="s">
        <v>8</v>
      </c>
      <c r="J683" s="1" t="s">
        <v>4</v>
      </c>
      <c r="K683" s="2">
        <v>3.12500030555577E-5</v>
      </c>
      <c r="L683" s="2">
        <v>2.8830651509212601E-6</v>
      </c>
      <c r="M683" s="1">
        <v>1.36545369767304E-2</v>
      </c>
      <c r="N683" s="1">
        <v>3.0643527478171699</v>
      </c>
    </row>
    <row r="684" spans="1:14">
      <c r="A684" s="1">
        <v>683</v>
      </c>
      <c r="B684" s="1" t="s">
        <v>1869</v>
      </c>
      <c r="C684" s="1" t="s">
        <v>1870</v>
      </c>
      <c r="D684" s="5" t="s">
        <v>218</v>
      </c>
      <c r="E684" s="1" t="s">
        <v>1869</v>
      </c>
      <c r="F684" s="7">
        <v>4</v>
      </c>
      <c r="G684" s="1">
        <v>5</v>
      </c>
      <c r="H684" s="1" t="s">
        <v>8</v>
      </c>
      <c r="I684" s="1" t="s">
        <v>8</v>
      </c>
      <c r="J684" s="1" t="s">
        <v>4</v>
      </c>
      <c r="K684" s="2">
        <v>3.1250000236478101E-5</v>
      </c>
      <c r="L684" s="2">
        <v>2.7328371167954201E-6</v>
      </c>
      <c r="M684" s="1">
        <v>-3.6297894663270798E-3</v>
      </c>
      <c r="N684" s="1">
        <v>2.4902583071000901</v>
      </c>
    </row>
    <row r="685" spans="1:14">
      <c r="A685" s="1">
        <v>684</v>
      </c>
      <c r="B685" s="1" t="s">
        <v>1871</v>
      </c>
      <c r="C685" s="1" t="s">
        <v>1872</v>
      </c>
      <c r="D685" s="5" t="s">
        <v>1873</v>
      </c>
      <c r="E685" s="1" t="s">
        <v>2376</v>
      </c>
      <c r="F685" s="7">
        <v>4</v>
      </c>
      <c r="G685" s="1">
        <v>5</v>
      </c>
      <c r="H685" s="1" t="s">
        <v>8</v>
      </c>
      <c r="I685" s="1" t="s">
        <v>8</v>
      </c>
      <c r="J685" s="1" t="s">
        <v>180</v>
      </c>
      <c r="K685" s="2">
        <v>3.1250000937108302E-5</v>
      </c>
      <c r="L685" s="2">
        <v>3.3016688113970498E-6</v>
      </c>
      <c r="M685" s="1">
        <v>-6.8723493607869496E-3</v>
      </c>
      <c r="N685" s="1">
        <v>3.70128012726533</v>
      </c>
    </row>
    <row r="686" spans="1:14">
      <c r="A686" s="1">
        <v>685</v>
      </c>
      <c r="B686" s="1" t="s">
        <v>1874</v>
      </c>
      <c r="C686" s="1" t="s">
        <v>1875</v>
      </c>
      <c r="D686" s="5" t="s">
        <v>1876</v>
      </c>
      <c r="E686" s="1" t="s">
        <v>1874</v>
      </c>
      <c r="F686" s="7">
        <v>4</v>
      </c>
      <c r="G686" s="1">
        <v>3</v>
      </c>
      <c r="H686" s="1" t="s">
        <v>8</v>
      </c>
      <c r="I686" s="1" t="s">
        <v>8</v>
      </c>
      <c r="J686" s="1" t="s">
        <v>4</v>
      </c>
      <c r="K686" s="2">
        <v>3.12500107859891E-5</v>
      </c>
      <c r="L686" s="2">
        <v>7.4546161170668204E-6</v>
      </c>
      <c r="M686" s="1">
        <v>1.11904820064943E-2</v>
      </c>
      <c r="N686" s="1">
        <v>3.3749107132051601</v>
      </c>
    </row>
    <row r="687" spans="1:14">
      <c r="A687" s="1">
        <v>686</v>
      </c>
      <c r="B687" s="1" t="s">
        <v>1877</v>
      </c>
      <c r="C687" s="1" t="s">
        <v>1878</v>
      </c>
      <c r="D687" s="5" t="s">
        <v>1879</v>
      </c>
      <c r="E687" s="1" t="s">
        <v>2377</v>
      </c>
      <c r="F687" s="7">
        <v>4</v>
      </c>
      <c r="G687" s="1">
        <v>3</v>
      </c>
      <c r="H687" s="1" t="s">
        <v>8</v>
      </c>
      <c r="I687" s="1" t="s">
        <v>22</v>
      </c>
      <c r="J687" s="1" t="s">
        <v>180</v>
      </c>
      <c r="K687" s="2">
        <v>3.1250002023988298E-5</v>
      </c>
      <c r="L687" s="2">
        <v>2.6735609213516999E-7</v>
      </c>
      <c r="M687" s="1">
        <v>5.9905899698822603E-2</v>
      </c>
      <c r="N687" s="1">
        <v>2.07516955293862</v>
      </c>
    </row>
    <row r="688" spans="1:14">
      <c r="A688" s="1">
        <v>687</v>
      </c>
      <c r="B688" s="1" t="s">
        <v>1880</v>
      </c>
      <c r="C688" s="1" t="s">
        <v>1881</v>
      </c>
      <c r="D688" s="5" t="s">
        <v>503</v>
      </c>
      <c r="E688" s="1" t="s">
        <v>1880</v>
      </c>
      <c r="F688" s="7">
        <v>4</v>
      </c>
      <c r="G688" s="1">
        <v>3</v>
      </c>
      <c r="H688" s="1" t="s">
        <v>12</v>
      </c>
      <c r="I688" s="1" t="s">
        <v>12</v>
      </c>
      <c r="J688" s="1" t="s">
        <v>4</v>
      </c>
      <c r="K688" s="2">
        <v>3.1250009557818899E-5</v>
      </c>
      <c r="L688" s="2">
        <v>2.5705356970094701E-5</v>
      </c>
      <c r="M688" s="1">
        <v>1.44927147164253E-2</v>
      </c>
      <c r="N688" s="1">
        <v>3.7675946891342802</v>
      </c>
    </row>
    <row r="689" spans="1:14">
      <c r="A689" s="1">
        <v>688</v>
      </c>
      <c r="B689" s="1" t="s">
        <v>1882</v>
      </c>
      <c r="C689" s="1" t="s">
        <v>1883</v>
      </c>
      <c r="D689" s="5" t="s">
        <v>858</v>
      </c>
      <c r="E689" s="1" t="s">
        <v>2378</v>
      </c>
      <c r="F689" s="7">
        <v>4</v>
      </c>
      <c r="G689" s="1">
        <v>5</v>
      </c>
      <c r="H689" s="1" t="s">
        <v>8</v>
      </c>
      <c r="I689" s="1" t="s">
        <v>8</v>
      </c>
      <c r="J689" s="1" t="s">
        <v>180</v>
      </c>
      <c r="K689" s="2">
        <v>3.1249997130556203E-5</v>
      </c>
      <c r="L689" s="2">
        <v>8.1099826949487298E-7</v>
      </c>
      <c r="M689" s="1">
        <v>1.0912345544213E-2</v>
      </c>
      <c r="N689" s="1">
        <v>3.7443709260162201</v>
      </c>
    </row>
    <row r="690" spans="1:14">
      <c r="A690" s="1">
        <v>689</v>
      </c>
      <c r="B690" s="1" t="s">
        <v>1884</v>
      </c>
      <c r="C690" s="1" t="s">
        <v>1885</v>
      </c>
      <c r="D690" s="5" t="s">
        <v>274</v>
      </c>
      <c r="E690" s="1" t="s">
        <v>1884</v>
      </c>
      <c r="F690" s="7">
        <v>4</v>
      </c>
      <c r="G690" s="1">
        <v>4</v>
      </c>
      <c r="H690" s="1" t="s">
        <v>8</v>
      </c>
      <c r="I690" s="1" t="s">
        <v>8</v>
      </c>
      <c r="J690" s="1" t="s">
        <v>4</v>
      </c>
      <c r="K690" s="2">
        <v>3.12500083596379E-5</v>
      </c>
      <c r="L690" s="2">
        <v>1.7271185550199599E-5</v>
      </c>
      <c r="M690" s="1">
        <v>4.1844970352247601E-2</v>
      </c>
      <c r="N690" s="1">
        <v>3.4591274192761801</v>
      </c>
    </row>
    <row r="691" spans="1:14">
      <c r="A691" s="1">
        <v>690</v>
      </c>
      <c r="B691" s="1" t="s">
        <v>1886</v>
      </c>
      <c r="C691" s="1" t="s">
        <v>1887</v>
      </c>
      <c r="D691" s="5" t="s">
        <v>1888</v>
      </c>
      <c r="E691" s="1" t="s">
        <v>1886</v>
      </c>
      <c r="F691" s="7">
        <v>5</v>
      </c>
      <c r="G691" s="1">
        <v>7</v>
      </c>
      <c r="H691" s="1" t="s">
        <v>8</v>
      </c>
      <c r="I691" s="1" t="s">
        <v>8</v>
      </c>
      <c r="J691" s="1" t="s">
        <v>4</v>
      </c>
      <c r="K691" s="2">
        <v>3.1250000723249403E-5</v>
      </c>
      <c r="L691" s="2">
        <v>3.1207601723465699E-5</v>
      </c>
      <c r="M691" s="1">
        <v>1.9520075184651299E-2</v>
      </c>
      <c r="N691" s="1">
        <v>3.1643622840347798</v>
      </c>
    </row>
    <row r="692" spans="1:14">
      <c r="A692" s="1">
        <v>691</v>
      </c>
      <c r="B692" s="1" t="s">
        <v>1889</v>
      </c>
      <c r="C692" s="1" t="s">
        <v>1890</v>
      </c>
      <c r="D692" s="5" t="s">
        <v>1891</v>
      </c>
      <c r="E692" s="1" t="s">
        <v>1889</v>
      </c>
      <c r="F692" s="7">
        <v>4</v>
      </c>
      <c r="G692" s="1">
        <v>6</v>
      </c>
      <c r="H692" s="1" t="s">
        <v>8</v>
      </c>
      <c r="I692" s="1" t="s">
        <v>8</v>
      </c>
      <c r="J692" s="1" t="s">
        <v>4</v>
      </c>
      <c r="K692" s="2">
        <v>3.1250010569107798E-5</v>
      </c>
      <c r="L692" s="2">
        <v>2.8436762901135101E-5</v>
      </c>
      <c r="M692" s="1">
        <v>7.4623449250310597E-3</v>
      </c>
      <c r="N692" s="1">
        <v>3.6358293394382701</v>
      </c>
    </row>
    <row r="693" spans="1:14">
      <c r="A693" s="1">
        <v>692</v>
      </c>
      <c r="B693" s="1" t="s">
        <v>1892</v>
      </c>
      <c r="C693" s="1" t="s">
        <v>1893</v>
      </c>
      <c r="D693" s="5" t="s">
        <v>1894</v>
      </c>
      <c r="E693" s="1" t="s">
        <v>2379</v>
      </c>
      <c r="F693" s="7">
        <v>4</v>
      </c>
      <c r="G693" s="1">
        <v>6</v>
      </c>
      <c r="H693" s="1" t="s">
        <v>8</v>
      </c>
      <c r="I693" s="1" t="s">
        <v>8</v>
      </c>
      <c r="J693" s="1" t="s">
        <v>180</v>
      </c>
      <c r="K693" s="2">
        <v>3.1249999721074003E-5</v>
      </c>
      <c r="L693" s="2">
        <v>4.7823851513336998E-6</v>
      </c>
      <c r="M693" s="1">
        <v>-2.70256109249815E-2</v>
      </c>
      <c r="N693" s="1">
        <v>3.6821266209686998</v>
      </c>
    </row>
    <row r="694" spans="1:14">
      <c r="A694" s="1">
        <v>693</v>
      </c>
      <c r="B694" s="1" t="s">
        <v>1895</v>
      </c>
      <c r="C694" s="1" t="s">
        <v>1896</v>
      </c>
      <c r="D694" s="5" t="s">
        <v>1897</v>
      </c>
      <c r="E694" s="1" t="s">
        <v>2380</v>
      </c>
      <c r="F694" s="7">
        <v>4</v>
      </c>
      <c r="G694" s="1">
        <v>6</v>
      </c>
      <c r="H694" s="1" t="s">
        <v>8</v>
      </c>
      <c r="I694" s="1" t="s">
        <v>8</v>
      </c>
      <c r="J694" s="1" t="s">
        <v>180</v>
      </c>
      <c r="K694" s="2">
        <v>3.1250002301200497E-5</v>
      </c>
      <c r="L694" s="2">
        <v>2.6178906303677398E-6</v>
      </c>
      <c r="M694" s="1">
        <v>1.1940515333321801E-3</v>
      </c>
      <c r="N694" s="1">
        <v>3.5984096773308401</v>
      </c>
    </row>
    <row r="695" spans="1:14">
      <c r="A695" s="1">
        <v>694</v>
      </c>
      <c r="B695" s="1" t="s">
        <v>1898</v>
      </c>
      <c r="C695" s="1" t="s">
        <v>1899</v>
      </c>
      <c r="D695" s="5" t="s">
        <v>1818</v>
      </c>
      <c r="E695" s="1" t="s">
        <v>1898</v>
      </c>
      <c r="F695" s="7">
        <v>5</v>
      </c>
      <c r="G695" s="1">
        <v>5</v>
      </c>
      <c r="H695" s="1" t="s">
        <v>8</v>
      </c>
      <c r="I695" s="1" t="s">
        <v>8</v>
      </c>
      <c r="J695" s="1" t="s">
        <v>4</v>
      </c>
      <c r="K695" s="2">
        <v>3.1250004114517003E-5</v>
      </c>
      <c r="L695" s="2">
        <v>2.1740004404695499E-5</v>
      </c>
      <c r="M695" s="2">
        <v>7.2941474911658493E-5</v>
      </c>
      <c r="N695" s="1">
        <v>3.4690469798491401</v>
      </c>
    </row>
    <row r="696" spans="1:14">
      <c r="A696" s="1">
        <v>695</v>
      </c>
      <c r="B696" s="1" t="s">
        <v>1900</v>
      </c>
      <c r="C696" s="1" t="s">
        <v>1901</v>
      </c>
      <c r="D696" s="5" t="s">
        <v>1902</v>
      </c>
      <c r="E696" s="1" t="s">
        <v>1903</v>
      </c>
      <c r="F696" s="7">
        <v>4</v>
      </c>
      <c r="G696" s="1">
        <v>5</v>
      </c>
      <c r="H696" s="1" t="s">
        <v>68</v>
      </c>
      <c r="I696" s="1" t="s">
        <v>22</v>
      </c>
      <c r="J696" s="1" t="s">
        <v>180</v>
      </c>
      <c r="K696" s="2">
        <v>3.1250004973655501E-5</v>
      </c>
      <c r="L696" s="2">
        <v>1.41100450245809E-6</v>
      </c>
      <c r="M696" s="1">
        <v>3.6707347535763497E-2</v>
      </c>
      <c r="N696" s="1">
        <v>3.2065801410499799</v>
      </c>
    </row>
    <row r="697" spans="1:14">
      <c r="A697" s="1">
        <v>696</v>
      </c>
      <c r="B697" s="1" t="s">
        <v>1904</v>
      </c>
      <c r="C697" s="1" t="s">
        <v>1905</v>
      </c>
      <c r="D697" s="5" t="s">
        <v>1455</v>
      </c>
      <c r="E697" s="1" t="s">
        <v>1904</v>
      </c>
      <c r="F697" s="7">
        <v>4</v>
      </c>
      <c r="G697" s="1">
        <v>4</v>
      </c>
      <c r="H697" s="1" t="s">
        <v>8</v>
      </c>
      <c r="I697" s="1" t="s">
        <v>8</v>
      </c>
      <c r="J697" s="1" t="s">
        <v>4</v>
      </c>
      <c r="K697" s="2">
        <v>3.1250011144552499E-5</v>
      </c>
      <c r="L697" s="2">
        <v>3.1156357658124598E-5</v>
      </c>
      <c r="M697" s="1">
        <v>3.0318677430130898E-2</v>
      </c>
      <c r="N697" s="1">
        <v>2.7200039400207698</v>
      </c>
    </row>
    <row r="698" spans="1:14">
      <c r="A698" s="1">
        <v>697</v>
      </c>
      <c r="B698" s="1" t="s">
        <v>1906</v>
      </c>
      <c r="C698" s="1" t="s">
        <v>1907</v>
      </c>
      <c r="D698" s="5" t="s">
        <v>1908</v>
      </c>
      <c r="E698" s="1" t="s">
        <v>1906</v>
      </c>
      <c r="F698" s="7">
        <v>4</v>
      </c>
      <c r="G698" s="1">
        <v>3</v>
      </c>
      <c r="H698" s="1" t="s">
        <v>8</v>
      </c>
      <c r="I698" s="1" t="s">
        <v>8</v>
      </c>
      <c r="J698" s="1" t="s">
        <v>4</v>
      </c>
      <c r="K698" s="2">
        <v>3.1250014338503198E-5</v>
      </c>
      <c r="L698" s="2">
        <v>2.1907502406732399E-5</v>
      </c>
      <c r="M698" s="1">
        <v>7.5423452006901899E-3</v>
      </c>
      <c r="N698" s="1">
        <v>3.5653648041946102</v>
      </c>
    </row>
    <row r="699" spans="1:14">
      <c r="A699" s="1">
        <v>698</v>
      </c>
      <c r="B699" s="1" t="s">
        <v>1909</v>
      </c>
      <c r="C699" s="1" t="s">
        <v>1910</v>
      </c>
      <c r="D699" s="5" t="s">
        <v>1911</v>
      </c>
      <c r="E699" s="1" t="s">
        <v>1909</v>
      </c>
      <c r="F699" s="7">
        <v>4</v>
      </c>
      <c r="G699" s="1">
        <v>4</v>
      </c>
      <c r="H699" s="1" t="s">
        <v>8</v>
      </c>
      <c r="I699" s="1" t="s">
        <v>8</v>
      </c>
      <c r="J699" s="1" t="s">
        <v>4</v>
      </c>
      <c r="K699" s="2">
        <v>3.1250003861180697E-5</v>
      </c>
      <c r="L699" s="2">
        <v>1.14014488378363E-6</v>
      </c>
      <c r="M699" s="1">
        <v>1.9260437213226501E-2</v>
      </c>
      <c r="N699" s="1">
        <v>3.3481148744706499</v>
      </c>
    </row>
    <row r="700" spans="1:14">
      <c r="A700" s="1">
        <v>699</v>
      </c>
      <c r="B700" s="1" t="s">
        <v>1912</v>
      </c>
      <c r="C700" s="1" t="s">
        <v>1913</v>
      </c>
      <c r="D700" s="5" t="s">
        <v>112</v>
      </c>
      <c r="E700" s="1" t="s">
        <v>1912</v>
      </c>
      <c r="F700" s="7">
        <v>4</v>
      </c>
      <c r="G700" s="1">
        <v>3</v>
      </c>
      <c r="H700" s="1" t="s">
        <v>113</v>
      </c>
      <c r="I700" s="1" t="s">
        <v>113</v>
      </c>
      <c r="J700" s="1" t="s">
        <v>4</v>
      </c>
      <c r="K700" s="2">
        <v>3.1250010284534699E-5</v>
      </c>
      <c r="L700" s="2">
        <v>1.46968094935638E-5</v>
      </c>
      <c r="M700" s="1">
        <v>-1.21099410423397E-2</v>
      </c>
      <c r="N700" s="1">
        <v>2.7944358525232298</v>
      </c>
    </row>
    <row r="701" spans="1:14">
      <c r="A701" s="1">
        <v>700</v>
      </c>
      <c r="B701" s="1" t="s">
        <v>1914</v>
      </c>
      <c r="C701" s="1" t="s">
        <v>1915</v>
      </c>
      <c r="D701" s="5" t="s">
        <v>1916</v>
      </c>
      <c r="E701" s="1" t="s">
        <v>2381</v>
      </c>
      <c r="F701" s="7">
        <v>5</v>
      </c>
      <c r="G701" s="1">
        <v>4</v>
      </c>
      <c r="H701" s="1" t="s">
        <v>98</v>
      </c>
      <c r="I701" s="1" t="s">
        <v>123</v>
      </c>
      <c r="J701" s="1" t="s">
        <v>180</v>
      </c>
      <c r="K701" s="2">
        <v>3.1250001522052098E-5</v>
      </c>
      <c r="L701" s="2">
        <v>3.7068885823751999E-6</v>
      </c>
      <c r="M701" s="1">
        <v>1.1230498077694001E-2</v>
      </c>
      <c r="N701" s="1">
        <v>3.5970656293513499</v>
      </c>
    </row>
    <row r="702" spans="1:14">
      <c r="A702" s="1">
        <v>701</v>
      </c>
      <c r="B702" s="1" t="s">
        <v>1917</v>
      </c>
      <c r="C702" s="1" t="s">
        <v>1918</v>
      </c>
      <c r="D702" s="5" t="s">
        <v>1919</v>
      </c>
      <c r="E702" s="1" t="s">
        <v>1917</v>
      </c>
      <c r="F702" s="7">
        <v>4</v>
      </c>
      <c r="G702" s="1">
        <v>4</v>
      </c>
      <c r="H702" s="1" t="s">
        <v>8</v>
      </c>
      <c r="I702" s="1" t="s">
        <v>8</v>
      </c>
      <c r="J702" s="1" t="s">
        <v>4</v>
      </c>
      <c r="K702" s="2">
        <v>3.1250006784094602E-5</v>
      </c>
      <c r="L702" s="2">
        <v>3.1170724364084497E-5</v>
      </c>
      <c r="M702" s="1">
        <v>1.55766007446906E-2</v>
      </c>
      <c r="N702" s="1">
        <v>3.0836963867659799</v>
      </c>
    </row>
    <row r="703" spans="1:14">
      <c r="A703" s="1">
        <v>702</v>
      </c>
      <c r="B703" s="1" t="s">
        <v>1920</v>
      </c>
      <c r="C703" s="1" t="s">
        <v>1921</v>
      </c>
      <c r="D703" s="5" t="s">
        <v>1922</v>
      </c>
      <c r="E703" s="1" t="s">
        <v>1923</v>
      </c>
      <c r="F703" s="7">
        <v>6</v>
      </c>
      <c r="G703" s="1">
        <v>5</v>
      </c>
      <c r="H703" s="1" t="s">
        <v>8</v>
      </c>
      <c r="I703" s="1" t="s">
        <v>12</v>
      </c>
      <c r="J703" s="1" t="s">
        <v>180</v>
      </c>
      <c r="K703" s="2">
        <v>3.1250011786256501E-5</v>
      </c>
      <c r="L703" s="2">
        <v>1.10927138883065E-5</v>
      </c>
      <c r="M703" s="1">
        <v>1.04085035997911E-2</v>
      </c>
      <c r="N703" s="1">
        <v>3.3947980037359899</v>
      </c>
    </row>
    <row r="704" spans="1:14">
      <c r="A704" s="1">
        <v>703</v>
      </c>
      <c r="B704" s="1" t="s">
        <v>1924</v>
      </c>
      <c r="C704" s="1" t="s">
        <v>1925</v>
      </c>
      <c r="D704" s="5" t="s">
        <v>1926</v>
      </c>
      <c r="E704" s="1" t="s">
        <v>1924</v>
      </c>
      <c r="F704" s="7">
        <v>4</v>
      </c>
      <c r="G704" s="1">
        <v>8</v>
      </c>
      <c r="H704" s="1" t="s">
        <v>8</v>
      </c>
      <c r="I704" s="1" t="s">
        <v>8</v>
      </c>
      <c r="J704" s="1" t="s">
        <v>4</v>
      </c>
      <c r="K704" s="2">
        <v>3.1250002989955303E-5</v>
      </c>
      <c r="L704" s="2">
        <v>2.5247497184842999E-5</v>
      </c>
      <c r="M704" s="1">
        <v>8.7424834842408895E-4</v>
      </c>
      <c r="N704" s="1">
        <v>2.9281772421096499</v>
      </c>
    </row>
    <row r="705" spans="1:14">
      <c r="A705" s="1">
        <v>704</v>
      </c>
      <c r="B705" s="1" t="s">
        <v>1927</v>
      </c>
      <c r="C705" s="1" t="s">
        <v>1928</v>
      </c>
      <c r="D705" s="5" t="s">
        <v>1929</v>
      </c>
      <c r="E705" s="1" t="s">
        <v>2382</v>
      </c>
      <c r="F705" s="7">
        <v>4</v>
      </c>
      <c r="G705" s="1">
        <v>3</v>
      </c>
      <c r="H705" s="1" t="s">
        <v>8</v>
      </c>
      <c r="I705" s="1" t="s">
        <v>8</v>
      </c>
      <c r="J705" s="1" t="s">
        <v>180</v>
      </c>
      <c r="K705" s="2">
        <v>3.1249994979007603E-5</v>
      </c>
      <c r="L705" s="2">
        <v>2.7010185664112699E-6</v>
      </c>
      <c r="M705" s="1">
        <v>-6.5952908938022798E-3</v>
      </c>
      <c r="N705" s="1">
        <v>3.7513893239988101</v>
      </c>
    </row>
    <row r="706" spans="1:14">
      <c r="A706" s="1">
        <v>705</v>
      </c>
      <c r="B706" s="1" t="s">
        <v>1930</v>
      </c>
      <c r="C706" s="1" t="s">
        <v>1931</v>
      </c>
      <c r="D706" s="5" t="s">
        <v>1639</v>
      </c>
      <c r="E706" s="1" t="s">
        <v>1930</v>
      </c>
      <c r="F706" s="7">
        <v>5</v>
      </c>
      <c r="G706" s="1">
        <v>4</v>
      </c>
      <c r="H706" s="1" t="s">
        <v>98</v>
      </c>
      <c r="I706" s="1" t="s">
        <v>98</v>
      </c>
      <c r="J706" s="1" t="s">
        <v>4</v>
      </c>
      <c r="K706" s="2">
        <v>3.1250003672105603E-5</v>
      </c>
      <c r="L706" s="2">
        <v>2.2401375737519401E-5</v>
      </c>
      <c r="M706" s="1">
        <v>2.01440167201383E-2</v>
      </c>
      <c r="N706" s="1">
        <v>3.1882582090485299</v>
      </c>
    </row>
    <row r="707" spans="1:14">
      <c r="A707" s="1">
        <v>706</v>
      </c>
      <c r="B707" s="1" t="s">
        <v>1932</v>
      </c>
      <c r="C707" s="1" t="s">
        <v>1933</v>
      </c>
      <c r="D707" s="5" t="s">
        <v>1934</v>
      </c>
      <c r="E707" s="1" t="s">
        <v>1932</v>
      </c>
      <c r="F707" s="7">
        <v>4</v>
      </c>
      <c r="G707" s="1">
        <v>7</v>
      </c>
      <c r="H707" s="1" t="s">
        <v>98</v>
      </c>
      <c r="I707" s="1" t="s">
        <v>98</v>
      </c>
      <c r="J707" s="1" t="s">
        <v>4</v>
      </c>
      <c r="K707" s="2">
        <v>3.1250021516214599E-5</v>
      </c>
      <c r="L707" s="2">
        <v>2.2882747589037901E-5</v>
      </c>
      <c r="M707" s="1">
        <v>-2.79695108872157E-2</v>
      </c>
      <c r="N707" s="1">
        <v>3.3736154314989002</v>
      </c>
    </row>
    <row r="708" spans="1:14">
      <c r="A708" s="1">
        <v>707</v>
      </c>
      <c r="B708" s="1" t="s">
        <v>1935</v>
      </c>
      <c r="C708" s="1" t="s">
        <v>1936</v>
      </c>
      <c r="D708" s="5" t="s">
        <v>829</v>
      </c>
      <c r="E708" s="1" t="s">
        <v>1935</v>
      </c>
      <c r="F708" s="7">
        <v>4</v>
      </c>
      <c r="G708" s="1">
        <v>5</v>
      </c>
      <c r="H708" s="1" t="s">
        <v>8</v>
      </c>
      <c r="I708" s="1" t="s">
        <v>8</v>
      </c>
      <c r="J708" s="1" t="s">
        <v>4</v>
      </c>
      <c r="K708" s="2">
        <v>3.12500063421386E-5</v>
      </c>
      <c r="L708" s="2">
        <v>2.3563550008235199E-5</v>
      </c>
      <c r="M708" s="1">
        <v>1.7615877836142602E-2</v>
      </c>
      <c r="N708" s="1">
        <v>3.4419039553039701</v>
      </c>
    </row>
    <row r="709" spans="1:14">
      <c r="A709" s="1">
        <v>708</v>
      </c>
      <c r="B709" s="1" t="s">
        <v>1937</v>
      </c>
      <c r="C709" s="1" t="s">
        <v>1938</v>
      </c>
      <c r="D709" s="5" t="s">
        <v>1939</v>
      </c>
      <c r="E709" s="1" t="s">
        <v>1937</v>
      </c>
      <c r="F709" s="7">
        <v>5</v>
      </c>
      <c r="G709" s="1">
        <v>6</v>
      </c>
      <c r="H709" s="1" t="s">
        <v>8</v>
      </c>
      <c r="I709" s="1" t="s">
        <v>8</v>
      </c>
      <c r="J709" s="1" t="s">
        <v>4</v>
      </c>
      <c r="K709" s="2">
        <v>3.1250007463688502E-5</v>
      </c>
      <c r="L709" s="2">
        <v>2.8862966052365401E-5</v>
      </c>
      <c r="M709" s="1">
        <v>2.36245971749156E-2</v>
      </c>
      <c r="N709" s="1">
        <v>3.2897445040007902</v>
      </c>
    </row>
    <row r="710" spans="1:14">
      <c r="A710" s="1">
        <v>709</v>
      </c>
      <c r="B710" s="1" t="s">
        <v>1940</v>
      </c>
      <c r="C710" s="1" t="s">
        <v>1941</v>
      </c>
      <c r="D710" s="5" t="s">
        <v>1942</v>
      </c>
      <c r="E710" s="1" t="s">
        <v>1940</v>
      </c>
      <c r="F710" s="7">
        <v>4</v>
      </c>
      <c r="G710" s="1">
        <v>5</v>
      </c>
      <c r="H710" s="1" t="s">
        <v>8</v>
      </c>
      <c r="I710" s="1" t="s">
        <v>8</v>
      </c>
      <c r="J710" s="1" t="s">
        <v>4</v>
      </c>
      <c r="K710" s="2">
        <v>3.12499933121022E-5</v>
      </c>
      <c r="L710" s="2">
        <v>2.22297121656218E-5</v>
      </c>
      <c r="M710" s="1">
        <v>1.3085231233731001E-2</v>
      </c>
      <c r="N710" s="1">
        <v>3.21975588054858</v>
      </c>
    </row>
    <row r="711" spans="1:14">
      <c r="A711" s="1">
        <v>710</v>
      </c>
      <c r="B711" s="1" t="s">
        <v>1943</v>
      </c>
      <c r="C711" s="1" t="s">
        <v>1944</v>
      </c>
      <c r="D711" s="5" t="s">
        <v>280</v>
      </c>
      <c r="E711" s="1" t="s">
        <v>1943</v>
      </c>
      <c r="F711" s="7">
        <v>4</v>
      </c>
      <c r="G711" s="1">
        <v>5</v>
      </c>
      <c r="H711" s="1" t="s">
        <v>8</v>
      </c>
      <c r="I711" s="1" t="s">
        <v>8</v>
      </c>
      <c r="J711" s="1" t="s">
        <v>4</v>
      </c>
      <c r="K711" s="2">
        <v>3.1250018887008399E-5</v>
      </c>
      <c r="L711" s="2">
        <v>2.72580702623648E-5</v>
      </c>
      <c r="M711" s="1">
        <v>-1.76064375709046E-2</v>
      </c>
      <c r="N711" s="1">
        <v>3.4344197847735201</v>
      </c>
    </row>
    <row r="712" spans="1:14">
      <c r="A712" s="1">
        <v>711</v>
      </c>
      <c r="B712" s="1" t="s">
        <v>1945</v>
      </c>
      <c r="C712" s="1" t="s">
        <v>1946</v>
      </c>
      <c r="D712" s="5" t="s">
        <v>460</v>
      </c>
      <c r="E712" s="1" t="s">
        <v>1945</v>
      </c>
      <c r="F712" s="7">
        <v>4</v>
      </c>
      <c r="G712" s="1">
        <v>4</v>
      </c>
      <c r="H712" s="1" t="s">
        <v>8</v>
      </c>
      <c r="I712" s="1" t="s">
        <v>8</v>
      </c>
      <c r="J712" s="1" t="s">
        <v>4</v>
      </c>
      <c r="K712" s="2">
        <v>3.1250010991639098E-5</v>
      </c>
      <c r="L712" s="2">
        <v>1.6221132724220899E-5</v>
      </c>
      <c r="M712" s="1">
        <v>-1.79247262431694E-2</v>
      </c>
      <c r="N712" s="1">
        <v>3.2880974701192298</v>
      </c>
    </row>
    <row r="713" spans="1:14">
      <c r="A713" s="1">
        <v>712</v>
      </c>
      <c r="B713" s="1" t="s">
        <v>1947</v>
      </c>
      <c r="C713" s="1" t="s">
        <v>1948</v>
      </c>
      <c r="D713" s="5" t="s">
        <v>1949</v>
      </c>
      <c r="E713" s="1" t="s">
        <v>1947</v>
      </c>
      <c r="F713" s="7">
        <v>6</v>
      </c>
      <c r="G713" s="1">
        <v>6</v>
      </c>
      <c r="H713" s="1" t="s">
        <v>8</v>
      </c>
      <c r="I713" s="1" t="s">
        <v>8</v>
      </c>
      <c r="J713" s="1" t="s">
        <v>4</v>
      </c>
      <c r="K713" s="2">
        <v>3.1249996739203501E-5</v>
      </c>
      <c r="L713" s="2">
        <v>2.2886592700212298E-5</v>
      </c>
      <c r="M713" s="1">
        <v>1.8501179967785199E-2</v>
      </c>
      <c r="N713" s="1">
        <v>3.0302196725591499</v>
      </c>
    </row>
    <row r="714" spans="1:14">
      <c r="A714" s="1">
        <v>713</v>
      </c>
      <c r="B714" s="1" t="s">
        <v>1950</v>
      </c>
      <c r="C714" s="1" t="s">
        <v>1951</v>
      </c>
      <c r="D714" s="5" t="s">
        <v>840</v>
      </c>
      <c r="E714" s="1" t="s">
        <v>1952</v>
      </c>
      <c r="F714" s="7">
        <v>4</v>
      </c>
      <c r="G714" s="1">
        <v>4</v>
      </c>
      <c r="H714" s="1" t="s">
        <v>8</v>
      </c>
      <c r="I714" s="1" t="s">
        <v>68</v>
      </c>
      <c r="J714" s="1" t="s">
        <v>180</v>
      </c>
      <c r="K714" s="2">
        <v>3.1250003701417002E-5</v>
      </c>
      <c r="L714" s="2">
        <v>2.4418720175490599E-5</v>
      </c>
      <c r="M714" s="1">
        <v>-1.9828284911795799E-3</v>
      </c>
      <c r="N714" s="1">
        <v>3.4314368562547801</v>
      </c>
    </row>
    <row r="715" spans="1:14">
      <c r="A715" s="1">
        <v>714</v>
      </c>
      <c r="B715" s="1" t="s">
        <v>1953</v>
      </c>
      <c r="C715" s="1" t="s">
        <v>1954</v>
      </c>
      <c r="D715" s="5" t="s">
        <v>1955</v>
      </c>
      <c r="E715" s="1" t="s">
        <v>2383</v>
      </c>
      <c r="F715" s="7">
        <v>4</v>
      </c>
      <c r="G715" s="1">
        <v>6</v>
      </c>
      <c r="H715" s="1" t="s">
        <v>98</v>
      </c>
      <c r="I715" s="1" t="s">
        <v>8</v>
      </c>
      <c r="J715" s="1" t="s">
        <v>180</v>
      </c>
      <c r="K715" s="2">
        <v>3.1250003252999297E-5</v>
      </c>
      <c r="L715" s="2">
        <v>1.56228510468648E-6</v>
      </c>
      <c r="M715" s="1">
        <v>-2.3828724975771798E-3</v>
      </c>
      <c r="N715" s="1">
        <v>3.5434353729280299</v>
      </c>
    </row>
    <row r="716" spans="1:14">
      <c r="A716" s="1">
        <v>715</v>
      </c>
      <c r="B716" s="1" t="s">
        <v>1956</v>
      </c>
      <c r="C716" s="1" t="s">
        <v>1957</v>
      </c>
      <c r="D716" s="5" t="s">
        <v>370</v>
      </c>
      <c r="E716" s="1" t="s">
        <v>1956</v>
      </c>
      <c r="F716" s="7">
        <v>4</v>
      </c>
      <c r="G716" s="1">
        <v>5</v>
      </c>
      <c r="H716" s="1" t="s">
        <v>8</v>
      </c>
      <c r="I716" s="1" t="s">
        <v>8</v>
      </c>
      <c r="J716" s="1" t="s">
        <v>4</v>
      </c>
      <c r="K716" s="2">
        <v>3.12500083428493E-5</v>
      </c>
      <c r="L716" s="2">
        <v>3.0847515836919902E-5</v>
      </c>
      <c r="M716" s="1">
        <v>3.7485941976242998E-2</v>
      </c>
      <c r="N716" s="1">
        <v>3.2160883119527099</v>
      </c>
    </row>
    <row r="717" spans="1:14">
      <c r="A717" s="1">
        <v>716</v>
      </c>
      <c r="B717" s="1" t="s">
        <v>1958</v>
      </c>
      <c r="C717" s="1" t="s">
        <v>1959</v>
      </c>
      <c r="D717" s="5" t="s">
        <v>28</v>
      </c>
      <c r="E717" s="1" t="s">
        <v>1958</v>
      </c>
      <c r="F717" s="7">
        <v>5</v>
      </c>
      <c r="G717" s="1">
        <v>3</v>
      </c>
      <c r="H717" s="1" t="s">
        <v>8</v>
      </c>
      <c r="I717" s="1" t="s">
        <v>8</v>
      </c>
      <c r="J717" s="1" t="s">
        <v>4</v>
      </c>
      <c r="K717" s="2">
        <v>3.1249998287243199E-5</v>
      </c>
      <c r="L717" s="2">
        <v>2.5568753305194099E-5</v>
      </c>
      <c r="M717" s="1">
        <v>3.0427218451121601E-2</v>
      </c>
      <c r="N717" s="1">
        <v>3.3471662749581599</v>
      </c>
    </row>
    <row r="718" spans="1:14">
      <c r="A718" s="1">
        <v>717</v>
      </c>
      <c r="B718" s="1" t="s">
        <v>1960</v>
      </c>
      <c r="C718" s="1" t="s">
        <v>1961</v>
      </c>
      <c r="D718" s="5" t="s">
        <v>439</v>
      </c>
      <c r="E718" s="1" t="s">
        <v>1962</v>
      </c>
      <c r="F718" s="7">
        <v>4</v>
      </c>
      <c r="G718" s="1">
        <v>4</v>
      </c>
      <c r="H718" s="1" t="s">
        <v>98</v>
      </c>
      <c r="I718" s="1" t="s">
        <v>12</v>
      </c>
      <c r="J718" s="1" t="s">
        <v>180</v>
      </c>
      <c r="K718" s="2">
        <v>3.1250010311314899E-5</v>
      </c>
      <c r="L718" s="2">
        <v>2.6597900061209699E-5</v>
      </c>
      <c r="M718" s="1">
        <v>-2.35771853161281E-2</v>
      </c>
      <c r="N718" s="1">
        <v>3.41485628883478</v>
      </c>
    </row>
    <row r="719" spans="1:14">
      <c r="A719" s="1">
        <v>718</v>
      </c>
      <c r="B719" s="1" t="s">
        <v>1963</v>
      </c>
      <c r="C719" s="1" t="s">
        <v>1964</v>
      </c>
      <c r="D719" s="5" t="s">
        <v>574</v>
      </c>
      <c r="E719" s="1" t="s">
        <v>2384</v>
      </c>
      <c r="F719" s="7">
        <v>4</v>
      </c>
      <c r="G719" s="1">
        <v>4</v>
      </c>
      <c r="H719" s="1" t="s">
        <v>8</v>
      </c>
      <c r="I719" s="1" t="s">
        <v>8</v>
      </c>
      <c r="J719" s="1" t="s">
        <v>180</v>
      </c>
      <c r="K719" s="2">
        <v>3.1250000566446E-5</v>
      </c>
      <c r="L719" s="2">
        <v>1.59507334671814E-6</v>
      </c>
      <c r="M719" s="1">
        <v>2.3039631754073701E-2</v>
      </c>
      <c r="N719" s="1">
        <v>3.7570067004687799</v>
      </c>
    </row>
    <row r="720" spans="1:14">
      <c r="A720" s="1">
        <v>719</v>
      </c>
      <c r="B720" s="1" t="s">
        <v>1965</v>
      </c>
      <c r="C720" s="1" t="s">
        <v>1966</v>
      </c>
      <c r="D720" s="5" t="s">
        <v>419</v>
      </c>
      <c r="E720" s="1" t="s">
        <v>2385</v>
      </c>
      <c r="F720" s="7">
        <v>4</v>
      </c>
      <c r="G720" s="1">
        <v>4</v>
      </c>
      <c r="H720" s="1" t="s">
        <v>8</v>
      </c>
      <c r="I720" s="1" t="s">
        <v>22</v>
      </c>
      <c r="J720" s="1" t="s">
        <v>180</v>
      </c>
      <c r="K720" s="2">
        <v>3.1249996306199798E-5</v>
      </c>
      <c r="L720" s="2">
        <v>3.81886379784784E-7</v>
      </c>
      <c r="M720" s="1">
        <v>4.04273254406462E-2</v>
      </c>
      <c r="N720" s="1">
        <v>2.8319275603613501</v>
      </c>
    </row>
    <row r="721" spans="1:14">
      <c r="A721" s="1">
        <v>720</v>
      </c>
      <c r="B721" s="1" t="s">
        <v>1967</v>
      </c>
      <c r="C721" s="1" t="s">
        <v>1968</v>
      </c>
      <c r="D721" s="5" t="s">
        <v>1969</v>
      </c>
      <c r="E721" s="1" t="s">
        <v>1967</v>
      </c>
      <c r="F721" s="7">
        <v>6</v>
      </c>
      <c r="G721" s="1">
        <v>4</v>
      </c>
      <c r="H721" s="1" t="s">
        <v>8</v>
      </c>
      <c r="I721" s="1" t="s">
        <v>8</v>
      </c>
      <c r="J721" s="1" t="s">
        <v>4</v>
      </c>
      <c r="K721" s="2">
        <v>3.12500012663833E-5</v>
      </c>
      <c r="L721" s="2">
        <v>2.9481279121196799E-5</v>
      </c>
      <c r="M721" s="1">
        <v>-2.4901245284354402E-3</v>
      </c>
      <c r="N721" s="1">
        <v>2.5072463422317099</v>
      </c>
    </row>
    <row r="722" spans="1:14">
      <c r="A722" s="1">
        <v>721</v>
      </c>
      <c r="B722" s="1" t="s">
        <v>1970</v>
      </c>
      <c r="C722" s="1" t="s">
        <v>1971</v>
      </c>
      <c r="D722" s="5" t="s">
        <v>1972</v>
      </c>
      <c r="E722" s="1" t="s">
        <v>1970</v>
      </c>
      <c r="F722" s="7">
        <v>5</v>
      </c>
      <c r="G722" s="1">
        <v>4</v>
      </c>
      <c r="H722" s="1" t="s">
        <v>123</v>
      </c>
      <c r="I722" s="1" t="s">
        <v>123</v>
      </c>
      <c r="J722" s="1" t="s">
        <v>4</v>
      </c>
      <c r="K722" s="2">
        <v>3.1250017474613303E-5</v>
      </c>
      <c r="L722" s="2">
        <v>2.62299207552998E-5</v>
      </c>
      <c r="M722" s="1">
        <v>4.9783422277489102E-2</v>
      </c>
      <c r="N722" s="1">
        <v>3.4452899859083699</v>
      </c>
    </row>
    <row r="723" spans="1:14">
      <c r="A723" s="1">
        <v>722</v>
      </c>
      <c r="B723" s="1" t="s">
        <v>1973</v>
      </c>
      <c r="C723" s="1" t="s">
        <v>1974</v>
      </c>
      <c r="D723" s="5" t="s">
        <v>1975</v>
      </c>
      <c r="E723" s="1" t="s">
        <v>1973</v>
      </c>
      <c r="F723" s="7">
        <v>4</v>
      </c>
      <c r="G723" s="1">
        <v>4</v>
      </c>
      <c r="H723" s="1" t="s">
        <v>8</v>
      </c>
      <c r="I723" s="1" t="s">
        <v>8</v>
      </c>
      <c r="J723" s="1" t="s">
        <v>4</v>
      </c>
      <c r="K723" s="2">
        <v>3.1250000431828199E-5</v>
      </c>
      <c r="L723" s="2">
        <v>3.5588175071480002E-6</v>
      </c>
      <c r="M723" s="1">
        <v>2.3769677290076102E-2</v>
      </c>
      <c r="N723" s="1">
        <v>3.18105865333141</v>
      </c>
    </row>
    <row r="724" spans="1:14">
      <c r="A724" s="1">
        <v>723</v>
      </c>
      <c r="B724" s="1" t="s">
        <v>1976</v>
      </c>
      <c r="C724" s="1" t="s">
        <v>1977</v>
      </c>
      <c r="D724" s="5" t="s">
        <v>1978</v>
      </c>
      <c r="E724" s="1" t="s">
        <v>1976</v>
      </c>
      <c r="F724" s="7">
        <v>4</v>
      </c>
      <c r="G724" s="1">
        <v>4</v>
      </c>
      <c r="H724" s="1" t="s">
        <v>8</v>
      </c>
      <c r="I724" s="1" t="s">
        <v>8</v>
      </c>
      <c r="J724" s="1" t="s">
        <v>4</v>
      </c>
      <c r="K724" s="2">
        <v>3.1250001057685502E-5</v>
      </c>
      <c r="L724" s="2">
        <v>7.9238332986093997E-7</v>
      </c>
      <c r="M724" s="1">
        <v>-2.8115888469670801E-3</v>
      </c>
      <c r="N724" s="1">
        <v>3.24316914393563</v>
      </c>
    </row>
    <row r="725" spans="1:14">
      <c r="A725" s="1">
        <v>724</v>
      </c>
      <c r="B725" s="1" t="s">
        <v>1979</v>
      </c>
      <c r="C725" s="1" t="s">
        <v>1980</v>
      </c>
      <c r="D725" s="5" t="s">
        <v>1981</v>
      </c>
      <c r="E725" s="1" t="s">
        <v>2386</v>
      </c>
      <c r="F725" s="7">
        <v>4</v>
      </c>
      <c r="G725" s="1">
        <v>4</v>
      </c>
      <c r="H725" s="1" t="s">
        <v>8</v>
      </c>
      <c r="I725" s="1" t="s">
        <v>8</v>
      </c>
      <c r="J725" s="1" t="s">
        <v>180</v>
      </c>
      <c r="K725" s="2">
        <v>3.1249998101661899E-5</v>
      </c>
      <c r="L725" s="2">
        <v>4.6834365702381698E-6</v>
      </c>
      <c r="M725" s="1">
        <v>-2.3242046483417701E-2</v>
      </c>
      <c r="N725" s="1">
        <v>3.73891486899194</v>
      </c>
    </row>
    <row r="726" spans="1:14">
      <c r="A726" s="1">
        <v>725</v>
      </c>
      <c r="B726" s="1" t="s">
        <v>1982</v>
      </c>
      <c r="C726" s="1" t="s">
        <v>1983</v>
      </c>
      <c r="D726" s="5" t="s">
        <v>1984</v>
      </c>
      <c r="E726" s="1" t="s">
        <v>2387</v>
      </c>
      <c r="F726" s="7">
        <v>4</v>
      </c>
      <c r="G726" s="1">
        <v>9</v>
      </c>
      <c r="H726" s="1" t="s">
        <v>8</v>
      </c>
      <c r="I726" s="1" t="s">
        <v>22</v>
      </c>
      <c r="J726" s="1" t="s">
        <v>180</v>
      </c>
      <c r="K726" s="2">
        <v>3.1249996533424802E-5</v>
      </c>
      <c r="L726" s="2">
        <v>1.16590796403265E-7</v>
      </c>
      <c r="M726" s="1">
        <v>1.53921288100598E-2</v>
      </c>
      <c r="N726" s="1">
        <v>2.2699703520997199</v>
      </c>
    </row>
    <row r="727" spans="1:14">
      <c r="A727" s="1">
        <v>726</v>
      </c>
      <c r="B727" s="1" t="s">
        <v>1985</v>
      </c>
      <c r="C727" s="1" t="s">
        <v>1986</v>
      </c>
      <c r="D727" s="5" t="s">
        <v>1987</v>
      </c>
      <c r="E727" s="1" t="s">
        <v>1985</v>
      </c>
      <c r="F727" s="7">
        <v>5</v>
      </c>
      <c r="G727" s="1">
        <v>5</v>
      </c>
      <c r="H727" s="1" t="s">
        <v>8</v>
      </c>
      <c r="I727" s="1" t="s">
        <v>8</v>
      </c>
      <c r="J727" s="1" t="s">
        <v>4</v>
      </c>
      <c r="K727" s="2">
        <v>3.1249997982105597E-5</v>
      </c>
      <c r="L727" s="2">
        <v>1.67144591569489E-6</v>
      </c>
      <c r="M727" s="1">
        <v>4.06308079916613E-2</v>
      </c>
      <c r="N727" s="1">
        <v>3.3598520277616002</v>
      </c>
    </row>
    <row r="728" spans="1:14">
      <c r="A728" s="1">
        <v>727</v>
      </c>
      <c r="B728" s="1" t="s">
        <v>1988</v>
      </c>
      <c r="C728" s="1" t="s">
        <v>1989</v>
      </c>
      <c r="D728" s="5" t="s">
        <v>1990</v>
      </c>
      <c r="E728" s="1" t="s">
        <v>1988</v>
      </c>
      <c r="F728" s="7">
        <v>5</v>
      </c>
      <c r="G728" s="1">
        <v>4</v>
      </c>
      <c r="H728" s="1" t="s">
        <v>44</v>
      </c>
      <c r="I728" s="1" t="s">
        <v>44</v>
      </c>
      <c r="J728" s="1" t="s">
        <v>4</v>
      </c>
      <c r="K728" s="2">
        <v>3.1250008270549197E-5</v>
      </c>
      <c r="L728" s="2">
        <v>2.6487871632572501E-5</v>
      </c>
      <c r="M728" s="1">
        <v>-1.05698751145233E-3</v>
      </c>
      <c r="N728" s="1">
        <v>3.5714770954484201</v>
      </c>
    </row>
    <row r="729" spans="1:14">
      <c r="A729" s="1">
        <v>728</v>
      </c>
      <c r="B729" s="1" t="s">
        <v>1991</v>
      </c>
      <c r="C729" s="1" t="s">
        <v>1992</v>
      </c>
      <c r="D729" s="5" t="s">
        <v>1993</v>
      </c>
      <c r="E729" s="1" t="s">
        <v>1991</v>
      </c>
      <c r="F729" s="7">
        <v>6</v>
      </c>
      <c r="G729" s="1">
        <v>6</v>
      </c>
      <c r="H729" s="1" t="s">
        <v>8</v>
      </c>
      <c r="I729" s="1" t="s">
        <v>8</v>
      </c>
      <c r="J729" s="1" t="s">
        <v>4</v>
      </c>
      <c r="K729" s="2">
        <v>3.1250003052112803E-5</v>
      </c>
      <c r="L729" s="2">
        <v>7.5567244215933402E-6</v>
      </c>
      <c r="M729" s="1">
        <v>-1.46501511254815E-2</v>
      </c>
      <c r="N729" s="1">
        <v>3.27014136233048</v>
      </c>
    </row>
    <row r="730" spans="1:14">
      <c r="A730" s="1">
        <v>729</v>
      </c>
      <c r="B730" s="1" t="s">
        <v>1994</v>
      </c>
      <c r="C730" s="1" t="s">
        <v>1995</v>
      </c>
      <c r="D730" s="5" t="s">
        <v>1996</v>
      </c>
      <c r="E730" s="1" t="s">
        <v>1994</v>
      </c>
      <c r="F730" s="7">
        <v>7</v>
      </c>
      <c r="G730" s="1">
        <v>3</v>
      </c>
      <c r="H730" s="1" t="s">
        <v>8</v>
      </c>
      <c r="I730" s="1" t="s">
        <v>8</v>
      </c>
      <c r="J730" s="1" t="s">
        <v>4</v>
      </c>
      <c r="K730" s="2">
        <v>3.1250005716029898E-5</v>
      </c>
      <c r="L730" s="2">
        <v>2.12754939181667E-5</v>
      </c>
      <c r="M730" s="1">
        <v>-1.7889963870391701E-2</v>
      </c>
      <c r="N730" s="1">
        <v>3.5083199463017798</v>
      </c>
    </row>
    <row r="731" spans="1:14">
      <c r="A731" s="1">
        <v>730</v>
      </c>
      <c r="B731" s="1" t="s">
        <v>1997</v>
      </c>
      <c r="C731" s="1" t="s">
        <v>1998</v>
      </c>
      <c r="D731" s="5" t="s">
        <v>1999</v>
      </c>
      <c r="E731" s="1" t="s">
        <v>1997</v>
      </c>
      <c r="F731" s="7">
        <v>4</v>
      </c>
      <c r="G731" s="1">
        <v>7</v>
      </c>
      <c r="H731" s="1" t="s">
        <v>8</v>
      </c>
      <c r="I731" s="1" t="s">
        <v>8</v>
      </c>
      <c r="J731" s="1" t="s">
        <v>4</v>
      </c>
      <c r="K731" s="2">
        <v>3.12500072082577E-5</v>
      </c>
      <c r="L731" s="2">
        <v>2.6251336066095501E-5</v>
      </c>
      <c r="M731" s="1">
        <v>-1.63342265792145E-2</v>
      </c>
      <c r="N731" s="1">
        <v>3.4367768531555898</v>
      </c>
    </row>
    <row r="732" spans="1:14">
      <c r="A732" s="1">
        <v>731</v>
      </c>
      <c r="B732" s="1" t="s">
        <v>2000</v>
      </c>
      <c r="C732" s="1" t="s">
        <v>2001</v>
      </c>
      <c r="D732" s="5" t="s">
        <v>1583</v>
      </c>
      <c r="E732" s="1" t="s">
        <v>2000</v>
      </c>
      <c r="F732" s="7">
        <v>4</v>
      </c>
      <c r="G732" s="1">
        <v>3</v>
      </c>
      <c r="H732" s="1" t="s">
        <v>12</v>
      </c>
      <c r="I732" s="1" t="s">
        <v>12</v>
      </c>
      <c r="J732" s="1" t="s">
        <v>4</v>
      </c>
      <c r="K732" s="2">
        <v>3.1250014283244198E-5</v>
      </c>
      <c r="L732" s="2">
        <v>1.6181825277640198E-5</v>
      </c>
      <c r="M732" s="1">
        <v>-1.0663138576887801E-2</v>
      </c>
      <c r="N732" s="1">
        <v>3.74484088203867</v>
      </c>
    </row>
    <row r="733" spans="1:14">
      <c r="A733" s="1">
        <v>732</v>
      </c>
      <c r="B733" s="1" t="s">
        <v>2002</v>
      </c>
      <c r="C733" s="1" t="s">
        <v>2003</v>
      </c>
      <c r="D733" s="5" t="s">
        <v>2004</v>
      </c>
      <c r="E733" s="1" t="s">
        <v>2002</v>
      </c>
      <c r="F733" s="7">
        <v>4</v>
      </c>
      <c r="G733" s="1">
        <v>3</v>
      </c>
      <c r="H733" s="1" t="s">
        <v>113</v>
      </c>
      <c r="I733" s="1" t="s">
        <v>113</v>
      </c>
      <c r="J733" s="1" t="s">
        <v>4</v>
      </c>
      <c r="K733" s="2">
        <v>3.1250002060144902E-5</v>
      </c>
      <c r="L733" s="2">
        <v>2.1035769365137198E-6</v>
      </c>
      <c r="M733" s="1">
        <v>4.6038079254841997E-2</v>
      </c>
      <c r="N733" s="1">
        <v>3.32186505970598</v>
      </c>
    </row>
    <row r="734" spans="1:14">
      <c r="A734" s="1">
        <v>733</v>
      </c>
      <c r="B734" s="1" t="s">
        <v>2005</v>
      </c>
      <c r="C734" s="1" t="s">
        <v>2006</v>
      </c>
      <c r="D734" s="5" t="s">
        <v>2007</v>
      </c>
      <c r="E734" s="1" t="s">
        <v>2388</v>
      </c>
      <c r="F734" s="7">
        <v>7</v>
      </c>
      <c r="G734" s="1">
        <v>7</v>
      </c>
      <c r="H734" s="1" t="s">
        <v>123</v>
      </c>
      <c r="I734" s="1" t="s">
        <v>8</v>
      </c>
      <c r="J734" s="1" t="s">
        <v>180</v>
      </c>
      <c r="K734" s="2">
        <v>3.1250004052779997E-5</v>
      </c>
      <c r="L734" s="2">
        <v>1.2102546483534299E-6</v>
      </c>
      <c r="M734" s="1">
        <v>-1.8446261676359599E-2</v>
      </c>
      <c r="N734" s="1">
        <v>3.4140101170771699</v>
      </c>
    </row>
    <row r="735" spans="1:14">
      <c r="A735" s="1">
        <v>734</v>
      </c>
      <c r="B735" s="1" t="s">
        <v>2008</v>
      </c>
      <c r="C735" s="1" t="s">
        <v>2009</v>
      </c>
      <c r="D735" s="5" t="s">
        <v>2010</v>
      </c>
      <c r="E735" s="1" t="s">
        <v>2008</v>
      </c>
      <c r="F735" s="7">
        <v>4</v>
      </c>
      <c r="G735" s="1">
        <v>5</v>
      </c>
      <c r="H735" s="1" t="s">
        <v>8</v>
      </c>
      <c r="I735" s="1" t="s">
        <v>8</v>
      </c>
      <c r="J735" s="1" t="s">
        <v>4</v>
      </c>
      <c r="K735" s="2">
        <v>3.1250008192235397E-5</v>
      </c>
      <c r="L735" s="2">
        <v>3.05979987701324E-5</v>
      </c>
      <c r="M735" s="1">
        <v>1.0619863094643E-2</v>
      </c>
      <c r="N735" s="1">
        <v>3.2969685385410599</v>
      </c>
    </row>
    <row r="736" spans="1:14">
      <c r="A736" s="1">
        <v>735</v>
      </c>
      <c r="B736" s="1" t="s">
        <v>2011</v>
      </c>
      <c r="C736" s="1" t="s">
        <v>2012</v>
      </c>
      <c r="D736" s="5" t="s">
        <v>2013</v>
      </c>
      <c r="E736" s="1" t="s">
        <v>2011</v>
      </c>
      <c r="F736" s="7">
        <v>4</v>
      </c>
      <c r="G736" s="1">
        <v>7</v>
      </c>
      <c r="H736" s="1" t="s">
        <v>8</v>
      </c>
      <c r="I736" s="1" t="s">
        <v>8</v>
      </c>
      <c r="J736" s="1" t="s">
        <v>4</v>
      </c>
      <c r="K736" s="2">
        <v>3.1250015166501499E-5</v>
      </c>
      <c r="L736" s="2">
        <v>2.5259934116759099E-5</v>
      </c>
      <c r="M736" s="1">
        <v>-9.42656855599466E-4</v>
      </c>
      <c r="N736" s="1">
        <v>3.5522388926211499</v>
      </c>
    </row>
    <row r="737" spans="1:14">
      <c r="A737" s="1">
        <v>736</v>
      </c>
      <c r="B737" s="1" t="s">
        <v>2014</v>
      </c>
      <c r="C737" s="1" t="s">
        <v>2015</v>
      </c>
      <c r="D737" s="5" t="s">
        <v>722</v>
      </c>
      <c r="E737" s="1" t="s">
        <v>2014</v>
      </c>
      <c r="F737" s="7">
        <v>6</v>
      </c>
      <c r="G737" s="1">
        <v>5</v>
      </c>
      <c r="H737" s="1" t="s">
        <v>8</v>
      </c>
      <c r="I737" s="1" t="s">
        <v>8</v>
      </c>
      <c r="J737" s="1" t="s">
        <v>4</v>
      </c>
      <c r="K737" s="2">
        <v>3.1250000806577197E-5</v>
      </c>
      <c r="L737" s="2">
        <v>2.4431632067797499E-5</v>
      </c>
      <c r="M737" s="1">
        <v>-1.12190710712312E-2</v>
      </c>
      <c r="N737" s="1">
        <v>3.4693420882893999</v>
      </c>
    </row>
    <row r="738" spans="1:14">
      <c r="A738" s="1">
        <v>737</v>
      </c>
      <c r="B738" s="1" t="s">
        <v>2016</v>
      </c>
      <c r="C738" s="1" t="s">
        <v>2017</v>
      </c>
      <c r="D738" s="5" t="s">
        <v>2018</v>
      </c>
      <c r="E738" s="1" t="s">
        <v>2016</v>
      </c>
      <c r="F738" s="7">
        <v>5</v>
      </c>
      <c r="G738" s="1">
        <v>4</v>
      </c>
      <c r="H738" s="1" t="s">
        <v>8</v>
      </c>
      <c r="I738" s="1" t="s">
        <v>8</v>
      </c>
      <c r="J738" s="1" t="s">
        <v>4</v>
      </c>
      <c r="K738" s="2">
        <v>3.1250003648654797E-5</v>
      </c>
      <c r="L738" s="2">
        <v>1.0028596577873199E-6</v>
      </c>
      <c r="M738" s="1">
        <v>-3.1534070309264801E-3</v>
      </c>
      <c r="N738" s="1">
        <v>2.6670866687743602</v>
      </c>
    </row>
    <row r="739" spans="1:14">
      <c r="A739" s="1">
        <v>738</v>
      </c>
      <c r="B739" s="1" t="s">
        <v>2019</v>
      </c>
      <c r="C739" s="1" t="s">
        <v>2020</v>
      </c>
      <c r="D739" s="5" t="s">
        <v>1655</v>
      </c>
      <c r="E739" s="1" t="s">
        <v>2389</v>
      </c>
      <c r="F739" s="7">
        <v>4</v>
      </c>
      <c r="G739" s="1">
        <v>4</v>
      </c>
      <c r="H739" s="1" t="s">
        <v>8</v>
      </c>
      <c r="I739" s="1" t="s">
        <v>8</v>
      </c>
      <c r="J739" s="1" t="s">
        <v>180</v>
      </c>
      <c r="K739" s="2">
        <v>3.1250001487049498E-5</v>
      </c>
      <c r="L739" s="2">
        <v>1.00767796770868E-6</v>
      </c>
      <c r="M739" s="1">
        <v>1.22353587544239E-2</v>
      </c>
      <c r="N739" s="1">
        <v>3.6071608734581302</v>
      </c>
    </row>
    <row r="740" spans="1:14">
      <c r="A740" s="1">
        <v>739</v>
      </c>
      <c r="B740" s="1" t="s">
        <v>2021</v>
      </c>
      <c r="C740" s="1" t="s">
        <v>2022</v>
      </c>
      <c r="D740" s="5" t="s">
        <v>1583</v>
      </c>
      <c r="E740" s="1" t="s">
        <v>2021</v>
      </c>
      <c r="F740" s="7">
        <v>4</v>
      </c>
      <c r="G740" s="1">
        <v>3</v>
      </c>
      <c r="H740" s="1" t="s">
        <v>12</v>
      </c>
      <c r="I740" s="1" t="s">
        <v>12</v>
      </c>
      <c r="J740" s="1" t="s">
        <v>4</v>
      </c>
      <c r="K740" s="2">
        <v>3.1250002370101898E-5</v>
      </c>
      <c r="L740" s="2">
        <v>5.9176753341881097E-6</v>
      </c>
      <c r="M740" s="1">
        <v>6.35830874633258E-3</v>
      </c>
      <c r="N740" s="1">
        <v>3.7467550236253699</v>
      </c>
    </row>
    <row r="741" spans="1:14">
      <c r="A741" s="1">
        <v>740</v>
      </c>
      <c r="B741" s="1" t="s">
        <v>2023</v>
      </c>
      <c r="C741" s="1" t="s">
        <v>2024</v>
      </c>
      <c r="D741" s="5" t="s">
        <v>475</v>
      </c>
      <c r="E741" s="1" t="s">
        <v>2023</v>
      </c>
      <c r="F741" s="7">
        <v>4</v>
      </c>
      <c r="G741" s="1">
        <v>5</v>
      </c>
      <c r="H741" s="1" t="s">
        <v>8</v>
      </c>
      <c r="I741" s="1" t="s">
        <v>8</v>
      </c>
      <c r="J741" s="1" t="s">
        <v>4</v>
      </c>
      <c r="K741" s="2">
        <v>3.12500009574454E-5</v>
      </c>
      <c r="L741" s="2">
        <v>5.4481415914565003E-7</v>
      </c>
      <c r="M741" s="1">
        <v>3.6052319936459298E-3</v>
      </c>
      <c r="N741" s="1">
        <v>2.7020669495266501</v>
      </c>
    </row>
    <row r="742" spans="1:14">
      <c r="A742" s="1">
        <v>741</v>
      </c>
      <c r="B742" s="1" t="s">
        <v>2025</v>
      </c>
      <c r="C742" s="1" t="s">
        <v>2026</v>
      </c>
      <c r="D742" s="5" t="s">
        <v>2027</v>
      </c>
      <c r="E742" s="1" t="s">
        <v>2025</v>
      </c>
      <c r="F742" s="7">
        <v>4</v>
      </c>
      <c r="G742" s="1">
        <v>7</v>
      </c>
      <c r="H742" s="1" t="s">
        <v>8</v>
      </c>
      <c r="I742" s="1" t="s">
        <v>8</v>
      </c>
      <c r="J742" s="1" t="s">
        <v>4</v>
      </c>
      <c r="K742" s="2">
        <v>3.1249993422478697E-5</v>
      </c>
      <c r="L742" s="2">
        <v>2.8570215790171101E-5</v>
      </c>
      <c r="M742" s="1">
        <v>1.4385873765547701E-3</v>
      </c>
      <c r="N742" s="1">
        <v>3.7539161576664299</v>
      </c>
    </row>
    <row r="743" spans="1:14">
      <c r="A743" s="1">
        <v>742</v>
      </c>
      <c r="B743" s="1" t="s">
        <v>2028</v>
      </c>
      <c r="C743" s="1" t="s">
        <v>2029</v>
      </c>
      <c r="D743" s="5" t="s">
        <v>2030</v>
      </c>
      <c r="E743" s="1" t="s">
        <v>2031</v>
      </c>
      <c r="F743" s="7">
        <v>4</v>
      </c>
      <c r="G743" s="1">
        <v>5</v>
      </c>
      <c r="H743" s="1" t="s">
        <v>8</v>
      </c>
      <c r="I743" s="1" t="s">
        <v>8</v>
      </c>
      <c r="J743" s="1" t="s">
        <v>180</v>
      </c>
      <c r="K743" s="2">
        <v>3.12499981590784E-5</v>
      </c>
      <c r="L743" s="2">
        <v>2.9301392045110898E-7</v>
      </c>
      <c r="M743" s="1">
        <v>2.8846117018353799E-2</v>
      </c>
      <c r="N743" s="1">
        <v>2.84635329493016</v>
      </c>
    </row>
    <row r="744" spans="1:14">
      <c r="A744" s="1">
        <v>743</v>
      </c>
      <c r="B744" s="1" t="s">
        <v>2032</v>
      </c>
      <c r="C744" s="1" t="s">
        <v>2033</v>
      </c>
      <c r="D744" s="5" t="s">
        <v>2034</v>
      </c>
      <c r="E744" s="1" t="s">
        <v>2032</v>
      </c>
      <c r="F744" s="7">
        <v>6</v>
      </c>
      <c r="G744" s="1">
        <v>3</v>
      </c>
      <c r="H744" s="1" t="s">
        <v>8</v>
      </c>
      <c r="I744" s="1" t="s">
        <v>8</v>
      </c>
      <c r="J744" s="1" t="s">
        <v>4</v>
      </c>
      <c r="K744" s="2">
        <v>3.1250003746936098E-5</v>
      </c>
      <c r="L744" s="2">
        <v>2.54447601332492E-5</v>
      </c>
      <c r="M744" s="1">
        <v>2.5506400882534301E-2</v>
      </c>
      <c r="N744" s="1">
        <v>3.2978906640815602</v>
      </c>
    </row>
    <row r="745" spans="1:14">
      <c r="A745" s="1">
        <v>744</v>
      </c>
      <c r="B745" s="1" t="s">
        <v>2035</v>
      </c>
      <c r="C745" s="1" t="s">
        <v>2036</v>
      </c>
      <c r="D745" s="5" t="s">
        <v>712</v>
      </c>
      <c r="E745" s="1" t="s">
        <v>2035</v>
      </c>
      <c r="F745" s="7">
        <v>5</v>
      </c>
      <c r="G745" s="1">
        <v>6</v>
      </c>
      <c r="H745" s="1" t="s">
        <v>68</v>
      </c>
      <c r="I745" s="1" t="s">
        <v>68</v>
      </c>
      <c r="J745" s="1" t="s">
        <v>4</v>
      </c>
      <c r="K745" s="2">
        <v>3.1250011317920302E-5</v>
      </c>
      <c r="L745" s="2">
        <v>3.0820743908271497E-5</v>
      </c>
      <c r="M745" s="1">
        <v>-1.1685188459523399E-2</v>
      </c>
      <c r="N745" s="1">
        <v>2.81936739425994</v>
      </c>
    </row>
    <row r="746" spans="1:14">
      <c r="A746" s="1">
        <v>745</v>
      </c>
      <c r="B746" s="1" t="s">
        <v>2037</v>
      </c>
      <c r="C746" s="1" t="s">
        <v>2038</v>
      </c>
      <c r="D746" s="5" t="s">
        <v>2039</v>
      </c>
      <c r="E746" s="1" t="s">
        <v>2037</v>
      </c>
      <c r="F746" s="7">
        <v>9</v>
      </c>
      <c r="G746" s="1">
        <v>6</v>
      </c>
      <c r="H746" s="1" t="s">
        <v>98</v>
      </c>
      <c r="I746" s="1" t="s">
        <v>98</v>
      </c>
      <c r="J746" s="1" t="s">
        <v>4</v>
      </c>
      <c r="K746" s="2">
        <v>3.1250001387778598E-5</v>
      </c>
      <c r="L746" s="2">
        <v>3.0665256056014898E-5</v>
      </c>
      <c r="M746" s="1">
        <v>9.7922522935789402E-3</v>
      </c>
      <c r="N746" s="1">
        <v>2.63523205006108</v>
      </c>
    </row>
    <row r="747" spans="1:14">
      <c r="A747" s="1">
        <v>746</v>
      </c>
      <c r="B747" s="1" t="s">
        <v>2040</v>
      </c>
      <c r="C747" s="1" t="s">
        <v>2041</v>
      </c>
      <c r="D747" s="5" t="s">
        <v>2042</v>
      </c>
      <c r="E747" s="1" t="s">
        <v>2390</v>
      </c>
      <c r="F747" s="7">
        <v>4</v>
      </c>
      <c r="G747" s="1">
        <v>6</v>
      </c>
      <c r="H747" s="1" t="s">
        <v>3</v>
      </c>
      <c r="I747" s="1" t="s">
        <v>12</v>
      </c>
      <c r="J747" s="1" t="s">
        <v>180</v>
      </c>
      <c r="K747" s="2">
        <v>3.1249999282068102E-5</v>
      </c>
      <c r="L747" s="2">
        <v>5.4801210235933504E-7</v>
      </c>
      <c r="M747" s="1">
        <v>-4.7352700394554803E-2</v>
      </c>
      <c r="N747" s="1">
        <v>3.99543552891932</v>
      </c>
    </row>
    <row r="748" spans="1:14">
      <c r="A748" s="1">
        <v>747</v>
      </c>
      <c r="B748" s="1" t="s">
        <v>2043</v>
      </c>
      <c r="C748" s="1" t="s">
        <v>2044</v>
      </c>
      <c r="D748" s="5" t="s">
        <v>2045</v>
      </c>
      <c r="E748" s="1" t="s">
        <v>2043</v>
      </c>
      <c r="F748" s="7">
        <v>5</v>
      </c>
      <c r="G748" s="1">
        <v>8</v>
      </c>
      <c r="H748" s="1" t="s">
        <v>68</v>
      </c>
      <c r="I748" s="1" t="s">
        <v>68</v>
      </c>
      <c r="J748" s="1" t="s">
        <v>4</v>
      </c>
      <c r="K748" s="2">
        <v>3.1250001220831901E-5</v>
      </c>
      <c r="L748" s="2">
        <v>3.0778900109622697E-5</v>
      </c>
      <c r="M748" s="1">
        <v>1.8931832357488E-2</v>
      </c>
      <c r="N748" s="1">
        <v>2.77222581157279</v>
      </c>
    </row>
    <row r="749" spans="1:14">
      <c r="A749" s="1">
        <v>748</v>
      </c>
      <c r="B749" s="1" t="s">
        <v>2046</v>
      </c>
      <c r="C749" s="1" t="s">
        <v>2047</v>
      </c>
      <c r="D749" s="5" t="s">
        <v>2048</v>
      </c>
      <c r="E749" s="1" t="s">
        <v>2046</v>
      </c>
      <c r="F749" s="7">
        <v>6</v>
      </c>
      <c r="G749" s="1">
        <v>5</v>
      </c>
      <c r="H749" s="1" t="s">
        <v>98</v>
      </c>
      <c r="I749" s="1" t="s">
        <v>98</v>
      </c>
      <c r="J749" s="1" t="s">
        <v>4</v>
      </c>
      <c r="K749" s="2">
        <v>3.1250003107084801E-5</v>
      </c>
      <c r="L749" s="2">
        <v>3.12435032645141E-5</v>
      </c>
      <c r="M749" s="1">
        <v>3.0975895639748698E-3</v>
      </c>
      <c r="N749" s="1">
        <v>3.10727247640791</v>
      </c>
    </row>
    <row r="750" spans="1:14">
      <c r="A750" s="1">
        <v>749</v>
      </c>
      <c r="B750" s="1" t="s">
        <v>2049</v>
      </c>
      <c r="C750" s="1" t="s">
        <v>2050</v>
      </c>
      <c r="D750" s="5" t="s">
        <v>2051</v>
      </c>
      <c r="E750" s="1" t="s">
        <v>2049</v>
      </c>
      <c r="F750" s="7">
        <v>4</v>
      </c>
      <c r="G750" s="1">
        <v>7</v>
      </c>
      <c r="H750" s="1" t="s">
        <v>8</v>
      </c>
      <c r="I750" s="1" t="s">
        <v>8</v>
      </c>
      <c r="J750" s="1" t="s">
        <v>4</v>
      </c>
      <c r="K750" s="2">
        <v>3.1250008071838297E-5</v>
      </c>
      <c r="L750" s="2">
        <v>3.0218960328553201E-5</v>
      </c>
      <c r="M750" s="1">
        <v>3.05408203810166E-2</v>
      </c>
      <c r="N750" s="1">
        <v>3.7033907991388002</v>
      </c>
    </row>
    <row r="751" spans="1:14">
      <c r="A751" s="1">
        <v>750</v>
      </c>
      <c r="B751" s="1" t="s">
        <v>2052</v>
      </c>
      <c r="C751" s="1" t="s">
        <v>2053</v>
      </c>
      <c r="D751" s="5" t="s">
        <v>2054</v>
      </c>
      <c r="E751" s="1" t="s">
        <v>2052</v>
      </c>
      <c r="F751" s="7">
        <v>4</v>
      </c>
      <c r="G751" s="1">
        <v>5</v>
      </c>
      <c r="H751" s="1" t="s">
        <v>98</v>
      </c>
      <c r="I751" s="1" t="s">
        <v>98</v>
      </c>
      <c r="J751" s="1" t="s">
        <v>4</v>
      </c>
      <c r="K751" s="2">
        <v>3.1249997946791899E-5</v>
      </c>
      <c r="L751" s="2">
        <v>1.0796354426034301E-5</v>
      </c>
      <c r="M751" s="1">
        <v>3.7470062402498098E-3</v>
      </c>
      <c r="N751" s="1">
        <v>2.8376216468106601</v>
      </c>
    </row>
    <row r="752" spans="1:14">
      <c r="A752" s="1">
        <v>751</v>
      </c>
      <c r="B752" s="1" t="s">
        <v>2055</v>
      </c>
      <c r="C752" s="1" t="s">
        <v>2056</v>
      </c>
      <c r="D752" s="5" t="s">
        <v>2057</v>
      </c>
      <c r="E752" s="1" t="s">
        <v>2055</v>
      </c>
      <c r="F752" s="7">
        <v>7</v>
      </c>
      <c r="G752" s="1">
        <v>7</v>
      </c>
      <c r="H752" s="1" t="s">
        <v>8</v>
      </c>
      <c r="I752" s="1" t="s">
        <v>8</v>
      </c>
      <c r="J752" s="1" t="s">
        <v>4</v>
      </c>
      <c r="K752" s="2">
        <v>3.1249999000025998E-5</v>
      </c>
      <c r="L752" s="2">
        <v>2.72188494830826E-5</v>
      </c>
      <c r="M752" s="1">
        <v>-9.8951548132184507E-3</v>
      </c>
      <c r="N752" s="1">
        <v>3.1902156802836799</v>
      </c>
    </row>
    <row r="753" spans="1:14">
      <c r="A753" s="1">
        <v>752</v>
      </c>
      <c r="B753" s="1" t="s">
        <v>2058</v>
      </c>
      <c r="C753" s="1" t="s">
        <v>2059</v>
      </c>
      <c r="D753" s="5" t="s">
        <v>2060</v>
      </c>
      <c r="E753" s="1" t="s">
        <v>2058</v>
      </c>
      <c r="F753" s="7">
        <v>6</v>
      </c>
      <c r="G753" s="1">
        <v>4</v>
      </c>
      <c r="H753" s="1" t="s">
        <v>8</v>
      </c>
      <c r="I753" s="1" t="s">
        <v>8</v>
      </c>
      <c r="J753" s="1" t="s">
        <v>4</v>
      </c>
      <c r="K753" s="2">
        <v>3.1250006081317803E-5</v>
      </c>
      <c r="L753" s="2">
        <v>2.3961114436251001E-6</v>
      </c>
      <c r="M753" s="1">
        <v>2.4184558611537399E-2</v>
      </c>
      <c r="N753" s="1">
        <v>3.2656080827484399</v>
      </c>
    </row>
    <row r="754" spans="1:14">
      <c r="A754" s="1">
        <v>753</v>
      </c>
      <c r="B754" s="1" t="s">
        <v>2061</v>
      </c>
      <c r="C754" s="1" t="s">
        <v>2062</v>
      </c>
      <c r="D754" s="5" t="s">
        <v>257</v>
      </c>
      <c r="E754" s="1" t="s">
        <v>2061</v>
      </c>
      <c r="F754" s="7">
        <v>4</v>
      </c>
      <c r="G754" s="1">
        <v>3</v>
      </c>
      <c r="H754" s="1" t="s">
        <v>12</v>
      </c>
      <c r="I754" s="1" t="s">
        <v>12</v>
      </c>
      <c r="J754" s="1" t="s">
        <v>4</v>
      </c>
      <c r="K754" s="2">
        <v>3.1250007615760399E-5</v>
      </c>
      <c r="L754" s="2">
        <v>2.8289007983781099E-5</v>
      </c>
      <c r="M754" s="1">
        <v>8.9422124013793704E-3</v>
      </c>
      <c r="N754" s="1">
        <v>3.6926979776195998</v>
      </c>
    </row>
    <row r="755" spans="1:14">
      <c r="A755" s="1">
        <v>754</v>
      </c>
      <c r="B755" s="1" t="s">
        <v>2063</v>
      </c>
      <c r="C755" s="1" t="s">
        <v>2064</v>
      </c>
      <c r="D755" s="5" t="s">
        <v>1732</v>
      </c>
      <c r="E755" s="1" t="s">
        <v>2063</v>
      </c>
      <c r="F755" s="7">
        <v>4</v>
      </c>
      <c r="G755" s="1">
        <v>5</v>
      </c>
      <c r="H755" s="1" t="s">
        <v>8</v>
      </c>
      <c r="I755" s="1" t="s">
        <v>8</v>
      </c>
      <c r="J755" s="1" t="s">
        <v>4</v>
      </c>
      <c r="K755" s="2">
        <v>3.1250006008440897E-5</v>
      </c>
      <c r="L755" s="2">
        <v>1.31305657952783E-6</v>
      </c>
      <c r="M755" s="1">
        <v>-1.2066347169323401E-2</v>
      </c>
      <c r="N755" s="1">
        <v>2.4707315227322799</v>
      </c>
    </row>
    <row r="756" spans="1:14">
      <c r="A756" s="1">
        <v>755</v>
      </c>
      <c r="B756" s="1" t="s">
        <v>2065</v>
      </c>
      <c r="C756" s="1" t="s">
        <v>2066</v>
      </c>
      <c r="D756" s="5" t="s">
        <v>269</v>
      </c>
      <c r="E756" s="1" t="s">
        <v>2065</v>
      </c>
      <c r="F756" s="7">
        <v>4</v>
      </c>
      <c r="G756" s="1">
        <v>4</v>
      </c>
      <c r="H756" s="1" t="s">
        <v>68</v>
      </c>
      <c r="I756" s="1" t="s">
        <v>68</v>
      </c>
      <c r="J756" s="1" t="s">
        <v>4</v>
      </c>
      <c r="K756" s="2">
        <v>3.1250007438900598E-5</v>
      </c>
      <c r="L756" s="2">
        <v>2.8949843685900799E-5</v>
      </c>
      <c r="M756" s="1">
        <v>1.62038399408857E-2</v>
      </c>
      <c r="N756" s="1">
        <v>3.5167916630685099</v>
      </c>
    </row>
    <row r="757" spans="1:14">
      <c r="A757" s="1">
        <v>756</v>
      </c>
      <c r="B757" s="1" t="s">
        <v>2067</v>
      </c>
      <c r="C757" s="1" t="s">
        <v>2068</v>
      </c>
      <c r="D757" s="5" t="s">
        <v>2069</v>
      </c>
      <c r="E757" s="1" t="s">
        <v>2067</v>
      </c>
      <c r="F757" s="7">
        <v>4</v>
      </c>
      <c r="G757" s="1">
        <v>6</v>
      </c>
      <c r="H757" s="1" t="s">
        <v>98</v>
      </c>
      <c r="I757" s="1" t="s">
        <v>98</v>
      </c>
      <c r="J757" s="1" t="s">
        <v>4</v>
      </c>
      <c r="K757" s="2">
        <v>3.1250007389933602E-5</v>
      </c>
      <c r="L757" s="2">
        <v>3.0490296370046801E-5</v>
      </c>
      <c r="M757" s="1">
        <v>-1.7858924798023399E-2</v>
      </c>
      <c r="N757" s="1">
        <v>2.6538362943118501</v>
      </c>
    </row>
    <row r="758" spans="1:14">
      <c r="A758" s="1">
        <v>757</v>
      </c>
      <c r="B758" s="1" t="s">
        <v>2070</v>
      </c>
      <c r="C758" s="1" t="s">
        <v>2071</v>
      </c>
      <c r="D758" s="5" t="s">
        <v>913</v>
      </c>
      <c r="E758" s="1" t="s">
        <v>2070</v>
      </c>
      <c r="F758" s="7">
        <v>4</v>
      </c>
      <c r="G758" s="1">
        <v>4</v>
      </c>
      <c r="H758" s="1" t="s">
        <v>8</v>
      </c>
      <c r="I758" s="1" t="s">
        <v>8</v>
      </c>
      <c r="J758" s="1" t="s">
        <v>4</v>
      </c>
      <c r="K758" s="2">
        <v>3.12500075936916E-5</v>
      </c>
      <c r="L758" s="2">
        <v>7.1032432804260596E-6</v>
      </c>
      <c r="M758" s="1">
        <v>2.6390517219326101E-2</v>
      </c>
      <c r="N758" s="1">
        <v>3.28647957898285</v>
      </c>
    </row>
    <row r="759" spans="1:14">
      <c r="A759" s="1">
        <v>758</v>
      </c>
      <c r="B759" s="1" t="s">
        <v>2072</v>
      </c>
      <c r="C759" s="1" t="s">
        <v>2073</v>
      </c>
      <c r="D759" s="5" t="s">
        <v>2074</v>
      </c>
      <c r="E759" s="1" t="s">
        <v>2072</v>
      </c>
      <c r="F759" s="7">
        <v>4</v>
      </c>
      <c r="G759" s="1">
        <v>8</v>
      </c>
      <c r="H759" s="1" t="s">
        <v>8</v>
      </c>
      <c r="I759" s="1" t="s">
        <v>8</v>
      </c>
      <c r="J759" s="1" t="s">
        <v>4</v>
      </c>
      <c r="K759" s="2">
        <v>3.1249999848201803E-5</v>
      </c>
      <c r="L759" s="2">
        <v>3.1121150123634602E-5</v>
      </c>
      <c r="M759" s="1">
        <v>-2.2289501118848399E-3</v>
      </c>
      <c r="N759" s="1">
        <v>2.1987461192715099</v>
      </c>
    </row>
    <row r="760" spans="1:14">
      <c r="A760" s="1">
        <v>759</v>
      </c>
      <c r="B760" s="1" t="s">
        <v>2075</v>
      </c>
      <c r="C760" s="1" t="s">
        <v>2076</v>
      </c>
      <c r="D760" s="5" t="s">
        <v>936</v>
      </c>
      <c r="E760" s="1" t="s">
        <v>2075</v>
      </c>
      <c r="F760" s="7">
        <v>4</v>
      </c>
      <c r="G760" s="1">
        <v>4</v>
      </c>
      <c r="H760" s="1" t="s">
        <v>8</v>
      </c>
      <c r="I760" s="1" t="s">
        <v>8</v>
      </c>
      <c r="J760" s="1" t="s">
        <v>4</v>
      </c>
      <c r="K760" s="2">
        <v>3.1250001864561898E-5</v>
      </c>
      <c r="L760" s="2">
        <v>2.4477791016354499E-5</v>
      </c>
      <c r="M760" s="1">
        <v>3.04634171813233E-2</v>
      </c>
      <c r="N760" s="1">
        <v>3.2721602074324898</v>
      </c>
    </row>
    <row r="761" spans="1:14">
      <c r="A761" s="1">
        <v>760</v>
      </c>
      <c r="B761" s="1" t="s">
        <v>2077</v>
      </c>
      <c r="C761" s="1" t="s">
        <v>2078</v>
      </c>
      <c r="D761" s="5" t="s">
        <v>28</v>
      </c>
      <c r="E761" s="1" t="s">
        <v>2077</v>
      </c>
      <c r="F761" s="7">
        <v>4</v>
      </c>
      <c r="G761" s="1">
        <v>3</v>
      </c>
      <c r="H761" s="1" t="s">
        <v>8</v>
      </c>
      <c r="I761" s="1" t="s">
        <v>8</v>
      </c>
      <c r="J761" s="1" t="s">
        <v>4</v>
      </c>
      <c r="K761" s="2">
        <v>3.1249999923809401E-5</v>
      </c>
      <c r="L761" s="2">
        <v>6.2590297469664797E-7</v>
      </c>
      <c r="M761" s="1">
        <v>-1.02336117881378E-2</v>
      </c>
      <c r="N761" s="1">
        <v>3.41217058160312</v>
      </c>
    </row>
    <row r="762" spans="1:14">
      <c r="A762" s="1">
        <v>761</v>
      </c>
      <c r="B762" s="1" t="s">
        <v>2079</v>
      </c>
      <c r="C762" s="1" t="s">
        <v>2080</v>
      </c>
      <c r="D762" s="5" t="s">
        <v>2081</v>
      </c>
      <c r="E762" s="1" t="s">
        <v>2079</v>
      </c>
      <c r="F762" s="7">
        <v>4</v>
      </c>
      <c r="G762" s="1">
        <v>5</v>
      </c>
      <c r="H762" s="1" t="s">
        <v>8</v>
      </c>
      <c r="I762" s="1" t="s">
        <v>8</v>
      </c>
      <c r="J762" s="1" t="s">
        <v>4</v>
      </c>
      <c r="K762" s="2">
        <v>3.12500011818771E-5</v>
      </c>
      <c r="L762" s="2">
        <v>3.1195078939593003E-5</v>
      </c>
      <c r="M762" s="1">
        <v>1.0214607544597199E-2</v>
      </c>
      <c r="N762" s="1">
        <v>2.1381999845678301</v>
      </c>
    </row>
    <row r="763" spans="1:14">
      <c r="A763" s="1">
        <v>762</v>
      </c>
      <c r="B763" s="1" t="s">
        <v>2082</v>
      </c>
      <c r="C763" s="1" t="s">
        <v>2083</v>
      </c>
      <c r="D763" s="5" t="s">
        <v>94</v>
      </c>
      <c r="E763" s="1" t="s">
        <v>2391</v>
      </c>
      <c r="F763" s="7">
        <v>4</v>
      </c>
      <c r="G763" s="1">
        <v>4</v>
      </c>
      <c r="H763" s="1" t="s">
        <v>8</v>
      </c>
      <c r="I763" s="1" t="s">
        <v>8</v>
      </c>
      <c r="J763" s="1" t="s">
        <v>180</v>
      </c>
      <c r="K763" s="2">
        <v>3.1249998663020401E-5</v>
      </c>
      <c r="L763" s="2">
        <v>2.0504356784289302E-6</v>
      </c>
      <c r="M763" s="1">
        <v>-2.6537495767229302E-3</v>
      </c>
      <c r="N763" s="1">
        <v>3.6275666915889202</v>
      </c>
    </row>
    <row r="764" spans="1:14">
      <c r="A764" s="1">
        <v>763</v>
      </c>
      <c r="B764" s="1" t="s">
        <v>2084</v>
      </c>
      <c r="C764" s="1" t="s">
        <v>2085</v>
      </c>
      <c r="D764" s="5" t="s">
        <v>2086</v>
      </c>
      <c r="E764" s="1" t="s">
        <v>2084</v>
      </c>
      <c r="F764" s="7">
        <v>6</v>
      </c>
      <c r="G764" s="1">
        <v>6</v>
      </c>
      <c r="H764" s="1" t="s">
        <v>8</v>
      </c>
      <c r="I764" s="1" t="s">
        <v>8</v>
      </c>
      <c r="J764" s="1" t="s">
        <v>4</v>
      </c>
      <c r="K764" s="2">
        <v>3.1250007835624701E-5</v>
      </c>
      <c r="L764" s="2">
        <v>5.7790810021193399E-6</v>
      </c>
      <c r="M764" s="1">
        <v>4.3704012049630502E-2</v>
      </c>
      <c r="N764" s="1">
        <v>3.4231887679245498</v>
      </c>
    </row>
    <row r="765" spans="1:14">
      <c r="A765" s="1">
        <v>764</v>
      </c>
      <c r="B765" s="1" t="s">
        <v>2087</v>
      </c>
      <c r="C765" s="1" t="s">
        <v>2088</v>
      </c>
      <c r="D765" s="5" t="s">
        <v>370</v>
      </c>
      <c r="E765" s="1" t="s">
        <v>2392</v>
      </c>
      <c r="F765" s="7">
        <v>4</v>
      </c>
      <c r="G765" s="1">
        <v>5</v>
      </c>
      <c r="H765" s="1" t="s">
        <v>8</v>
      </c>
      <c r="I765" s="1" t="s">
        <v>22</v>
      </c>
      <c r="J765" s="1" t="s">
        <v>180</v>
      </c>
      <c r="K765" s="2">
        <v>3.1250000776587698E-5</v>
      </c>
      <c r="L765" s="2">
        <v>2.3298970081997999E-6</v>
      </c>
      <c r="M765" s="1">
        <v>-2.4908863351118499E-2</v>
      </c>
      <c r="N765" s="1">
        <v>3.3752847003782498</v>
      </c>
    </row>
    <row r="766" spans="1:14">
      <c r="A766" s="1">
        <v>765</v>
      </c>
      <c r="B766" s="1" t="s">
        <v>2089</v>
      </c>
      <c r="C766" s="1" t="s">
        <v>2090</v>
      </c>
      <c r="D766" s="5" t="s">
        <v>2091</v>
      </c>
      <c r="E766" s="1" t="s">
        <v>2089</v>
      </c>
      <c r="F766" s="7">
        <v>6</v>
      </c>
      <c r="G766" s="1">
        <v>3</v>
      </c>
      <c r="H766" s="1" t="s">
        <v>8</v>
      </c>
      <c r="I766" s="1" t="s">
        <v>8</v>
      </c>
      <c r="J766" s="1" t="s">
        <v>4</v>
      </c>
      <c r="K766" s="2">
        <v>3.12500114655496E-5</v>
      </c>
      <c r="L766" s="2">
        <v>2.0831066356890602E-5</v>
      </c>
      <c r="M766" s="1">
        <v>-8.5918868684720096E-3</v>
      </c>
      <c r="N766" s="1">
        <v>3.4825676407717001</v>
      </c>
    </row>
    <row r="767" spans="1:14">
      <c r="A767" s="1">
        <v>766</v>
      </c>
      <c r="B767" s="1" t="s">
        <v>2092</v>
      </c>
      <c r="C767" s="1" t="s">
        <v>2093</v>
      </c>
      <c r="D767" s="5" t="s">
        <v>2094</v>
      </c>
      <c r="E767" s="1" t="s">
        <v>2393</v>
      </c>
      <c r="F767" s="7">
        <v>5</v>
      </c>
      <c r="G767" s="1">
        <v>9</v>
      </c>
      <c r="H767" s="1" t="s">
        <v>22</v>
      </c>
      <c r="I767" s="1" t="s">
        <v>22</v>
      </c>
      <c r="J767" s="1" t="s">
        <v>180</v>
      </c>
      <c r="K767" s="2">
        <v>3.1250002435228499E-5</v>
      </c>
      <c r="L767" s="2">
        <v>3.7311007521862798E-6</v>
      </c>
      <c r="M767" s="1">
        <v>-1.1888117066334301E-3</v>
      </c>
      <c r="N767" s="1">
        <v>3.6940867222508298</v>
      </c>
    </row>
    <row r="768" spans="1:14">
      <c r="A768" s="1">
        <v>767</v>
      </c>
      <c r="B768" s="1" t="s">
        <v>2095</v>
      </c>
      <c r="C768" s="1" t="s">
        <v>2096</v>
      </c>
      <c r="D768" s="5" t="s">
        <v>1255</v>
      </c>
      <c r="E768" s="1" t="s">
        <v>2095</v>
      </c>
      <c r="F768" s="7">
        <v>5</v>
      </c>
      <c r="G768" s="1">
        <v>5</v>
      </c>
      <c r="H768" s="1" t="s">
        <v>3</v>
      </c>
      <c r="I768" s="1" t="s">
        <v>3</v>
      </c>
      <c r="J768" s="1" t="s">
        <v>4</v>
      </c>
      <c r="K768" s="2">
        <v>3.1250001099207897E-5</v>
      </c>
      <c r="L768" s="2">
        <v>1.1874148280061E-6</v>
      </c>
      <c r="M768" s="1">
        <v>3.99918119382007E-2</v>
      </c>
      <c r="N768" s="1">
        <v>3.6474943620295002</v>
      </c>
    </row>
    <row r="769" spans="1:14">
      <c r="A769" s="1">
        <v>768</v>
      </c>
      <c r="B769" s="1" t="s">
        <v>2097</v>
      </c>
      <c r="C769" s="1" t="s">
        <v>2098</v>
      </c>
      <c r="D769" s="5" t="s">
        <v>1322</v>
      </c>
      <c r="E769" s="1" t="s">
        <v>2099</v>
      </c>
      <c r="F769" s="7">
        <v>4</v>
      </c>
      <c r="G769" s="1">
        <v>3</v>
      </c>
      <c r="H769" s="1" t="s">
        <v>8</v>
      </c>
      <c r="I769" s="1" t="s">
        <v>22</v>
      </c>
      <c r="J769" s="1" t="s">
        <v>180</v>
      </c>
      <c r="K769" s="2">
        <v>3.1250013163758197E-5</v>
      </c>
      <c r="L769" s="2">
        <v>8.1787417369547094E-6</v>
      </c>
      <c r="M769" s="1">
        <v>-2.5521399520275798E-2</v>
      </c>
      <c r="N769" s="1">
        <v>3.5953476803433002</v>
      </c>
    </row>
    <row r="770" spans="1:14">
      <c r="A770" s="1">
        <v>769</v>
      </c>
      <c r="B770" s="1" t="s">
        <v>2100</v>
      </c>
      <c r="C770" s="1" t="s">
        <v>2101</v>
      </c>
      <c r="D770" s="5" t="s">
        <v>2102</v>
      </c>
      <c r="E770" s="1" t="s">
        <v>2103</v>
      </c>
      <c r="F770" s="7">
        <v>4</v>
      </c>
      <c r="G770" s="1">
        <v>6</v>
      </c>
      <c r="H770" s="1" t="s">
        <v>8</v>
      </c>
      <c r="I770" s="1" t="s">
        <v>8</v>
      </c>
      <c r="J770" s="1" t="s">
        <v>180</v>
      </c>
      <c r="K770" s="2">
        <v>3.1249998280913098E-5</v>
      </c>
      <c r="L770" s="2">
        <v>1.9389986123297801E-7</v>
      </c>
      <c r="M770" s="1">
        <v>-2.6070673974267301E-2</v>
      </c>
      <c r="N770" s="1">
        <v>3.19297029882931</v>
      </c>
    </row>
    <row r="771" spans="1:14">
      <c r="A771" s="1">
        <v>770</v>
      </c>
      <c r="B771" s="1" t="s">
        <v>2104</v>
      </c>
      <c r="C771" s="1" t="s">
        <v>2105</v>
      </c>
      <c r="D771" s="5" t="s">
        <v>2106</v>
      </c>
      <c r="E771" s="1" t="s">
        <v>2104</v>
      </c>
      <c r="F771" s="7">
        <v>6</v>
      </c>
      <c r="G771" s="1">
        <v>4</v>
      </c>
      <c r="H771" s="1" t="s">
        <v>113</v>
      </c>
      <c r="I771" s="1" t="s">
        <v>113</v>
      </c>
      <c r="J771" s="1" t="s">
        <v>4</v>
      </c>
      <c r="K771" s="2">
        <v>3.1249992788328603E-5</v>
      </c>
      <c r="L771" s="2">
        <v>1.8135554628617201E-5</v>
      </c>
      <c r="M771" s="1">
        <v>1.1591253582182E-2</v>
      </c>
      <c r="N771" s="1">
        <v>3.3721548861563702</v>
      </c>
    </row>
    <row r="772" spans="1:14">
      <c r="A772" s="1">
        <v>771</v>
      </c>
      <c r="B772" s="1" t="s">
        <v>2107</v>
      </c>
      <c r="C772" s="1" t="s">
        <v>2108</v>
      </c>
      <c r="D772" s="5" t="s">
        <v>2109</v>
      </c>
      <c r="E772" s="1" t="s">
        <v>2107</v>
      </c>
      <c r="F772" s="7">
        <v>4</v>
      </c>
      <c r="G772" s="1">
        <v>4</v>
      </c>
      <c r="H772" s="1" t="s">
        <v>8</v>
      </c>
      <c r="I772" s="1" t="s">
        <v>8</v>
      </c>
      <c r="J772" s="1" t="s">
        <v>4</v>
      </c>
      <c r="K772" s="2">
        <v>3.1250004205912698E-5</v>
      </c>
      <c r="L772" s="2">
        <v>6.0345345603272397E-6</v>
      </c>
      <c r="M772" s="1">
        <v>8.3140706989297507E-3</v>
      </c>
      <c r="N772" s="1">
        <v>3.3146665202819499</v>
      </c>
    </row>
    <row r="773" spans="1:14">
      <c r="A773" s="1">
        <v>772</v>
      </c>
      <c r="B773" s="1" t="s">
        <v>2110</v>
      </c>
      <c r="C773" s="1" t="s">
        <v>2111</v>
      </c>
      <c r="D773" s="5" t="s">
        <v>2112</v>
      </c>
      <c r="E773" s="1" t="s">
        <v>2110</v>
      </c>
      <c r="F773" s="7">
        <v>4</v>
      </c>
      <c r="G773" s="1">
        <v>4</v>
      </c>
      <c r="H773" s="1" t="s">
        <v>68</v>
      </c>
      <c r="I773" s="1" t="s">
        <v>68</v>
      </c>
      <c r="J773" s="1" t="s">
        <v>4</v>
      </c>
      <c r="K773" s="2">
        <v>3.1250006099413001E-5</v>
      </c>
      <c r="L773" s="2">
        <v>2.5426261826413002E-5</v>
      </c>
      <c r="M773" s="1">
        <v>1.6506257706788902E-2</v>
      </c>
      <c r="N773" s="1">
        <v>3.3762658920717201</v>
      </c>
    </row>
    <row r="774" spans="1:14">
      <c r="A774" s="1">
        <v>773</v>
      </c>
      <c r="B774" s="1" t="s">
        <v>2113</v>
      </c>
      <c r="C774" s="1" t="s">
        <v>2114</v>
      </c>
      <c r="D774" s="5" t="s">
        <v>2115</v>
      </c>
      <c r="E774" s="1" t="s">
        <v>2394</v>
      </c>
      <c r="F774" s="7">
        <v>4</v>
      </c>
      <c r="G774" s="1">
        <v>4</v>
      </c>
      <c r="H774" s="1" t="s">
        <v>68</v>
      </c>
      <c r="I774" s="1" t="s">
        <v>68</v>
      </c>
      <c r="J774" s="1" t="s">
        <v>180</v>
      </c>
      <c r="K774" s="2">
        <v>3.1250002601268397E-5</v>
      </c>
      <c r="L774" s="2">
        <v>1.29706551575828E-6</v>
      </c>
      <c r="M774" s="1">
        <v>6.5621118055378897E-3</v>
      </c>
      <c r="N774" s="1">
        <v>3.88809255680111</v>
      </c>
    </row>
    <row r="775" spans="1:14">
      <c r="A775" s="1">
        <v>774</v>
      </c>
      <c r="B775" s="1" t="s">
        <v>2116</v>
      </c>
      <c r="C775" s="1" t="s">
        <v>2117</v>
      </c>
      <c r="D775" s="5" t="s">
        <v>580</v>
      </c>
      <c r="E775" s="1" t="s">
        <v>2395</v>
      </c>
      <c r="F775" s="7">
        <v>4</v>
      </c>
      <c r="G775" s="1">
        <v>4</v>
      </c>
      <c r="H775" s="1" t="s">
        <v>8</v>
      </c>
      <c r="I775" s="1" t="s">
        <v>8</v>
      </c>
      <c r="J775" s="1" t="s">
        <v>180</v>
      </c>
      <c r="K775" s="2">
        <v>3.12500009454489E-5</v>
      </c>
      <c r="L775" s="2">
        <v>4.9986756351109799E-6</v>
      </c>
      <c r="M775" s="1">
        <v>-5.6692229600088196E-3</v>
      </c>
      <c r="N775" s="1">
        <v>3.7131251792980402</v>
      </c>
    </row>
    <row r="776" spans="1:14">
      <c r="A776" s="1">
        <v>775</v>
      </c>
      <c r="B776" s="1" t="s">
        <v>2118</v>
      </c>
      <c r="C776" s="1" t="s">
        <v>2119</v>
      </c>
      <c r="D776" s="5" t="s">
        <v>2094</v>
      </c>
      <c r="E776" s="1" t="s">
        <v>2120</v>
      </c>
      <c r="F776" s="7">
        <v>4</v>
      </c>
      <c r="G776" s="1">
        <v>9</v>
      </c>
      <c r="H776" s="1" t="s">
        <v>22</v>
      </c>
      <c r="I776" s="1" t="s">
        <v>12</v>
      </c>
      <c r="J776" s="1" t="s">
        <v>180</v>
      </c>
      <c r="K776" s="2">
        <v>3.12500043344882E-5</v>
      </c>
      <c r="L776" s="2">
        <v>1.39718081920874E-5</v>
      </c>
      <c r="M776" s="1">
        <v>-1.19249412657467E-2</v>
      </c>
      <c r="N776" s="1">
        <v>3.1014643642735198</v>
      </c>
    </row>
    <row r="777" spans="1:14">
      <c r="A777" s="1">
        <v>776</v>
      </c>
      <c r="B777" s="1" t="s">
        <v>2121</v>
      </c>
      <c r="C777" s="1" t="s">
        <v>2122</v>
      </c>
      <c r="D777" s="5" t="s">
        <v>2123</v>
      </c>
      <c r="E777" s="1" t="s">
        <v>2124</v>
      </c>
      <c r="F777" s="7">
        <v>4</v>
      </c>
      <c r="G777" s="1">
        <v>6</v>
      </c>
      <c r="H777" s="1" t="s">
        <v>8</v>
      </c>
      <c r="I777" s="1" t="s">
        <v>8</v>
      </c>
      <c r="J777" s="1" t="s">
        <v>180</v>
      </c>
      <c r="K777" s="2">
        <v>3.1250003148749701E-5</v>
      </c>
      <c r="L777" s="2">
        <v>4.3011834379620198E-7</v>
      </c>
      <c r="M777" s="1">
        <v>4.0405578744444101E-2</v>
      </c>
      <c r="N777" s="1">
        <v>2.8075890705033602</v>
      </c>
    </row>
    <row r="778" spans="1:14">
      <c r="A778" s="1">
        <v>777</v>
      </c>
      <c r="B778" s="1" t="s">
        <v>2125</v>
      </c>
      <c r="C778" s="1" t="s">
        <v>2126</v>
      </c>
      <c r="D778" s="5" t="s">
        <v>1304</v>
      </c>
      <c r="E778" s="1" t="s">
        <v>2125</v>
      </c>
      <c r="F778" s="7">
        <v>7</v>
      </c>
      <c r="G778" s="1">
        <v>4</v>
      </c>
      <c r="H778" s="1" t="s">
        <v>8</v>
      </c>
      <c r="I778" s="1" t="s">
        <v>8</v>
      </c>
      <c r="J778" s="1" t="s">
        <v>4</v>
      </c>
      <c r="K778" s="2">
        <v>3.1250004732406199E-5</v>
      </c>
      <c r="L778" s="2">
        <v>2.5770770373932498E-5</v>
      </c>
      <c r="M778" s="1">
        <v>2.0855826134109599E-3</v>
      </c>
      <c r="N778" s="1">
        <v>3.2837110183979901</v>
      </c>
    </row>
    <row r="779" spans="1:14">
      <c r="A779" s="1">
        <v>778</v>
      </c>
      <c r="B779" s="1" t="s">
        <v>2127</v>
      </c>
      <c r="C779" s="1" t="s">
        <v>2128</v>
      </c>
      <c r="D779" s="5" t="s">
        <v>1407</v>
      </c>
      <c r="E779" s="1" t="s">
        <v>2396</v>
      </c>
      <c r="F779" s="7">
        <v>5</v>
      </c>
      <c r="G779" s="1">
        <v>5</v>
      </c>
      <c r="H779" s="1" t="s">
        <v>8</v>
      </c>
      <c r="I779" s="1" t="s">
        <v>8</v>
      </c>
      <c r="J779" s="1" t="s">
        <v>180</v>
      </c>
      <c r="K779" s="2">
        <v>3.1249996639813699E-5</v>
      </c>
      <c r="L779" s="2">
        <v>2.17238146334725E-6</v>
      </c>
      <c r="M779" s="1">
        <v>-1.8548533072511399E-2</v>
      </c>
      <c r="N779" s="1">
        <v>3.5351551886072201</v>
      </c>
    </row>
    <row r="780" spans="1:14">
      <c r="A780" s="1">
        <v>779</v>
      </c>
      <c r="B780" s="1" t="s">
        <v>2129</v>
      </c>
      <c r="C780" s="1" t="s">
        <v>2130</v>
      </c>
      <c r="D780" s="5" t="s">
        <v>2131</v>
      </c>
      <c r="E780" s="1" t="s">
        <v>2129</v>
      </c>
      <c r="F780" s="7">
        <v>9</v>
      </c>
      <c r="G780" s="1">
        <v>5</v>
      </c>
      <c r="H780" s="1" t="s">
        <v>8</v>
      </c>
      <c r="I780" s="1" t="s">
        <v>8</v>
      </c>
      <c r="J780" s="1" t="s">
        <v>4</v>
      </c>
      <c r="K780" s="2">
        <v>3.1250003157377701E-5</v>
      </c>
      <c r="L780" s="2">
        <v>2.9718878808605899E-5</v>
      </c>
      <c r="M780" s="1">
        <v>-2.6163460492841999E-2</v>
      </c>
      <c r="N780" s="1">
        <v>3.5654011694494998</v>
      </c>
    </row>
    <row r="781" spans="1:14">
      <c r="A781" s="1">
        <v>780</v>
      </c>
      <c r="B781" s="1" t="s">
        <v>2132</v>
      </c>
      <c r="C781" s="1" t="s">
        <v>2133</v>
      </c>
      <c r="D781" s="5" t="s">
        <v>2134</v>
      </c>
      <c r="E781" s="1" t="s">
        <v>2397</v>
      </c>
      <c r="F781" s="7">
        <v>4</v>
      </c>
      <c r="G781" s="1">
        <v>7</v>
      </c>
      <c r="H781" s="1" t="s">
        <v>8</v>
      </c>
      <c r="I781" s="1" t="s">
        <v>8</v>
      </c>
      <c r="J781" s="1" t="s">
        <v>180</v>
      </c>
      <c r="K781" s="2">
        <v>3.12500041660698E-5</v>
      </c>
      <c r="L781" s="2">
        <v>1.9197788247036401E-6</v>
      </c>
      <c r="M781" s="1">
        <v>2.2728393200868099E-3</v>
      </c>
      <c r="N781" s="1">
        <v>3.3816692649444202</v>
      </c>
    </row>
    <row r="782" spans="1:14">
      <c r="A782" s="1">
        <v>781</v>
      </c>
      <c r="B782" s="1" t="s">
        <v>2135</v>
      </c>
      <c r="C782" s="1" t="s">
        <v>2136</v>
      </c>
      <c r="D782" s="5" t="s">
        <v>407</v>
      </c>
      <c r="E782" s="1" t="s">
        <v>2135</v>
      </c>
      <c r="F782" s="7">
        <v>9</v>
      </c>
      <c r="G782" s="1">
        <v>4</v>
      </c>
      <c r="H782" s="1" t="s">
        <v>8</v>
      </c>
      <c r="I782" s="1" t="s">
        <v>8</v>
      </c>
      <c r="J782" s="1" t="s">
        <v>4</v>
      </c>
      <c r="K782" s="2">
        <v>3.1250007404976501E-5</v>
      </c>
      <c r="L782" s="2">
        <v>1.4579399020434299E-5</v>
      </c>
      <c r="M782" s="1">
        <v>1.25212862696102E-2</v>
      </c>
      <c r="N782" s="1">
        <v>2.6356428511880301</v>
      </c>
    </row>
    <row r="783" spans="1:14">
      <c r="A783" s="1">
        <v>782</v>
      </c>
      <c r="B783" s="1" t="s">
        <v>2137</v>
      </c>
      <c r="C783" s="1" t="s">
        <v>2138</v>
      </c>
      <c r="D783" s="5" t="s">
        <v>580</v>
      </c>
      <c r="E783" s="1" t="s">
        <v>2137</v>
      </c>
      <c r="F783" s="7">
        <v>4</v>
      </c>
      <c r="G783" s="1">
        <v>4</v>
      </c>
      <c r="H783" s="1" t="s">
        <v>8</v>
      </c>
      <c r="I783" s="1" t="s">
        <v>8</v>
      </c>
      <c r="J783" s="1" t="s">
        <v>4</v>
      </c>
      <c r="K783" s="2">
        <v>3.12500048514031E-5</v>
      </c>
      <c r="L783" s="2">
        <v>1.0778530416391701E-5</v>
      </c>
      <c r="M783" s="1">
        <v>8.4533401672869293E-3</v>
      </c>
      <c r="N783" s="1">
        <v>3.1233419016512598</v>
      </c>
    </row>
    <row r="784" spans="1:14">
      <c r="A784" s="1">
        <v>783</v>
      </c>
      <c r="B784" s="1" t="s">
        <v>2139</v>
      </c>
      <c r="C784" s="1" t="s">
        <v>2140</v>
      </c>
      <c r="D784" s="5" t="s">
        <v>242</v>
      </c>
      <c r="E784" s="1" t="s">
        <v>2139</v>
      </c>
      <c r="F784" s="7">
        <v>5</v>
      </c>
      <c r="G784" s="1">
        <v>4</v>
      </c>
      <c r="H784" s="1" t="s">
        <v>98</v>
      </c>
      <c r="I784" s="1" t="s">
        <v>98</v>
      </c>
      <c r="J784" s="1" t="s">
        <v>4</v>
      </c>
      <c r="K784" s="2">
        <v>3.1249996986694101E-5</v>
      </c>
      <c r="L784" s="2">
        <v>2.5201495821989099E-5</v>
      </c>
      <c r="M784" s="1">
        <v>-4.1252994428049299E-2</v>
      </c>
      <c r="N784" s="1">
        <v>3.5477279696244799</v>
      </c>
    </row>
    <row r="785" spans="1:14">
      <c r="A785" s="1">
        <v>784</v>
      </c>
      <c r="B785" s="1" t="s">
        <v>2141</v>
      </c>
      <c r="C785" s="1" t="s">
        <v>2142</v>
      </c>
      <c r="D785" s="5" t="s">
        <v>594</v>
      </c>
      <c r="E785" s="1" t="s">
        <v>2398</v>
      </c>
      <c r="F785" s="7">
        <v>4</v>
      </c>
      <c r="G785" s="1">
        <v>6</v>
      </c>
      <c r="H785" s="1" t="s">
        <v>8</v>
      </c>
      <c r="I785" s="1" t="s">
        <v>8</v>
      </c>
      <c r="J785" s="1" t="s">
        <v>180</v>
      </c>
      <c r="K785" s="2">
        <v>3.1250003501591202E-5</v>
      </c>
      <c r="L785" s="2">
        <v>1.5889511278681601E-6</v>
      </c>
      <c r="M785" s="1">
        <v>-1.6191457223904101E-3</v>
      </c>
      <c r="N785" s="1">
        <v>3.3649373954172099</v>
      </c>
    </row>
    <row r="786" spans="1:14">
      <c r="A786" s="1">
        <v>785</v>
      </c>
      <c r="B786" s="1" t="s">
        <v>2143</v>
      </c>
      <c r="C786" s="1" t="s">
        <v>2144</v>
      </c>
      <c r="D786" s="5" t="s">
        <v>1536</v>
      </c>
      <c r="E786" s="1" t="s">
        <v>2143</v>
      </c>
      <c r="F786" s="7">
        <v>4</v>
      </c>
      <c r="G786" s="1">
        <v>4</v>
      </c>
      <c r="H786" s="1" t="s">
        <v>8</v>
      </c>
      <c r="I786" s="1" t="s">
        <v>8</v>
      </c>
      <c r="J786" s="1" t="s">
        <v>4</v>
      </c>
      <c r="K786" s="2">
        <v>3.1250004670408897E-5</v>
      </c>
      <c r="L786" s="2">
        <v>1.5467685260874601E-6</v>
      </c>
      <c r="M786" s="1">
        <v>1.91471762819048E-2</v>
      </c>
      <c r="N786" s="1">
        <v>2.9059612960468999</v>
      </c>
    </row>
    <row r="787" spans="1:14">
      <c r="A787" s="1">
        <v>786</v>
      </c>
      <c r="B787" s="1" t="s">
        <v>2145</v>
      </c>
      <c r="C787" s="1" t="s">
        <v>2146</v>
      </c>
      <c r="D787" s="5" t="s">
        <v>436</v>
      </c>
      <c r="E787" s="1" t="s">
        <v>2145</v>
      </c>
      <c r="F787" s="7">
        <v>4</v>
      </c>
      <c r="G787" s="1">
        <v>5</v>
      </c>
      <c r="H787" s="1" t="s">
        <v>8</v>
      </c>
      <c r="I787" s="1" t="s">
        <v>8</v>
      </c>
      <c r="J787" s="1" t="s">
        <v>4</v>
      </c>
      <c r="K787" s="2">
        <v>3.1250001363055502E-5</v>
      </c>
      <c r="L787" s="2">
        <v>2.2861021114414999E-5</v>
      </c>
      <c r="M787" s="1">
        <v>3.1464889836108498E-2</v>
      </c>
      <c r="N787" s="1">
        <v>2.79652131902471</v>
      </c>
    </row>
    <row r="788" spans="1:14">
      <c r="A788" s="1">
        <v>787</v>
      </c>
      <c r="B788" s="1" t="s">
        <v>2147</v>
      </c>
      <c r="C788" s="1" t="s">
        <v>2148</v>
      </c>
      <c r="D788" s="5" t="s">
        <v>1146</v>
      </c>
      <c r="E788" s="1" t="s">
        <v>2147</v>
      </c>
      <c r="F788" s="7">
        <v>5</v>
      </c>
      <c r="G788" s="1">
        <v>6</v>
      </c>
      <c r="H788" s="1" t="s">
        <v>8</v>
      </c>
      <c r="I788" s="1" t="s">
        <v>8</v>
      </c>
      <c r="J788" s="1" t="s">
        <v>4</v>
      </c>
      <c r="K788" s="2">
        <v>3.1250004670193899E-5</v>
      </c>
      <c r="L788" s="2">
        <v>1.22797538175817E-6</v>
      </c>
      <c r="M788" s="1">
        <v>3.1522816378977497E-2</v>
      </c>
      <c r="N788" s="1">
        <v>3.2059221230633899</v>
      </c>
    </row>
    <row r="789" spans="1:14">
      <c r="A789" s="1">
        <v>788</v>
      </c>
      <c r="B789" s="1" t="s">
        <v>2149</v>
      </c>
      <c r="C789" s="1" t="s">
        <v>2150</v>
      </c>
      <c r="D789" s="5" t="s">
        <v>1129</v>
      </c>
      <c r="E789" s="1" t="s">
        <v>2399</v>
      </c>
      <c r="F789" s="7">
        <v>6</v>
      </c>
      <c r="G789" s="1">
        <v>3</v>
      </c>
      <c r="H789" s="1" t="s">
        <v>8</v>
      </c>
      <c r="I789" s="1" t="s">
        <v>8</v>
      </c>
      <c r="J789" s="1" t="s">
        <v>180</v>
      </c>
      <c r="K789" s="2">
        <v>3.1250004655002601E-5</v>
      </c>
      <c r="L789" s="2">
        <v>3.4914056882066498E-6</v>
      </c>
      <c r="M789" s="1">
        <v>2.0734650834128799E-3</v>
      </c>
      <c r="N789" s="1">
        <v>3.6320762258285</v>
      </c>
    </row>
    <row r="790" spans="1:14">
      <c r="A790" s="1">
        <v>789</v>
      </c>
      <c r="B790" s="1" t="s">
        <v>2151</v>
      </c>
      <c r="C790" s="1" t="s">
        <v>2152</v>
      </c>
      <c r="D790" s="5" t="s">
        <v>1437</v>
      </c>
      <c r="E790" s="1" t="s">
        <v>2400</v>
      </c>
      <c r="F790" s="7">
        <v>4</v>
      </c>
      <c r="G790" s="1">
        <v>3</v>
      </c>
      <c r="H790" s="1" t="s">
        <v>8</v>
      </c>
      <c r="I790" s="1" t="s">
        <v>12</v>
      </c>
      <c r="J790" s="1" t="s">
        <v>180</v>
      </c>
      <c r="K790" s="2">
        <v>3.1250004409337499E-5</v>
      </c>
      <c r="L790" s="2">
        <v>4.2148511090244196E-6</v>
      </c>
      <c r="M790" s="1">
        <v>3.3618110951895298E-2</v>
      </c>
      <c r="N790" s="1">
        <v>3.5117658269144698</v>
      </c>
    </row>
    <row r="791" spans="1:14">
      <c r="A791" s="1">
        <v>790</v>
      </c>
      <c r="B791" s="1" t="s">
        <v>2153</v>
      </c>
      <c r="C791" s="1" t="s">
        <v>2154</v>
      </c>
      <c r="D791" s="5" t="s">
        <v>1897</v>
      </c>
      <c r="E791" s="1" t="s">
        <v>2155</v>
      </c>
      <c r="F791" s="7">
        <v>4</v>
      </c>
      <c r="G791" s="1">
        <v>6</v>
      </c>
      <c r="H791" s="1" t="s">
        <v>8</v>
      </c>
      <c r="I791" s="1" t="s">
        <v>8</v>
      </c>
      <c r="J791" s="1" t="s">
        <v>180</v>
      </c>
      <c r="K791" s="2">
        <v>3.1250002336623503E-5</v>
      </c>
      <c r="L791" s="2">
        <v>7.9423681008229102E-7</v>
      </c>
      <c r="M791" s="1">
        <v>5.7564496375761103E-2</v>
      </c>
      <c r="N791" s="1">
        <v>3.1228380306936199</v>
      </c>
    </row>
    <row r="792" spans="1:14">
      <c r="A792" s="1">
        <v>791</v>
      </c>
      <c r="B792" s="1" t="s">
        <v>2156</v>
      </c>
      <c r="C792" s="1" t="s">
        <v>2157</v>
      </c>
      <c r="D792" s="5" t="s">
        <v>1246</v>
      </c>
      <c r="E792" s="1" t="s">
        <v>2156</v>
      </c>
      <c r="F792" s="7">
        <v>4</v>
      </c>
      <c r="G792" s="1">
        <v>4</v>
      </c>
      <c r="H792" s="1" t="s">
        <v>8</v>
      </c>
      <c r="I792" s="1" t="s">
        <v>8</v>
      </c>
      <c r="J792" s="1" t="s">
        <v>4</v>
      </c>
      <c r="K792" s="2">
        <v>3.1250002029903698E-5</v>
      </c>
      <c r="L792" s="2">
        <v>3.0436458364090899E-5</v>
      </c>
      <c r="M792" s="1">
        <v>7.2795887229517497E-3</v>
      </c>
      <c r="N792" s="1">
        <v>3.11448394346897</v>
      </c>
    </row>
    <row r="793" spans="1:14">
      <c r="A793" s="1">
        <v>792</v>
      </c>
      <c r="B793" s="1" t="s">
        <v>2158</v>
      </c>
      <c r="C793" s="1" t="s">
        <v>2159</v>
      </c>
      <c r="D793" s="5" t="s">
        <v>2160</v>
      </c>
      <c r="E793" s="1" t="s">
        <v>2401</v>
      </c>
      <c r="F793" s="7">
        <v>4</v>
      </c>
      <c r="G793" s="1">
        <v>5</v>
      </c>
      <c r="H793" s="1" t="s">
        <v>8</v>
      </c>
      <c r="I793" s="1" t="s">
        <v>8</v>
      </c>
      <c r="J793" s="1" t="s">
        <v>180</v>
      </c>
      <c r="K793" s="2">
        <v>3.1250004777739999E-5</v>
      </c>
      <c r="L793" s="2">
        <v>1.0685333844869899E-6</v>
      </c>
      <c r="M793" s="1">
        <v>-3.3703134576867903E-2</v>
      </c>
      <c r="N793" s="1">
        <v>3.4476223070151502</v>
      </c>
    </row>
    <row r="794" spans="1:14">
      <c r="A794" s="1">
        <v>793</v>
      </c>
      <c r="B794" s="1" t="s">
        <v>2161</v>
      </c>
      <c r="C794" s="1" t="s">
        <v>2162</v>
      </c>
      <c r="D794" s="5" t="s">
        <v>2163</v>
      </c>
      <c r="E794" s="1" t="s">
        <v>2161</v>
      </c>
      <c r="F794" s="7">
        <v>4</v>
      </c>
      <c r="G794" s="1">
        <v>4</v>
      </c>
      <c r="H794" s="1" t="s">
        <v>8</v>
      </c>
      <c r="I794" s="1" t="s">
        <v>8</v>
      </c>
      <c r="J794" s="1" t="s">
        <v>4</v>
      </c>
      <c r="K794" s="2">
        <v>3.1250007324994399E-5</v>
      </c>
      <c r="L794" s="2">
        <v>3.0209575221536098E-5</v>
      </c>
      <c r="M794" s="1">
        <v>-3.0528814180790599E-2</v>
      </c>
      <c r="N794" s="1">
        <v>2.5722473169968301</v>
      </c>
    </row>
    <row r="795" spans="1:14">
      <c r="A795" s="1">
        <v>794</v>
      </c>
      <c r="B795" s="1" t="s">
        <v>2164</v>
      </c>
      <c r="C795" s="1" t="s">
        <v>2165</v>
      </c>
      <c r="D795" s="5" t="s">
        <v>2166</v>
      </c>
      <c r="E795" s="1" t="s">
        <v>2164</v>
      </c>
      <c r="F795" s="7">
        <v>5</v>
      </c>
      <c r="G795" s="1">
        <v>4</v>
      </c>
      <c r="H795" s="1" t="s">
        <v>8</v>
      </c>
      <c r="I795" s="1" t="s">
        <v>8</v>
      </c>
      <c r="J795" s="1" t="s">
        <v>4</v>
      </c>
      <c r="K795" s="2">
        <v>3.12500036943115E-5</v>
      </c>
      <c r="L795" s="2">
        <v>1.4944504858528401E-5</v>
      </c>
      <c r="M795" s="1">
        <v>-4.8280230590194099E-3</v>
      </c>
      <c r="N795" s="1">
        <v>3.77269168633048</v>
      </c>
    </row>
    <row r="796" spans="1:14">
      <c r="A796" s="1">
        <v>795</v>
      </c>
      <c r="B796" s="1" t="s">
        <v>2167</v>
      </c>
      <c r="C796" s="1" t="s">
        <v>2168</v>
      </c>
      <c r="D796" s="5" t="s">
        <v>2169</v>
      </c>
      <c r="E796" s="1" t="s">
        <v>2170</v>
      </c>
      <c r="F796" s="7">
        <v>4</v>
      </c>
      <c r="G796" s="1">
        <v>3</v>
      </c>
      <c r="H796" s="1" t="s">
        <v>8</v>
      </c>
      <c r="I796" s="1" t="s">
        <v>22</v>
      </c>
      <c r="J796" s="1" t="s">
        <v>180</v>
      </c>
      <c r="K796" s="2">
        <v>3.1250000750592101E-5</v>
      </c>
      <c r="L796" s="2">
        <v>6.9198891007831602E-6</v>
      </c>
      <c r="M796" s="1">
        <v>4.0514418436600801E-2</v>
      </c>
      <c r="N796" s="1">
        <v>2.06294872633773</v>
      </c>
    </row>
    <row r="797" spans="1:14">
      <c r="A797" s="1">
        <v>796</v>
      </c>
      <c r="B797" s="1" t="s">
        <v>2171</v>
      </c>
      <c r="C797" s="1" t="s">
        <v>2172</v>
      </c>
      <c r="D797" s="5" t="s">
        <v>954</v>
      </c>
      <c r="E797" s="1" t="s">
        <v>2171</v>
      </c>
      <c r="F797" s="7">
        <v>5</v>
      </c>
      <c r="G797" s="1">
        <v>3</v>
      </c>
      <c r="H797" s="1" t="s">
        <v>8</v>
      </c>
      <c r="I797" s="1" t="s">
        <v>8</v>
      </c>
      <c r="J797" s="1" t="s">
        <v>4</v>
      </c>
      <c r="K797" s="2">
        <v>3.1250003886515601E-5</v>
      </c>
      <c r="L797" s="2">
        <v>2.8398417829369399E-5</v>
      </c>
      <c r="M797" s="1">
        <v>-2.2117572001874902E-2</v>
      </c>
      <c r="N797" s="1">
        <v>3.5849907070415701</v>
      </c>
    </row>
    <row r="798" spans="1:14">
      <c r="A798" s="1">
        <v>797</v>
      </c>
      <c r="B798" s="1" t="s">
        <v>2173</v>
      </c>
      <c r="C798" s="1" t="s">
        <v>2174</v>
      </c>
      <c r="D798" s="5" t="s">
        <v>7</v>
      </c>
      <c r="E798" s="1" t="s">
        <v>2173</v>
      </c>
      <c r="F798" s="7">
        <v>5</v>
      </c>
      <c r="G798" s="1">
        <v>3</v>
      </c>
      <c r="H798" s="1" t="s">
        <v>8</v>
      </c>
      <c r="I798" s="1" t="s">
        <v>8</v>
      </c>
      <c r="J798" s="1" t="s">
        <v>4</v>
      </c>
      <c r="K798" s="2">
        <v>3.1250002844576599E-5</v>
      </c>
      <c r="L798" s="2">
        <v>2.67224864866783E-5</v>
      </c>
      <c r="M798" s="1">
        <v>-1.6083044908125201E-2</v>
      </c>
      <c r="N798" s="1">
        <v>3.6239384883927901</v>
      </c>
    </row>
    <row r="799" spans="1:14">
      <c r="A799" s="1">
        <v>798</v>
      </c>
      <c r="B799" s="1" t="s">
        <v>2175</v>
      </c>
      <c r="C799" s="1" t="s">
        <v>2176</v>
      </c>
      <c r="D799" s="5" t="s">
        <v>1732</v>
      </c>
      <c r="E799" s="1" t="s">
        <v>2175</v>
      </c>
      <c r="F799" s="7">
        <v>6</v>
      </c>
      <c r="G799" s="1">
        <v>5</v>
      </c>
      <c r="H799" s="1" t="s">
        <v>8</v>
      </c>
      <c r="I799" s="1" t="s">
        <v>8</v>
      </c>
      <c r="J799" s="1" t="s">
        <v>4</v>
      </c>
      <c r="K799" s="2">
        <v>3.1249999140336403E-5</v>
      </c>
      <c r="L799" s="2">
        <v>2.2990664913847501E-5</v>
      </c>
      <c r="M799" s="1">
        <v>-1.53690831900767E-2</v>
      </c>
      <c r="N799" s="1">
        <v>3.34252727137706</v>
      </c>
    </row>
    <row r="800" spans="1:14">
      <c r="A800" s="1">
        <v>799</v>
      </c>
      <c r="B800" s="1" t="s">
        <v>2177</v>
      </c>
      <c r="C800" s="1" t="s">
        <v>2178</v>
      </c>
      <c r="D800" s="5" t="s">
        <v>2179</v>
      </c>
      <c r="E800" s="1" t="s">
        <v>2177</v>
      </c>
      <c r="F800" s="7">
        <v>4</v>
      </c>
      <c r="G800" s="1">
        <v>5</v>
      </c>
      <c r="H800" s="1" t="s">
        <v>8</v>
      </c>
      <c r="I800" s="1" t="s">
        <v>8</v>
      </c>
      <c r="J800" s="1" t="s">
        <v>4</v>
      </c>
      <c r="K800" s="2">
        <v>3.1249999083327298E-5</v>
      </c>
      <c r="L800" s="2">
        <v>1.92168362784826E-6</v>
      </c>
      <c r="M800" s="1">
        <v>1.02851969607087E-2</v>
      </c>
      <c r="N800" s="1">
        <v>3.46816365252828</v>
      </c>
    </row>
    <row r="801" spans="1:14">
      <c r="A801" s="1">
        <v>800</v>
      </c>
      <c r="B801" s="1" t="s">
        <v>2180</v>
      </c>
      <c r="C801" s="1" t="s">
        <v>2181</v>
      </c>
      <c r="D801" s="5" t="s">
        <v>262</v>
      </c>
      <c r="E801" s="1" t="s">
        <v>2180</v>
      </c>
      <c r="F801" s="7">
        <v>4</v>
      </c>
      <c r="G801" s="1">
        <v>4</v>
      </c>
      <c r="H801" s="1" t="s">
        <v>8</v>
      </c>
      <c r="I801" s="1" t="s">
        <v>8</v>
      </c>
      <c r="J801" s="1" t="s">
        <v>4</v>
      </c>
      <c r="K801" s="2">
        <v>3.1250009193706703E-5</v>
      </c>
      <c r="L801" s="2">
        <v>3.0517107286848899E-5</v>
      </c>
      <c r="M801" s="1">
        <v>-1.7924488188235398E-2</v>
      </c>
      <c r="N801" s="1">
        <v>2.3732192838942199</v>
      </c>
    </row>
    <row r="802" spans="1:14">
      <c r="A802" s="1">
        <v>801</v>
      </c>
      <c r="B802" s="1" t="s">
        <v>2182</v>
      </c>
      <c r="C802" s="1" t="s">
        <v>2183</v>
      </c>
      <c r="D802" s="5" t="s">
        <v>2184</v>
      </c>
      <c r="E802" s="1" t="s">
        <v>2185</v>
      </c>
      <c r="F802" s="7">
        <v>4</v>
      </c>
      <c r="G802" s="1">
        <v>8</v>
      </c>
      <c r="H802" s="1" t="s">
        <v>8</v>
      </c>
      <c r="I802" s="1" t="s">
        <v>8</v>
      </c>
      <c r="J802" s="1" t="s">
        <v>180</v>
      </c>
      <c r="K802" s="2">
        <v>3.1250002861937101E-5</v>
      </c>
      <c r="L802" s="2">
        <v>4.8611002984876597E-6</v>
      </c>
      <c r="M802" s="2">
        <v>-6.5065037944123105E-5</v>
      </c>
      <c r="N802" s="1">
        <v>3.59741691380176</v>
      </c>
    </row>
    <row r="803" spans="1:14">
      <c r="A803" s="1">
        <v>802</v>
      </c>
      <c r="B803" s="1" t="s">
        <v>2186</v>
      </c>
      <c r="C803" s="1" t="s">
        <v>2187</v>
      </c>
      <c r="D803" s="5" t="s">
        <v>1975</v>
      </c>
      <c r="E803" s="1" t="s">
        <v>2188</v>
      </c>
      <c r="F803" s="7">
        <v>5</v>
      </c>
      <c r="G803" s="1">
        <v>4</v>
      </c>
      <c r="H803" s="1" t="s">
        <v>8</v>
      </c>
      <c r="I803" s="1" t="s">
        <v>8</v>
      </c>
      <c r="J803" s="1" t="s">
        <v>180</v>
      </c>
      <c r="K803" s="2">
        <v>3.1250005210113103E-5</v>
      </c>
      <c r="L803" s="2">
        <v>6.7803106582322399E-6</v>
      </c>
      <c r="M803" s="1">
        <v>-5.9576371168077397E-3</v>
      </c>
      <c r="N803" s="1">
        <v>3.7351478763660801</v>
      </c>
    </row>
    <row r="804" spans="1:14">
      <c r="A804" s="1">
        <v>803</v>
      </c>
      <c r="B804" s="1" t="s">
        <v>2189</v>
      </c>
      <c r="C804" s="1" t="s">
        <v>2190</v>
      </c>
      <c r="D804" s="5" t="s">
        <v>2191</v>
      </c>
      <c r="E804" s="1" t="s">
        <v>2192</v>
      </c>
      <c r="F804" s="7">
        <v>4</v>
      </c>
      <c r="G804" s="1">
        <v>6</v>
      </c>
      <c r="H804" s="1" t="s">
        <v>98</v>
      </c>
      <c r="I804" s="1" t="s">
        <v>68</v>
      </c>
      <c r="J804" s="1" t="s">
        <v>180</v>
      </c>
      <c r="K804" s="2">
        <v>3.1250004275096099E-5</v>
      </c>
      <c r="L804" s="2">
        <v>4.1206804738299301E-7</v>
      </c>
      <c r="M804" s="1">
        <v>4.7267071933163103E-2</v>
      </c>
      <c r="N804" s="1">
        <v>2.4007382862539699</v>
      </c>
    </row>
    <row r="805" spans="1:14">
      <c r="A805" s="1">
        <v>804</v>
      </c>
      <c r="B805" s="1" t="s">
        <v>2193</v>
      </c>
      <c r="C805" s="1" t="s">
        <v>2194</v>
      </c>
      <c r="D805" s="5" t="s">
        <v>2195</v>
      </c>
      <c r="E805" s="1" t="s">
        <v>2193</v>
      </c>
      <c r="F805" s="7">
        <v>4</v>
      </c>
      <c r="G805" s="1">
        <v>6</v>
      </c>
      <c r="H805" s="1" t="s">
        <v>68</v>
      </c>
      <c r="I805" s="1" t="s">
        <v>68</v>
      </c>
      <c r="J805" s="1" t="s">
        <v>4</v>
      </c>
      <c r="K805" s="2">
        <v>3.1250001860890403E-5</v>
      </c>
      <c r="L805" s="2">
        <v>8.2868587737457901E-6</v>
      </c>
      <c r="M805" s="1">
        <v>-3.5997753735458098E-2</v>
      </c>
      <c r="N805" s="1">
        <v>3.5389357966657902</v>
      </c>
    </row>
    <row r="806" spans="1:14">
      <c r="A806" s="1">
        <v>805</v>
      </c>
      <c r="B806" s="1" t="s">
        <v>2196</v>
      </c>
      <c r="C806" s="1" t="s">
        <v>2197</v>
      </c>
      <c r="D806" s="5" t="s">
        <v>2198</v>
      </c>
      <c r="E806" s="1" t="s">
        <v>2402</v>
      </c>
      <c r="F806" s="7">
        <v>4</v>
      </c>
      <c r="G806" s="1">
        <v>3</v>
      </c>
      <c r="H806" s="1" t="s">
        <v>8</v>
      </c>
      <c r="I806" s="1" t="s">
        <v>8</v>
      </c>
      <c r="J806" s="1" t="s">
        <v>180</v>
      </c>
      <c r="K806" s="2">
        <v>3.1250001771008301E-5</v>
      </c>
      <c r="L806" s="2">
        <v>1.0555630394397299E-6</v>
      </c>
      <c r="M806" s="1">
        <v>1.1834017786586701E-2</v>
      </c>
      <c r="N806" s="1">
        <v>3.6766817675450798</v>
      </c>
    </row>
    <row r="807" spans="1:14">
      <c r="A807" s="1">
        <v>806</v>
      </c>
      <c r="B807" s="1" t="s">
        <v>2199</v>
      </c>
      <c r="C807" s="1" t="s">
        <v>2200</v>
      </c>
      <c r="D807" s="5" t="s">
        <v>861</v>
      </c>
      <c r="E807" s="1" t="s">
        <v>2403</v>
      </c>
      <c r="F807" s="7">
        <v>5</v>
      </c>
      <c r="G807" s="1">
        <v>4</v>
      </c>
      <c r="H807" s="1" t="s">
        <v>8</v>
      </c>
      <c r="I807" s="1" t="s">
        <v>8</v>
      </c>
      <c r="J807" s="1" t="s">
        <v>180</v>
      </c>
      <c r="K807" s="2">
        <v>3.12500025972666E-5</v>
      </c>
      <c r="L807" s="2">
        <v>4.14192288376414E-6</v>
      </c>
      <c r="M807" s="1">
        <v>-9.1730451909484093E-3</v>
      </c>
      <c r="N807" s="1">
        <v>3.7280580745937901</v>
      </c>
    </row>
    <row r="808" spans="1:14">
      <c r="A808" s="1">
        <v>807</v>
      </c>
      <c r="B808" s="1" t="s">
        <v>2201</v>
      </c>
      <c r="C808" s="1" t="s">
        <v>2202</v>
      </c>
      <c r="D808" s="5" t="s">
        <v>1304</v>
      </c>
      <c r="E808" s="1" t="s">
        <v>2201</v>
      </c>
      <c r="F808" s="7">
        <v>7</v>
      </c>
      <c r="G808" s="1">
        <v>4</v>
      </c>
      <c r="H808" s="1" t="s">
        <v>8</v>
      </c>
      <c r="I808" s="1" t="s">
        <v>8</v>
      </c>
      <c r="J808" s="1" t="s">
        <v>4</v>
      </c>
      <c r="K808" s="2">
        <v>3.1250007656476202E-5</v>
      </c>
      <c r="L808" s="2">
        <v>1.16592202911801E-5</v>
      </c>
      <c r="M808" s="1">
        <v>1.1387289185826399E-2</v>
      </c>
      <c r="N808" s="1">
        <v>3.45677454175327</v>
      </c>
    </row>
    <row r="809" spans="1:14">
      <c r="A809" s="1">
        <v>808</v>
      </c>
      <c r="B809" s="1" t="s">
        <v>2203</v>
      </c>
      <c r="C809" s="1" t="s">
        <v>2204</v>
      </c>
      <c r="D809" s="5" t="s">
        <v>2205</v>
      </c>
      <c r="E809" s="1" t="s">
        <v>2203</v>
      </c>
      <c r="F809" s="7">
        <v>4</v>
      </c>
      <c r="G809" s="1">
        <v>6</v>
      </c>
      <c r="H809" s="1" t="s">
        <v>123</v>
      </c>
      <c r="I809" s="1" t="s">
        <v>123</v>
      </c>
      <c r="J809" s="1" t="s">
        <v>4</v>
      </c>
      <c r="K809" s="2">
        <v>3.1250008588054002E-5</v>
      </c>
      <c r="L809" s="2">
        <v>2.8143280912856099E-5</v>
      </c>
      <c r="M809" s="1">
        <v>1.98762262511849E-2</v>
      </c>
      <c r="N809" s="1">
        <v>3.2590130363450101</v>
      </c>
    </row>
    <row r="810" spans="1:14">
      <c r="A810" s="1">
        <v>809</v>
      </c>
      <c r="B810" s="1" t="s">
        <v>2206</v>
      </c>
      <c r="C810" s="1" t="s">
        <v>2207</v>
      </c>
      <c r="D810" s="5" t="s">
        <v>407</v>
      </c>
      <c r="E810" s="1" t="s">
        <v>2206</v>
      </c>
      <c r="F810" s="7">
        <v>7</v>
      </c>
      <c r="G810" s="1">
        <v>4</v>
      </c>
      <c r="H810" s="1" t="s">
        <v>8</v>
      </c>
      <c r="I810" s="1" t="s">
        <v>8</v>
      </c>
      <c r="J810" s="1" t="s">
        <v>4</v>
      </c>
      <c r="K810" s="2">
        <v>3.12500010764546E-5</v>
      </c>
      <c r="L810" s="2">
        <v>2.96975533585363E-5</v>
      </c>
      <c r="M810" s="1">
        <v>-9.2168933276184292E-3</v>
      </c>
      <c r="N810" s="1">
        <v>3.40371846873524</v>
      </c>
    </row>
    <row r="811" spans="1:14">
      <c r="A811" s="1">
        <v>810</v>
      </c>
      <c r="B811" s="1" t="s">
        <v>2208</v>
      </c>
      <c r="C811" s="1" t="s">
        <v>2209</v>
      </c>
      <c r="D811" s="5" t="s">
        <v>2210</v>
      </c>
      <c r="E811" s="1" t="s">
        <v>2208</v>
      </c>
      <c r="F811" s="7">
        <v>4</v>
      </c>
      <c r="G811" s="1">
        <v>7</v>
      </c>
      <c r="H811" s="1" t="s">
        <v>8</v>
      </c>
      <c r="I811" s="1" t="s">
        <v>8</v>
      </c>
      <c r="J811" s="1" t="s">
        <v>4</v>
      </c>
      <c r="K811" s="2">
        <v>3.1250010369069102E-5</v>
      </c>
      <c r="L811" s="2">
        <v>3.0552005090916297E-5</v>
      </c>
      <c r="M811" s="1">
        <v>2.51955654167197E-2</v>
      </c>
      <c r="N811" s="1">
        <v>2.2424366041080201</v>
      </c>
    </row>
    <row r="812" spans="1:14">
      <c r="A812" s="1">
        <v>811</v>
      </c>
      <c r="B812" s="1" t="s">
        <v>2211</v>
      </c>
      <c r="C812" s="1" t="s">
        <v>2212</v>
      </c>
      <c r="D812" s="5" t="s">
        <v>2213</v>
      </c>
      <c r="E812" s="1" t="s">
        <v>2404</v>
      </c>
      <c r="F812" s="7">
        <v>5</v>
      </c>
      <c r="G812" s="1">
        <v>7</v>
      </c>
      <c r="H812" s="1" t="s">
        <v>8</v>
      </c>
      <c r="I812" s="1" t="s">
        <v>8</v>
      </c>
      <c r="J812" s="1" t="s">
        <v>180</v>
      </c>
      <c r="K812" s="2">
        <v>3.1250003079177803E-5</v>
      </c>
      <c r="L812" s="2">
        <v>2.5120405745385099E-6</v>
      </c>
      <c r="M812" s="1">
        <v>8.8309666792198895E-3</v>
      </c>
      <c r="N812" s="1">
        <v>3.74577710037059</v>
      </c>
    </row>
    <row r="813" spans="1:14">
      <c r="A813" s="1">
        <v>812</v>
      </c>
      <c r="B813" s="1" t="s">
        <v>2214</v>
      </c>
      <c r="C813" s="1" t="s">
        <v>2215</v>
      </c>
      <c r="D813" s="5" t="s">
        <v>2216</v>
      </c>
      <c r="E813" s="1" t="s">
        <v>2405</v>
      </c>
      <c r="F813" s="7">
        <v>6</v>
      </c>
      <c r="G813" s="1">
        <v>6</v>
      </c>
      <c r="H813" s="1" t="s">
        <v>98</v>
      </c>
      <c r="I813" s="1" t="s">
        <v>68</v>
      </c>
      <c r="J813" s="1" t="s">
        <v>180</v>
      </c>
      <c r="K813" s="2">
        <v>3.1250002905968598E-5</v>
      </c>
      <c r="L813" s="2">
        <v>4.5832457688389696E-6</v>
      </c>
      <c r="M813" s="1">
        <v>-2.4415764644324101E-2</v>
      </c>
      <c r="N813" s="1">
        <v>3.7616439445438199</v>
      </c>
    </row>
    <row r="814" spans="1:14">
      <c r="A814" s="1">
        <v>813</v>
      </c>
      <c r="B814" s="1" t="s">
        <v>2217</v>
      </c>
      <c r="C814" s="1" t="s">
        <v>2218</v>
      </c>
      <c r="D814" s="5" t="s">
        <v>2219</v>
      </c>
      <c r="E814" s="1" t="s">
        <v>2217</v>
      </c>
      <c r="F814" s="7">
        <v>6</v>
      </c>
      <c r="G814" s="1">
        <v>6</v>
      </c>
      <c r="H814" s="1" t="s">
        <v>8</v>
      </c>
      <c r="I814" s="1" t="s">
        <v>8</v>
      </c>
      <c r="J814" s="1" t="s">
        <v>4</v>
      </c>
      <c r="K814" s="2">
        <v>3.1250009795153899E-5</v>
      </c>
      <c r="L814" s="2">
        <v>2.9296669520518499E-5</v>
      </c>
      <c r="M814" s="1">
        <v>-2.8398899154016201E-2</v>
      </c>
      <c r="N814" s="1">
        <v>2.6136251650143998</v>
      </c>
    </row>
    <row r="815" spans="1:14">
      <c r="A815" s="1">
        <v>814</v>
      </c>
      <c r="B815" s="1" t="s">
        <v>2220</v>
      </c>
      <c r="C815" s="1" t="s">
        <v>2221</v>
      </c>
      <c r="D815" s="5" t="s">
        <v>209</v>
      </c>
      <c r="E815" s="1" t="s">
        <v>2406</v>
      </c>
      <c r="F815" s="7">
        <v>7</v>
      </c>
      <c r="G815" s="1">
        <v>4</v>
      </c>
      <c r="H815" s="1" t="s">
        <v>22</v>
      </c>
      <c r="I815" s="1" t="s">
        <v>22</v>
      </c>
      <c r="J815" s="1" t="s">
        <v>180</v>
      </c>
      <c r="K815" s="2">
        <v>3.1250000250369997E-5</v>
      </c>
      <c r="L815" s="2">
        <v>5.5996603497717097E-6</v>
      </c>
      <c r="M815" s="1">
        <v>-1.2624504509885601E-2</v>
      </c>
      <c r="N815" s="1">
        <v>3.7124724520330501</v>
      </c>
    </row>
    <row r="816" spans="1:14">
      <c r="A816" s="1">
        <v>815</v>
      </c>
      <c r="B816" s="1" t="s">
        <v>2222</v>
      </c>
      <c r="C816" s="1" t="s">
        <v>2223</v>
      </c>
      <c r="D816" s="5" t="s">
        <v>531</v>
      </c>
      <c r="E816" s="1" t="s">
        <v>2222</v>
      </c>
      <c r="F816" s="7">
        <v>4</v>
      </c>
      <c r="G816" s="1">
        <v>4</v>
      </c>
      <c r="H816" s="1" t="s">
        <v>8</v>
      </c>
      <c r="I816" s="1" t="s">
        <v>8</v>
      </c>
      <c r="J816" s="1" t="s">
        <v>4</v>
      </c>
      <c r="K816" s="2">
        <v>3.1250003276489601E-5</v>
      </c>
      <c r="L816" s="2">
        <v>1.05848036808191E-6</v>
      </c>
      <c r="M816" s="1">
        <v>3.9397236266323903E-2</v>
      </c>
      <c r="N816" s="1">
        <v>2.4496359143353299</v>
      </c>
    </row>
    <row r="817" spans="1:14">
      <c r="A817" s="1">
        <v>816</v>
      </c>
      <c r="B817" s="1" t="s">
        <v>2224</v>
      </c>
      <c r="C817" s="1" t="s">
        <v>2225</v>
      </c>
      <c r="D817" s="5" t="s">
        <v>1188</v>
      </c>
      <c r="E817" s="1" t="s">
        <v>2407</v>
      </c>
      <c r="F817" s="7">
        <v>4</v>
      </c>
      <c r="G817" s="1">
        <v>4</v>
      </c>
      <c r="H817" s="1" t="s">
        <v>3</v>
      </c>
      <c r="I817" s="1" t="s">
        <v>8</v>
      </c>
      <c r="J817" s="1" t="s">
        <v>180</v>
      </c>
      <c r="K817" s="2">
        <v>3.1249994622897002E-5</v>
      </c>
      <c r="L817" s="2">
        <v>1.0658846539781E-6</v>
      </c>
      <c r="M817" s="1">
        <v>-3.00552610540627E-4</v>
      </c>
      <c r="N817" s="1">
        <v>3.37319724495502</v>
      </c>
    </row>
    <row r="818" spans="1:14">
      <c r="A818" s="1">
        <v>817</v>
      </c>
      <c r="B818" s="1" t="s">
        <v>2226</v>
      </c>
      <c r="C818" s="1" t="s">
        <v>2227</v>
      </c>
      <c r="D818" s="5" t="s">
        <v>740</v>
      </c>
      <c r="E818" s="1" t="s">
        <v>2226</v>
      </c>
      <c r="F818" s="7">
        <v>4</v>
      </c>
      <c r="G818" s="1">
        <v>4</v>
      </c>
      <c r="H818" s="1" t="s">
        <v>8</v>
      </c>
      <c r="I818" s="1" t="s">
        <v>8</v>
      </c>
      <c r="J818" s="1" t="s">
        <v>4</v>
      </c>
      <c r="K818" s="2">
        <v>3.1250006704905803E-5</v>
      </c>
      <c r="L818" s="2">
        <v>9.5946258831005093E-6</v>
      </c>
      <c r="M818" s="1">
        <v>-1.6127434586806499E-2</v>
      </c>
      <c r="N818" s="1">
        <v>3.3633222553824398</v>
      </c>
    </row>
    <row r="819" spans="1:14">
      <c r="A819" s="1">
        <v>818</v>
      </c>
      <c r="B819" s="1" t="s">
        <v>2228</v>
      </c>
      <c r="C819" s="1" t="s">
        <v>2229</v>
      </c>
      <c r="D819" s="5" t="s">
        <v>2230</v>
      </c>
      <c r="E819" s="1" t="s">
        <v>2231</v>
      </c>
      <c r="F819" s="7">
        <v>6</v>
      </c>
      <c r="G819" s="1">
        <v>8</v>
      </c>
      <c r="H819" s="1" t="s">
        <v>8</v>
      </c>
      <c r="I819" s="1" t="s">
        <v>8</v>
      </c>
      <c r="J819" s="1" t="s">
        <v>180</v>
      </c>
      <c r="K819" s="2">
        <v>3.1250000003784198E-5</v>
      </c>
      <c r="L819" s="2">
        <v>9.9832537955665109E-7</v>
      </c>
      <c r="M819" s="1">
        <v>2.40715686623129E-2</v>
      </c>
      <c r="N819" s="1">
        <v>2.52729110468771</v>
      </c>
    </row>
    <row r="820" spans="1:14">
      <c r="A820" s="1">
        <v>819</v>
      </c>
      <c r="B820" s="1" t="s">
        <v>2232</v>
      </c>
      <c r="C820" s="1" t="s">
        <v>2233</v>
      </c>
      <c r="D820" s="5" t="s">
        <v>982</v>
      </c>
      <c r="E820" s="1" t="s">
        <v>2232</v>
      </c>
      <c r="F820" s="7">
        <v>4</v>
      </c>
      <c r="G820" s="1">
        <v>5</v>
      </c>
      <c r="H820" s="1" t="s">
        <v>8</v>
      </c>
      <c r="I820" s="1" t="s">
        <v>8</v>
      </c>
      <c r="J820" s="1" t="s">
        <v>4</v>
      </c>
      <c r="K820" s="2">
        <v>3.1250008035076003E-5</v>
      </c>
      <c r="L820" s="2">
        <v>3.0711706100894298E-5</v>
      </c>
      <c r="M820" s="1">
        <v>1.5372254392099501E-2</v>
      </c>
      <c r="N820" s="1">
        <v>2.7424047633219</v>
      </c>
    </row>
    <row r="821" spans="1:14">
      <c r="A821" s="1">
        <v>820</v>
      </c>
      <c r="B821" s="1" t="s">
        <v>2234</v>
      </c>
      <c r="C821" s="1" t="s">
        <v>2235</v>
      </c>
      <c r="D821" s="5" t="s">
        <v>2236</v>
      </c>
      <c r="E821" s="1" t="s">
        <v>2234</v>
      </c>
      <c r="F821" s="7">
        <v>7</v>
      </c>
      <c r="G821" s="1">
        <v>6</v>
      </c>
      <c r="H821" s="1" t="s">
        <v>8</v>
      </c>
      <c r="I821" s="1" t="s">
        <v>8</v>
      </c>
      <c r="J821" s="1" t="s">
        <v>4</v>
      </c>
      <c r="K821" s="2">
        <v>3.12500098587158E-5</v>
      </c>
      <c r="L821" s="2">
        <v>3.1212170356626401E-5</v>
      </c>
      <c r="M821" s="1">
        <v>8.1715581608960905E-3</v>
      </c>
      <c r="N821" s="1">
        <v>2.7697564902032101</v>
      </c>
    </row>
    <row r="822" spans="1:14">
      <c r="A822" s="1">
        <v>821</v>
      </c>
      <c r="B822" s="1" t="s">
        <v>2237</v>
      </c>
      <c r="C822" s="1" t="s">
        <v>2238</v>
      </c>
      <c r="D822" s="5" t="s">
        <v>2239</v>
      </c>
      <c r="E822" s="1" t="s">
        <v>2237</v>
      </c>
      <c r="F822" s="7">
        <v>6</v>
      </c>
      <c r="G822" s="1">
        <v>4</v>
      </c>
      <c r="H822" s="1" t="s">
        <v>68</v>
      </c>
      <c r="I822" s="1" t="s">
        <v>68</v>
      </c>
      <c r="J822" s="1" t="s">
        <v>4</v>
      </c>
      <c r="K822" s="2">
        <v>3.12500041890846E-5</v>
      </c>
      <c r="L822" s="2">
        <v>2.03066314939173E-5</v>
      </c>
      <c r="M822" s="1">
        <v>1.50124197118231E-2</v>
      </c>
      <c r="N822" s="1">
        <v>3.4780031012726802</v>
      </c>
    </row>
    <row r="823" spans="1:14">
      <c r="A823" s="1">
        <v>822</v>
      </c>
      <c r="B823" s="1" t="s">
        <v>2240</v>
      </c>
      <c r="C823" s="1" t="s">
        <v>2241</v>
      </c>
      <c r="D823" s="5" t="s">
        <v>2242</v>
      </c>
      <c r="E823" s="1" t="s">
        <v>2240</v>
      </c>
      <c r="F823" s="7">
        <v>7</v>
      </c>
      <c r="G823" s="1">
        <v>6</v>
      </c>
      <c r="H823" s="1" t="s">
        <v>8</v>
      </c>
      <c r="I823" s="1" t="s">
        <v>8</v>
      </c>
      <c r="J823" s="1" t="s">
        <v>4</v>
      </c>
      <c r="K823" s="2">
        <v>3.1249994297364202E-5</v>
      </c>
      <c r="L823" s="2">
        <v>2.60977312784634E-5</v>
      </c>
      <c r="M823" s="1">
        <v>1.2220423873372899E-2</v>
      </c>
      <c r="N823" s="1">
        <v>3.6745010155398701</v>
      </c>
    </row>
    <row r="824" spans="1:14">
      <c r="A824" s="1">
        <v>823</v>
      </c>
      <c r="B824" s="1" t="s">
        <v>2243</v>
      </c>
      <c r="C824" s="1" t="s">
        <v>2244</v>
      </c>
      <c r="D824" s="5" t="s">
        <v>954</v>
      </c>
      <c r="E824" s="1" t="s">
        <v>2243</v>
      </c>
      <c r="F824" s="7">
        <v>4</v>
      </c>
      <c r="G824" s="1">
        <v>3</v>
      </c>
      <c r="H824" s="1" t="s">
        <v>8</v>
      </c>
      <c r="I824" s="1" t="s">
        <v>8</v>
      </c>
      <c r="J824" s="1" t="s">
        <v>4</v>
      </c>
      <c r="K824" s="2">
        <v>3.12500144437354E-5</v>
      </c>
      <c r="L824" s="2">
        <v>2.7823450393859101E-5</v>
      </c>
      <c r="M824" s="1">
        <v>-2.3898066428273499E-2</v>
      </c>
      <c r="N824" s="1">
        <v>3.5703650501879398</v>
      </c>
    </row>
    <row r="825" spans="1:14">
      <c r="A825" s="1">
        <v>824</v>
      </c>
      <c r="B825" s="1" t="s">
        <v>2245</v>
      </c>
      <c r="C825" s="1" t="s">
        <v>2246</v>
      </c>
      <c r="D825" s="5" t="s">
        <v>1659</v>
      </c>
      <c r="E825" s="1" t="s">
        <v>2245</v>
      </c>
      <c r="F825" s="7">
        <v>5</v>
      </c>
      <c r="G825" s="1">
        <v>3</v>
      </c>
      <c r="H825" s="1" t="s">
        <v>98</v>
      </c>
      <c r="I825" s="1" t="s">
        <v>98</v>
      </c>
      <c r="J825" s="1" t="s">
        <v>4</v>
      </c>
      <c r="K825" s="2">
        <v>3.1250001379710298E-5</v>
      </c>
      <c r="L825" s="2">
        <v>1.6362311351164201E-5</v>
      </c>
      <c r="M825" s="1">
        <v>1.14454548431395E-2</v>
      </c>
      <c r="N825" s="1">
        <v>3.5085207841715</v>
      </c>
    </row>
    <row r="826" spans="1:14">
      <c r="A826" s="1">
        <v>825</v>
      </c>
      <c r="B826" s="1" t="s">
        <v>2247</v>
      </c>
      <c r="C826" s="1" t="s">
        <v>2248</v>
      </c>
      <c r="D826" s="5" t="s">
        <v>2249</v>
      </c>
      <c r="E826" s="1" t="s">
        <v>2247</v>
      </c>
      <c r="F826" s="7">
        <v>5</v>
      </c>
      <c r="G826" s="1">
        <v>4</v>
      </c>
      <c r="H826" s="1" t="s">
        <v>8</v>
      </c>
      <c r="I826" s="1" t="s">
        <v>8</v>
      </c>
      <c r="J826" s="1" t="s">
        <v>4</v>
      </c>
      <c r="K826" s="2">
        <v>3.1250004620069498E-5</v>
      </c>
      <c r="L826" s="2">
        <v>7.6322931979988208E-6</v>
      </c>
      <c r="M826" s="1">
        <v>1.4202598371475901E-2</v>
      </c>
      <c r="N826" s="1">
        <v>2.7361290881939802</v>
      </c>
    </row>
    <row r="827" spans="1:14">
      <c r="A827" s="1">
        <v>826</v>
      </c>
      <c r="B827" s="1" t="s">
        <v>2250</v>
      </c>
      <c r="C827" s="1" t="s">
        <v>2251</v>
      </c>
      <c r="D827" s="5" t="s">
        <v>2252</v>
      </c>
      <c r="E827" s="1" t="s">
        <v>2408</v>
      </c>
      <c r="F827" s="7">
        <v>4</v>
      </c>
      <c r="G827" s="1">
        <v>7</v>
      </c>
      <c r="H827" s="1" t="s">
        <v>8</v>
      </c>
      <c r="I827" s="1" t="s">
        <v>8</v>
      </c>
      <c r="J827" s="1" t="s">
        <v>180</v>
      </c>
      <c r="K827" s="2">
        <v>3.1249999101990198E-5</v>
      </c>
      <c r="L827" s="2">
        <v>5.2907311355501403E-6</v>
      </c>
      <c r="M827" s="1">
        <v>9.7412111066716902E-3</v>
      </c>
      <c r="N827" s="1">
        <v>4.0153546192133698</v>
      </c>
    </row>
    <row r="828" spans="1:14">
      <c r="A828" s="1">
        <v>827</v>
      </c>
      <c r="B828" s="1" t="s">
        <v>2253</v>
      </c>
      <c r="C828" s="1" t="s">
        <v>2254</v>
      </c>
      <c r="D828" s="5" t="s">
        <v>2255</v>
      </c>
      <c r="E828" s="1" t="s">
        <v>2253</v>
      </c>
      <c r="F828" s="7">
        <v>4</v>
      </c>
      <c r="G828" s="1">
        <v>6</v>
      </c>
      <c r="H828" s="1" t="s">
        <v>8</v>
      </c>
      <c r="I828" s="1" t="s">
        <v>8</v>
      </c>
      <c r="J828" s="1" t="s">
        <v>4</v>
      </c>
      <c r="K828" s="2">
        <v>3.1249998979648398E-5</v>
      </c>
      <c r="L828" s="2">
        <v>1.5801601350190899E-5</v>
      </c>
      <c r="M828" s="1">
        <v>1.7672032031349202E-2</v>
      </c>
      <c r="N828" s="1">
        <v>3.5399550085956402</v>
      </c>
    </row>
    <row r="829" spans="1:14">
      <c r="A829" s="1">
        <v>828</v>
      </c>
      <c r="B829" s="1" t="s">
        <v>2256</v>
      </c>
      <c r="C829" s="1" t="s">
        <v>2257</v>
      </c>
      <c r="D829" s="5" t="s">
        <v>2258</v>
      </c>
      <c r="E829" s="1" t="s">
        <v>2256</v>
      </c>
      <c r="F829" s="7">
        <v>7</v>
      </c>
      <c r="G829" s="1">
        <v>2</v>
      </c>
      <c r="H829" s="1" t="s">
        <v>44</v>
      </c>
      <c r="I829" s="1" t="s">
        <v>44</v>
      </c>
      <c r="J829" s="1" t="s">
        <v>4</v>
      </c>
      <c r="K829" s="2">
        <v>3.1250010927348003E-5</v>
      </c>
      <c r="L829" s="2">
        <v>2.27642930221027E-5</v>
      </c>
      <c r="M829" s="1">
        <v>-1.05928324281769E-2</v>
      </c>
      <c r="N829" s="1">
        <v>3.7297543334530801</v>
      </c>
    </row>
    <row r="830" spans="1:14">
      <c r="A830" s="1">
        <v>829</v>
      </c>
      <c r="B830" s="1" t="s">
        <v>2259</v>
      </c>
      <c r="C830" s="1" t="s">
        <v>2260</v>
      </c>
      <c r="D830" s="5" t="s">
        <v>2261</v>
      </c>
      <c r="E830" s="1" t="s">
        <v>2259</v>
      </c>
      <c r="F830" s="7">
        <v>7</v>
      </c>
      <c r="G830" s="1">
        <v>4</v>
      </c>
      <c r="H830" s="1" t="s">
        <v>8</v>
      </c>
      <c r="I830" s="1" t="s">
        <v>8</v>
      </c>
      <c r="J830" s="1" t="s">
        <v>4</v>
      </c>
      <c r="K830" s="2">
        <v>3.1250009993011302E-5</v>
      </c>
      <c r="L830" s="2">
        <v>2.4380291169880199E-5</v>
      </c>
      <c r="M830" s="1">
        <v>-1.5933657206772901E-2</v>
      </c>
      <c r="N830" s="1">
        <v>3.5267669088137601</v>
      </c>
    </row>
    <row r="831" spans="1:14">
      <c r="A831" s="1">
        <v>830</v>
      </c>
      <c r="B831" s="1" t="s">
        <v>2262</v>
      </c>
      <c r="C831" s="1" t="s">
        <v>2263</v>
      </c>
      <c r="D831" s="5" t="s">
        <v>2264</v>
      </c>
      <c r="E831" s="1" t="s">
        <v>2262</v>
      </c>
      <c r="F831" s="7">
        <v>4</v>
      </c>
      <c r="G831" s="1">
        <v>6</v>
      </c>
      <c r="H831" s="1" t="s">
        <v>8</v>
      </c>
      <c r="I831" s="1" t="s">
        <v>8</v>
      </c>
      <c r="J831" s="1" t="s">
        <v>4</v>
      </c>
      <c r="K831" s="2">
        <v>3.12500055133638E-5</v>
      </c>
      <c r="L831" s="2">
        <v>3.03987743591385E-5</v>
      </c>
      <c r="M831" s="1">
        <v>7.7308756949676597E-3</v>
      </c>
      <c r="N831" s="1">
        <v>2.63412614148121</v>
      </c>
    </row>
    <row r="832" spans="1:14">
      <c r="A832" s="1">
        <v>831</v>
      </c>
      <c r="B832" s="1" t="s">
        <v>2265</v>
      </c>
      <c r="C832" s="1" t="s">
        <v>2266</v>
      </c>
      <c r="D832" s="5" t="s">
        <v>500</v>
      </c>
      <c r="E832" s="1" t="s">
        <v>2409</v>
      </c>
      <c r="F832" s="7">
        <v>4</v>
      </c>
      <c r="G832" s="1">
        <v>4</v>
      </c>
      <c r="H832" s="1" t="s">
        <v>8</v>
      </c>
      <c r="I832" s="1" t="s">
        <v>8</v>
      </c>
      <c r="J832" s="1" t="s">
        <v>180</v>
      </c>
      <c r="K832" s="2">
        <v>3.12500001041092E-5</v>
      </c>
      <c r="L832" s="2">
        <v>1.6130171662921E-6</v>
      </c>
      <c r="M832" s="1">
        <v>-2.2210593624910398E-2</v>
      </c>
      <c r="N832" s="1">
        <v>3.4298015564028601</v>
      </c>
    </row>
    <row r="833" spans="1:14">
      <c r="A833" s="1">
        <v>832</v>
      </c>
      <c r="B833" s="1" t="s">
        <v>2267</v>
      </c>
      <c r="C833" s="1" t="s">
        <v>2268</v>
      </c>
      <c r="D833" s="5" t="s">
        <v>2269</v>
      </c>
      <c r="E833" s="1" t="s">
        <v>2267</v>
      </c>
      <c r="F833" s="7">
        <v>5</v>
      </c>
      <c r="G833" s="1">
        <v>5</v>
      </c>
      <c r="H833" s="1" t="s">
        <v>8</v>
      </c>
      <c r="I833" s="1" t="s">
        <v>8</v>
      </c>
      <c r="J833" s="1" t="s">
        <v>4</v>
      </c>
      <c r="K833" s="2">
        <v>3.1250011712704998E-5</v>
      </c>
      <c r="L833" s="2">
        <v>3.0939762857121998E-5</v>
      </c>
      <c r="M833" s="1">
        <v>4.6305221575273899E-2</v>
      </c>
      <c r="N833" s="1">
        <v>2.98495677325025</v>
      </c>
    </row>
    <row r="834" spans="1:14">
      <c r="A834" s="1">
        <v>833</v>
      </c>
      <c r="B834" s="1" t="s">
        <v>2270</v>
      </c>
      <c r="C834" s="1" t="s">
        <v>2271</v>
      </c>
      <c r="D834" s="5" t="s">
        <v>1188</v>
      </c>
      <c r="E834" s="1" t="s">
        <v>2270</v>
      </c>
      <c r="F834" s="7">
        <v>7</v>
      </c>
      <c r="G834" s="1">
        <v>4</v>
      </c>
      <c r="H834" s="1" t="s">
        <v>3</v>
      </c>
      <c r="I834" s="1" t="s">
        <v>3</v>
      </c>
      <c r="J834" s="1" t="s">
        <v>4</v>
      </c>
      <c r="K834" s="2">
        <v>3.1250002808386398E-5</v>
      </c>
      <c r="L834" s="2">
        <v>1.7244515838818199E-6</v>
      </c>
      <c r="M834" s="1">
        <v>2.1100811394091999E-2</v>
      </c>
      <c r="N834" s="1">
        <v>3.6947414818414801</v>
      </c>
    </row>
    <row r="835" spans="1:14">
      <c r="A835" s="1">
        <v>834</v>
      </c>
      <c r="B835" s="1" t="s">
        <v>2272</v>
      </c>
      <c r="C835" s="1" t="s">
        <v>2273</v>
      </c>
      <c r="D835" s="5" t="s">
        <v>2274</v>
      </c>
      <c r="E835" s="1" t="s">
        <v>2275</v>
      </c>
      <c r="F835" s="7">
        <v>5</v>
      </c>
      <c r="G835" s="1">
        <v>7</v>
      </c>
      <c r="H835" s="1" t="s">
        <v>8</v>
      </c>
      <c r="I835" s="1" t="s">
        <v>8</v>
      </c>
      <c r="J835" s="1" t="s">
        <v>180</v>
      </c>
      <c r="K835" s="2">
        <v>3.1250001761344997E-5</v>
      </c>
      <c r="L835" s="2">
        <v>1.61885296001093E-6</v>
      </c>
      <c r="M835" s="1">
        <v>1.606850729792E-2</v>
      </c>
      <c r="N835" s="1">
        <v>3.2965291853312801</v>
      </c>
    </row>
    <row r="836" spans="1:14">
      <c r="A836" s="1">
        <v>835</v>
      </c>
      <c r="B836" s="1" t="s">
        <v>2276</v>
      </c>
      <c r="C836" s="1" t="s">
        <v>2277</v>
      </c>
      <c r="D836" s="5" t="s">
        <v>2278</v>
      </c>
      <c r="E836" s="1" t="s">
        <v>2276</v>
      </c>
      <c r="F836" s="7">
        <v>5</v>
      </c>
      <c r="G836" s="1">
        <v>6</v>
      </c>
      <c r="H836" s="1" t="s">
        <v>8</v>
      </c>
      <c r="I836" s="1" t="s">
        <v>8</v>
      </c>
      <c r="J836" s="1" t="s">
        <v>4</v>
      </c>
      <c r="K836" s="2">
        <v>3.12500110442668E-5</v>
      </c>
      <c r="L836" s="2">
        <v>3.1115999983713398E-5</v>
      </c>
      <c r="M836" s="1">
        <v>-1.78403996372473E-2</v>
      </c>
      <c r="N836" s="1">
        <v>3.8440849141612499</v>
      </c>
    </row>
    <row r="837" spans="1:14">
      <c r="A837" s="1">
        <v>836</v>
      </c>
      <c r="B837" s="1" t="s">
        <v>2279</v>
      </c>
      <c r="C837" s="1" t="s">
        <v>2280</v>
      </c>
      <c r="D837" s="5" t="s">
        <v>61</v>
      </c>
      <c r="E837" s="1" t="s">
        <v>2281</v>
      </c>
      <c r="F837" s="7">
        <v>4</v>
      </c>
      <c r="G837" s="1">
        <v>2</v>
      </c>
      <c r="H837" s="1" t="s">
        <v>22</v>
      </c>
      <c r="I837" s="1" t="s">
        <v>8</v>
      </c>
      <c r="J837" s="1" t="s">
        <v>180</v>
      </c>
      <c r="K837" s="2">
        <v>3.1250014360197799E-5</v>
      </c>
      <c r="L837" s="2">
        <v>2.99127437541246E-5</v>
      </c>
      <c r="M837" s="1">
        <v>1.9782348575233699E-2</v>
      </c>
      <c r="N837" s="1">
        <v>2.66727654468307</v>
      </c>
    </row>
    <row r="838" spans="1:14">
      <c r="A838" s="1">
        <v>837</v>
      </c>
      <c r="B838" s="1" t="s">
        <v>2282</v>
      </c>
      <c r="C838" s="1" t="s">
        <v>2283</v>
      </c>
      <c r="D838" s="5" t="s">
        <v>1797</v>
      </c>
      <c r="E838" s="1" t="s">
        <v>2282</v>
      </c>
      <c r="F838" s="7">
        <v>4</v>
      </c>
      <c r="G838" s="1">
        <v>8</v>
      </c>
      <c r="H838" s="1" t="s">
        <v>8</v>
      </c>
      <c r="I838" s="1" t="s">
        <v>8</v>
      </c>
      <c r="J838" s="1" t="s">
        <v>4</v>
      </c>
      <c r="K838" s="2">
        <v>3.1250008522737699E-5</v>
      </c>
      <c r="L838" s="2">
        <v>2.00113570280952E-5</v>
      </c>
      <c r="M838" s="1">
        <v>1.43157172264665E-2</v>
      </c>
      <c r="N838" s="1">
        <v>3.0688727494443402</v>
      </c>
    </row>
    <row r="839" spans="1:14">
      <c r="A839" s="1">
        <v>838</v>
      </c>
      <c r="B839" s="1" t="s">
        <v>2284</v>
      </c>
      <c r="C839" s="1" t="s">
        <v>2285</v>
      </c>
      <c r="D839" s="5" t="s">
        <v>942</v>
      </c>
      <c r="E839" s="1" t="s">
        <v>2284</v>
      </c>
      <c r="F839" s="7">
        <v>5</v>
      </c>
      <c r="G839" s="1">
        <v>5</v>
      </c>
      <c r="H839" s="1" t="s">
        <v>8</v>
      </c>
      <c r="I839" s="1" t="s">
        <v>8</v>
      </c>
      <c r="J839" s="1" t="s">
        <v>4</v>
      </c>
      <c r="K839" s="2">
        <v>3.1250001851696897E-5</v>
      </c>
      <c r="L839" s="2">
        <v>2.59349166694623E-5</v>
      </c>
      <c r="M839" s="1">
        <v>2.0933588938078101E-2</v>
      </c>
      <c r="N839" s="1">
        <v>3.44732680151334</v>
      </c>
    </row>
    <row r="840" spans="1:14">
      <c r="A840" s="1">
        <v>839</v>
      </c>
      <c r="B840" s="1" t="s">
        <v>2286</v>
      </c>
      <c r="C840" s="1" t="s">
        <v>2287</v>
      </c>
      <c r="D840" s="5" t="s">
        <v>1033</v>
      </c>
      <c r="E840" s="1" t="s">
        <v>2286</v>
      </c>
      <c r="F840" s="7">
        <v>4</v>
      </c>
      <c r="G840" s="1">
        <v>7</v>
      </c>
      <c r="H840" s="1" t="s">
        <v>8</v>
      </c>
      <c r="I840" s="1" t="s">
        <v>8</v>
      </c>
      <c r="J840" s="1" t="s">
        <v>4</v>
      </c>
      <c r="K840" s="2">
        <v>3.1250005833910802E-5</v>
      </c>
      <c r="L840" s="2">
        <v>3.0996486823479897E-5</v>
      </c>
      <c r="M840" s="1">
        <v>-1.2919647941479401E-2</v>
      </c>
      <c r="N840" s="1">
        <v>3.5284677745908</v>
      </c>
    </row>
    <row r="841" spans="1:14">
      <c r="A841" s="1">
        <v>840</v>
      </c>
      <c r="B841" s="1" t="s">
        <v>2288</v>
      </c>
      <c r="C841" s="1" t="s">
        <v>2289</v>
      </c>
      <c r="D841" s="5" t="s">
        <v>2290</v>
      </c>
      <c r="E841" s="1" t="s">
        <v>2288</v>
      </c>
      <c r="F841" s="7">
        <v>6</v>
      </c>
      <c r="G841" s="1">
        <v>10</v>
      </c>
      <c r="H841" s="1" t="s">
        <v>8</v>
      </c>
      <c r="I841" s="1" t="s">
        <v>8</v>
      </c>
      <c r="J841" s="1" t="s">
        <v>4</v>
      </c>
      <c r="K841" s="2">
        <v>3.1250002817966903E-5</v>
      </c>
      <c r="L841" s="2">
        <v>3.1064397282327803E-5</v>
      </c>
      <c r="M841" s="1">
        <v>2.2222147775025201E-2</v>
      </c>
      <c r="N841" s="1">
        <v>2.54251347672237</v>
      </c>
    </row>
    <row r="842" spans="1:14">
      <c r="A842" s="1">
        <v>841</v>
      </c>
      <c r="B842" s="1" t="s">
        <v>2291</v>
      </c>
      <c r="C842" s="1" t="s">
        <v>2292</v>
      </c>
      <c r="D842" s="5" t="s">
        <v>2293</v>
      </c>
      <c r="E842" s="1" t="s">
        <v>2294</v>
      </c>
      <c r="F842" s="7">
        <v>5</v>
      </c>
      <c r="G842" s="1">
        <v>5</v>
      </c>
      <c r="H842" s="1" t="s">
        <v>8</v>
      </c>
      <c r="I842" s="1" t="s">
        <v>68</v>
      </c>
      <c r="J842" s="1" t="s">
        <v>180</v>
      </c>
      <c r="K842" s="2">
        <v>3.1249999706114899E-5</v>
      </c>
      <c r="L842" s="2">
        <v>4.5433095637157101E-7</v>
      </c>
      <c r="M842" s="1">
        <v>4.5216414802883499E-2</v>
      </c>
      <c r="N842" s="1">
        <v>3.4994719503255798</v>
      </c>
    </row>
    <row r="843" spans="1:14">
      <c r="A843" s="1">
        <v>842</v>
      </c>
      <c r="B843" s="1" t="s">
        <v>2295</v>
      </c>
      <c r="C843" s="1" t="s">
        <v>2296</v>
      </c>
      <c r="D843" s="5" t="s">
        <v>1373</v>
      </c>
      <c r="E843" s="1" t="s">
        <v>2295</v>
      </c>
      <c r="F843" s="7">
        <v>5</v>
      </c>
      <c r="G843" s="1">
        <v>5</v>
      </c>
      <c r="H843" s="1" t="s">
        <v>8</v>
      </c>
      <c r="I843" s="1" t="s">
        <v>8</v>
      </c>
      <c r="J843" s="1" t="s">
        <v>4</v>
      </c>
      <c r="K843" s="2">
        <v>3.1250000171155998E-5</v>
      </c>
      <c r="L843" s="2">
        <v>1.5997167440704099E-6</v>
      </c>
      <c r="M843" s="1">
        <v>4.3807681565929998E-2</v>
      </c>
      <c r="N843" s="1">
        <v>3.0105587693843501</v>
      </c>
    </row>
    <row r="844" spans="1:14">
      <c r="A844" s="1">
        <v>843</v>
      </c>
      <c r="B844" s="1" t="s">
        <v>2297</v>
      </c>
      <c r="C844" s="1" t="s">
        <v>2298</v>
      </c>
      <c r="D844" s="5" t="s">
        <v>1999</v>
      </c>
      <c r="E844" s="1" t="s">
        <v>2297</v>
      </c>
      <c r="F844" s="7">
        <v>4</v>
      </c>
      <c r="G844" s="1">
        <v>7</v>
      </c>
      <c r="H844" s="1" t="s">
        <v>8</v>
      </c>
      <c r="I844" s="1" t="s">
        <v>8</v>
      </c>
      <c r="J844" s="1" t="s">
        <v>4</v>
      </c>
      <c r="K844" s="2">
        <v>3.1250004590203299E-5</v>
      </c>
      <c r="L844" s="2">
        <v>2.8811295772462599E-5</v>
      </c>
      <c r="M844" s="1">
        <v>-1.19191754028946E-2</v>
      </c>
      <c r="N844" s="1">
        <v>3.3274340907573898</v>
      </c>
    </row>
    <row r="845" spans="1:14">
      <c r="A845" s="1">
        <v>844</v>
      </c>
      <c r="B845" s="1" t="s">
        <v>2299</v>
      </c>
      <c r="C845" s="1" t="s">
        <v>2300</v>
      </c>
      <c r="D845" s="5" t="s">
        <v>2301</v>
      </c>
      <c r="E845" s="1" t="s">
        <v>2410</v>
      </c>
      <c r="F845" s="7">
        <v>6</v>
      </c>
      <c r="G845" s="1">
        <v>4</v>
      </c>
      <c r="H845" s="1" t="s">
        <v>3</v>
      </c>
      <c r="I845" s="1" t="s">
        <v>8</v>
      </c>
      <c r="J845" s="1" t="s">
        <v>180</v>
      </c>
      <c r="K845" s="2">
        <v>3.12500011121827E-5</v>
      </c>
      <c r="L845" s="2">
        <v>6.32013759708173E-6</v>
      </c>
      <c r="M845" s="1">
        <v>-6.4974825426062904E-3</v>
      </c>
      <c r="N845" s="1">
        <v>3.8582100078624499</v>
      </c>
    </row>
    <row r="846" spans="1:14">
      <c r="A846" s="1">
        <v>845</v>
      </c>
      <c r="B846" s="1" t="s">
        <v>2302</v>
      </c>
      <c r="C846" s="1" t="s">
        <v>2303</v>
      </c>
      <c r="D846" s="5" t="s">
        <v>2210</v>
      </c>
      <c r="E846" s="1" t="s">
        <v>2411</v>
      </c>
      <c r="F846" s="7">
        <v>8</v>
      </c>
      <c r="G846" s="1">
        <v>7</v>
      </c>
      <c r="H846" s="1" t="s">
        <v>8</v>
      </c>
      <c r="I846" s="1" t="s">
        <v>8</v>
      </c>
      <c r="J846" s="1" t="s">
        <v>180</v>
      </c>
      <c r="K846" s="2">
        <v>3.12499986979681E-5</v>
      </c>
      <c r="L846" s="2">
        <v>4.3735407379976697E-6</v>
      </c>
      <c r="M846" s="1">
        <v>-1.10842891259821E-2</v>
      </c>
      <c r="N846" s="1">
        <v>3.7399905908684801</v>
      </c>
    </row>
    <row r="847" spans="1:14">
      <c r="A847" s="1">
        <v>846</v>
      </c>
      <c r="B847" s="1" t="s">
        <v>2304</v>
      </c>
      <c r="C847" s="1" t="s">
        <v>2305</v>
      </c>
      <c r="D847" s="5" t="s">
        <v>2306</v>
      </c>
      <c r="E847" s="1" t="s">
        <v>2412</v>
      </c>
      <c r="F847" s="7">
        <v>4</v>
      </c>
      <c r="G847" s="1">
        <v>4</v>
      </c>
      <c r="H847" s="1" t="s">
        <v>8</v>
      </c>
      <c r="I847" s="1" t="s">
        <v>22</v>
      </c>
      <c r="J847" s="1" t="s">
        <v>180</v>
      </c>
      <c r="K847" s="2">
        <v>3.1250001763777798E-5</v>
      </c>
      <c r="L847" s="2">
        <v>2.7679705812592602E-7</v>
      </c>
      <c r="M847" s="1">
        <v>4.5811384494157802E-2</v>
      </c>
      <c r="N847" s="1">
        <v>2.6891088691587699</v>
      </c>
    </row>
    <row r="848" spans="1:14">
      <c r="A848" s="1">
        <v>847</v>
      </c>
      <c r="B848" s="1" t="s">
        <v>2307</v>
      </c>
      <c r="C848" s="1" t="s">
        <v>2308</v>
      </c>
      <c r="D848" s="5" t="s">
        <v>2309</v>
      </c>
      <c r="E848" s="1" t="s">
        <v>2307</v>
      </c>
      <c r="F848" s="7">
        <v>4</v>
      </c>
      <c r="G848" s="1">
        <v>4</v>
      </c>
      <c r="H848" s="1" t="s">
        <v>8</v>
      </c>
      <c r="I848" s="1" t="s">
        <v>8</v>
      </c>
      <c r="J848" s="1" t="s">
        <v>4</v>
      </c>
      <c r="K848" s="2">
        <v>3.12500028941977E-5</v>
      </c>
      <c r="L848" s="2">
        <v>3.10115404908184E-5</v>
      </c>
      <c r="M848" s="1">
        <v>-9.6443901315836893E-3</v>
      </c>
      <c r="N848" s="1">
        <v>2.2772698260270299</v>
      </c>
    </row>
    <row r="849" spans="1:14">
      <c r="A849" s="1">
        <v>848</v>
      </c>
      <c r="B849" s="1" t="s">
        <v>2310</v>
      </c>
      <c r="C849" s="1" t="s">
        <v>2311</v>
      </c>
      <c r="D849" s="5" t="s">
        <v>2312</v>
      </c>
      <c r="E849" s="1" t="s">
        <v>2310</v>
      </c>
      <c r="F849" s="7">
        <v>4</v>
      </c>
      <c r="G849" s="1">
        <v>4</v>
      </c>
      <c r="H849" s="1" t="s">
        <v>8</v>
      </c>
      <c r="I849" s="1" t="s">
        <v>8</v>
      </c>
      <c r="J849" s="1" t="s">
        <v>4</v>
      </c>
      <c r="K849" s="2">
        <v>3.1250011017835503E-5</v>
      </c>
      <c r="L849" s="2">
        <v>4.4894465343965802E-6</v>
      </c>
      <c r="M849" s="1">
        <v>2.2865278991478201E-2</v>
      </c>
      <c r="N849" s="1">
        <v>3.0762027573601798</v>
      </c>
    </row>
    <row r="850" spans="1:14">
      <c r="A850" s="1">
        <v>849</v>
      </c>
      <c r="B850" s="1" t="s">
        <v>2313</v>
      </c>
      <c r="C850" s="1" t="s">
        <v>2314</v>
      </c>
      <c r="D850" s="5" t="s">
        <v>534</v>
      </c>
      <c r="E850" s="1" t="s">
        <v>2315</v>
      </c>
      <c r="F850" s="7">
        <v>5</v>
      </c>
      <c r="G850" s="1">
        <v>4</v>
      </c>
      <c r="H850" s="1" t="s">
        <v>8</v>
      </c>
      <c r="I850" s="1" t="s">
        <v>44</v>
      </c>
      <c r="J850" s="1" t="s">
        <v>180</v>
      </c>
      <c r="K850" s="2">
        <v>3.1249998853531901E-5</v>
      </c>
      <c r="L850" s="2">
        <v>9.3469423353955402E-7</v>
      </c>
      <c r="M850" s="1">
        <v>-1.8609304127473001E-2</v>
      </c>
      <c r="N850" s="1">
        <v>3.3174490794481901</v>
      </c>
    </row>
    <row r="851" spans="1:14">
      <c r="A851" s="1">
        <v>850</v>
      </c>
      <c r="B851" s="1" t="s">
        <v>2316</v>
      </c>
      <c r="C851" s="1" t="s">
        <v>2317</v>
      </c>
      <c r="D851" s="5" t="s">
        <v>2318</v>
      </c>
      <c r="E851" s="1" t="s">
        <v>2413</v>
      </c>
      <c r="F851" s="7">
        <v>5</v>
      </c>
      <c r="G851" s="1">
        <v>3</v>
      </c>
      <c r="H851" s="1" t="s">
        <v>98</v>
      </c>
      <c r="I851" s="1" t="s">
        <v>8</v>
      </c>
      <c r="J851" s="1" t="s">
        <v>180</v>
      </c>
      <c r="K851" s="2">
        <v>3.1250003634553E-5</v>
      </c>
      <c r="L851" s="2">
        <v>3.9557010508916998E-6</v>
      </c>
      <c r="M851" s="1">
        <v>-5.8210913186229596E-4</v>
      </c>
      <c r="N851" s="1">
        <v>3.5807831517463899</v>
      </c>
    </row>
    <row r="852" spans="1:14">
      <c r="A852" s="1">
        <v>851</v>
      </c>
      <c r="B852" s="1" t="s">
        <v>2319</v>
      </c>
      <c r="C852" s="1" t="s">
        <v>2320</v>
      </c>
      <c r="D852" s="5" t="s">
        <v>425</v>
      </c>
      <c r="E852" s="1" t="s">
        <v>2319</v>
      </c>
      <c r="F852" s="7">
        <v>4</v>
      </c>
      <c r="G852" s="1">
        <v>4</v>
      </c>
      <c r="H852" s="1" t="s">
        <v>8</v>
      </c>
      <c r="I852" s="1" t="s">
        <v>8</v>
      </c>
      <c r="J852" s="1" t="s">
        <v>4</v>
      </c>
      <c r="K852" s="2">
        <v>3.1250003336894597E-5</v>
      </c>
      <c r="L852" s="2">
        <v>4.3619086984606899E-6</v>
      </c>
      <c r="M852" s="1">
        <v>-3.6271601983308699E-3</v>
      </c>
      <c r="N852" s="1">
        <v>3.2778330319426798</v>
      </c>
    </row>
    <row r="853" spans="1:14">
      <c r="A853" s="1">
        <v>852</v>
      </c>
      <c r="B853" s="1" t="s">
        <v>2321</v>
      </c>
      <c r="C853" s="1" t="s">
        <v>2322</v>
      </c>
      <c r="D853" s="5" t="s">
        <v>2323</v>
      </c>
      <c r="E853" s="1" t="s">
        <v>2321</v>
      </c>
      <c r="F853" s="7">
        <v>5</v>
      </c>
      <c r="G853" s="1">
        <v>8</v>
      </c>
      <c r="H853" s="1" t="s">
        <v>8</v>
      </c>
      <c r="I853" s="1" t="s">
        <v>8</v>
      </c>
      <c r="J853" s="1" t="s">
        <v>4</v>
      </c>
      <c r="K853" s="2">
        <v>3.1250009071430897E-5</v>
      </c>
      <c r="L853" s="2">
        <v>2.20737765758779E-5</v>
      </c>
      <c r="M853" s="1">
        <v>9.0312755127754905E-3</v>
      </c>
      <c r="N853" s="1">
        <v>3.4203543264446301</v>
      </c>
    </row>
  </sheetData>
  <autoFilter ref="A1:N853" xr:uid="{6F34C1AE-5520-1941-9E9B-82FA3461AB8E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2D9C-502D-4E4D-918A-E5FF9328CE87}">
  <dimension ref="A3:D15"/>
  <sheetViews>
    <sheetView workbookViewId="0">
      <selection activeCell="A4" sqref="A4:C14"/>
    </sheetView>
  </sheetViews>
  <sheetFormatPr baseColWidth="10" defaultRowHeight="16"/>
  <cols>
    <col min="1" max="2" width="10.5" bestFit="1" customWidth="1"/>
    <col min="3" max="3" width="5.5" bestFit="1" customWidth="1"/>
    <col min="4" max="4" width="6" bestFit="1" customWidth="1"/>
    <col min="5" max="5" width="14.33203125" bestFit="1" customWidth="1"/>
    <col min="6" max="7" width="22.33203125" bestFit="1" customWidth="1"/>
    <col min="8" max="12" width="4.33203125" bestFit="1" customWidth="1"/>
    <col min="13" max="13" width="6" bestFit="1" customWidth="1"/>
    <col min="14" max="14" width="10.1640625" bestFit="1" customWidth="1"/>
    <col min="15" max="15" width="17.83203125" bestFit="1" customWidth="1"/>
    <col min="16" max="16" width="10.1640625" bestFit="1" customWidth="1"/>
    <col min="17" max="17" width="17.83203125" bestFit="1" customWidth="1"/>
    <col min="18" max="18" width="10.1640625" bestFit="1" customWidth="1"/>
    <col min="19" max="19" width="17.83203125" bestFit="1" customWidth="1"/>
    <col min="20" max="20" width="10.1640625" bestFit="1" customWidth="1"/>
    <col min="21" max="21" width="17.83203125" bestFit="1" customWidth="1"/>
    <col min="22" max="22" width="10.1640625" bestFit="1" customWidth="1"/>
    <col min="23" max="23" width="17.83203125" bestFit="1" customWidth="1"/>
    <col min="24" max="24" width="14.33203125" bestFit="1" customWidth="1"/>
    <col min="25" max="25" width="22.33203125" bestFit="1" customWidth="1"/>
    <col min="26" max="28" width="4.33203125" bestFit="1" customWidth="1"/>
    <col min="29" max="30" width="3.1640625" bestFit="1" customWidth="1"/>
    <col min="31" max="31" width="4.33203125" bestFit="1" customWidth="1"/>
    <col min="32" max="32" width="7.6640625" bestFit="1" customWidth="1"/>
    <col min="33" max="33" width="5.33203125" bestFit="1" customWidth="1"/>
    <col min="34" max="35" width="4.33203125" bestFit="1" customWidth="1"/>
    <col min="36" max="38" width="3.1640625" bestFit="1" customWidth="1"/>
    <col min="39" max="39" width="7.6640625" bestFit="1" customWidth="1"/>
    <col min="40" max="40" width="5.33203125" bestFit="1" customWidth="1"/>
    <col min="41" max="41" width="4.33203125" bestFit="1" customWidth="1"/>
    <col min="42" max="45" width="3.1640625" bestFit="1" customWidth="1"/>
    <col min="46" max="46" width="4.33203125" bestFit="1" customWidth="1"/>
    <col min="47" max="47" width="7.6640625" bestFit="1" customWidth="1"/>
    <col min="48" max="48" width="5.33203125" bestFit="1" customWidth="1"/>
    <col min="49" max="49" width="4.33203125" bestFit="1" customWidth="1"/>
    <col min="50" max="51" width="3.1640625" bestFit="1" customWidth="1"/>
    <col min="52" max="52" width="7.6640625" bestFit="1" customWidth="1"/>
    <col min="53" max="53" width="5.33203125" bestFit="1" customWidth="1"/>
    <col min="54" max="55" width="3.1640625" bestFit="1" customWidth="1"/>
    <col min="56" max="56" width="7.6640625" bestFit="1" customWidth="1"/>
    <col min="57" max="57" width="6.5" bestFit="1" customWidth="1"/>
    <col min="58" max="58" width="8.83203125" bestFit="1" customWidth="1"/>
    <col min="59" max="59" width="6.5" bestFit="1" customWidth="1"/>
    <col min="60" max="60" width="8.83203125" bestFit="1" customWidth="1"/>
    <col min="61" max="61" width="6.5" bestFit="1" customWidth="1"/>
    <col min="62" max="62" width="8.83203125" bestFit="1" customWidth="1"/>
    <col min="63" max="63" width="6" bestFit="1" customWidth="1"/>
  </cols>
  <sheetData>
    <row r="3" spans="1:4">
      <c r="A3" s="8" t="s">
        <v>2419</v>
      </c>
      <c r="B3" s="8" t="s">
        <v>2418</v>
      </c>
    </row>
    <row r="4" spans="1:4">
      <c r="A4" s="8" t="s">
        <v>2416</v>
      </c>
      <c r="B4" t="s">
        <v>180</v>
      </c>
      <c r="C4" t="s">
        <v>4</v>
      </c>
      <c r="D4" t="s">
        <v>2417</v>
      </c>
    </row>
    <row r="5" spans="1:4">
      <c r="A5" s="9">
        <v>4</v>
      </c>
      <c r="B5">
        <v>97</v>
      </c>
      <c r="C5">
        <v>347</v>
      </c>
      <c r="D5">
        <v>444</v>
      </c>
    </row>
    <row r="6" spans="1:4">
      <c r="A6" s="9">
        <v>5</v>
      </c>
      <c r="B6">
        <v>18</v>
      </c>
      <c r="C6">
        <v>183</v>
      </c>
      <c r="D6">
        <v>201</v>
      </c>
    </row>
    <row r="7" spans="1:4">
      <c r="A7" s="9">
        <v>6</v>
      </c>
      <c r="B7">
        <v>9</v>
      </c>
      <c r="C7">
        <v>105</v>
      </c>
      <c r="D7">
        <v>114</v>
      </c>
    </row>
    <row r="8" spans="1:4">
      <c r="A8" s="9">
        <v>7</v>
      </c>
      <c r="B8">
        <v>6</v>
      </c>
      <c r="C8">
        <v>52</v>
      </c>
      <c r="D8">
        <v>58</v>
      </c>
    </row>
    <row r="9" spans="1:4">
      <c r="A9" s="9">
        <v>8</v>
      </c>
      <c r="B9">
        <v>2</v>
      </c>
      <c r="C9">
        <v>18</v>
      </c>
      <c r="D9">
        <v>20</v>
      </c>
    </row>
    <row r="10" spans="1:4">
      <c r="A10" s="9">
        <v>9</v>
      </c>
      <c r="C10">
        <v>10</v>
      </c>
      <c r="D10">
        <v>10</v>
      </c>
    </row>
    <row r="11" spans="1:4">
      <c r="A11" s="9">
        <v>10</v>
      </c>
      <c r="C11">
        <v>1</v>
      </c>
      <c r="D11">
        <v>1</v>
      </c>
    </row>
    <row r="12" spans="1:4">
      <c r="A12" s="9">
        <v>11</v>
      </c>
      <c r="C12">
        <v>2</v>
      </c>
      <c r="D12">
        <v>2</v>
      </c>
    </row>
    <row r="13" spans="1:4">
      <c r="A13" s="9">
        <v>12</v>
      </c>
      <c r="C13">
        <v>1</v>
      </c>
      <c r="D13">
        <v>1</v>
      </c>
    </row>
    <row r="14" spans="1:4">
      <c r="A14" s="9">
        <v>13</v>
      </c>
      <c r="C14">
        <v>1</v>
      </c>
      <c r="D14">
        <v>1</v>
      </c>
    </row>
    <row r="15" spans="1:4">
      <c r="A15" s="9" t="s">
        <v>2417</v>
      </c>
      <c r="B15">
        <v>132</v>
      </c>
      <c r="C15">
        <v>720</v>
      </c>
      <c r="D15">
        <v>852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65BB-CFDF-C24A-A9E0-E338145929D0}">
  <dimension ref="A1:T93"/>
  <sheetViews>
    <sheetView topLeftCell="A53" workbookViewId="0">
      <selection activeCell="B63" sqref="B63:C63"/>
    </sheetView>
  </sheetViews>
  <sheetFormatPr baseColWidth="10" defaultRowHeight="16"/>
  <sheetData>
    <row r="1" spans="1:3">
      <c r="A1" s="17"/>
      <c r="B1" s="17" t="s">
        <v>4</v>
      </c>
      <c r="C1" s="17" t="s">
        <v>180</v>
      </c>
    </row>
    <row r="2" spans="1:3">
      <c r="A2" s="18">
        <v>2</v>
      </c>
      <c r="B2" s="20">
        <v>63</v>
      </c>
      <c r="C2" s="20">
        <v>9</v>
      </c>
    </row>
    <row r="3" spans="1:3">
      <c r="A3" s="18">
        <v>3</v>
      </c>
      <c r="B3" s="20">
        <v>121</v>
      </c>
      <c r="C3" s="20">
        <v>18</v>
      </c>
    </row>
    <row r="4" spans="1:3">
      <c r="A4" s="18">
        <v>4</v>
      </c>
      <c r="B4" s="20">
        <v>207</v>
      </c>
      <c r="C4" s="20">
        <v>39</v>
      </c>
    </row>
    <row r="5" spans="1:3">
      <c r="A5" s="18">
        <v>5</v>
      </c>
      <c r="B5" s="20">
        <v>172</v>
      </c>
      <c r="C5" s="20">
        <v>22</v>
      </c>
    </row>
    <row r="6" spans="1:3">
      <c r="A6" s="18">
        <v>6</v>
      </c>
      <c r="B6" s="20">
        <v>70</v>
      </c>
      <c r="C6" s="20">
        <v>19</v>
      </c>
    </row>
    <row r="7" spans="1:3">
      <c r="A7" s="18">
        <v>7</v>
      </c>
      <c r="B7" s="20">
        <v>49</v>
      </c>
      <c r="C7" s="20">
        <v>13</v>
      </c>
    </row>
    <row r="8" spans="1:3">
      <c r="A8" s="18">
        <v>8</v>
      </c>
      <c r="B8" s="20">
        <v>29</v>
      </c>
      <c r="C8" s="20">
        <v>5</v>
      </c>
    </row>
    <row r="9" spans="1:3">
      <c r="A9" s="18">
        <v>9</v>
      </c>
      <c r="B9" s="20">
        <v>5</v>
      </c>
      <c r="C9" s="20">
        <v>6</v>
      </c>
    </row>
    <row r="10" spans="1:3">
      <c r="A10" s="18">
        <v>10</v>
      </c>
      <c r="B10" s="20">
        <v>2</v>
      </c>
      <c r="C10" s="20">
        <v>0</v>
      </c>
    </row>
    <row r="11" spans="1:3">
      <c r="A11" s="18">
        <v>11</v>
      </c>
      <c r="B11" s="20">
        <v>2</v>
      </c>
      <c r="C11" s="20">
        <v>0</v>
      </c>
    </row>
    <row r="12" spans="1:3">
      <c r="A12" s="18">
        <v>12</v>
      </c>
      <c r="B12" s="20">
        <v>0</v>
      </c>
      <c r="C12" s="20">
        <v>1</v>
      </c>
    </row>
    <row r="16" spans="1:3">
      <c r="A16" t="s">
        <v>2420</v>
      </c>
    </row>
    <row r="38" spans="1:8">
      <c r="A38" s="14" t="s">
        <v>2459</v>
      </c>
      <c r="B38" s="14" t="s">
        <v>2460</v>
      </c>
      <c r="C38" s="14" t="s">
        <v>2461</v>
      </c>
      <c r="F38" s="17"/>
      <c r="G38" s="17" t="s">
        <v>4</v>
      </c>
      <c r="H38" s="17" t="s">
        <v>180</v>
      </c>
    </row>
    <row r="39" spans="1:8">
      <c r="A39" s="15">
        <v>2</v>
      </c>
      <c r="B39" s="16">
        <v>63</v>
      </c>
      <c r="C39" s="16">
        <v>9</v>
      </c>
      <c r="D39">
        <f t="shared" ref="D39:D49" si="0">B39+C39</f>
        <v>72</v>
      </c>
      <c r="F39" s="18">
        <v>2</v>
      </c>
      <c r="G39" s="19">
        <f t="shared" ref="G39:G45" si="1">B39/D39</f>
        <v>0.875</v>
      </c>
      <c r="H39" s="19">
        <f t="shared" ref="H39:H45" si="2">C39/D39</f>
        <v>0.125</v>
      </c>
    </row>
    <row r="40" spans="1:8">
      <c r="A40" s="15">
        <v>3</v>
      </c>
      <c r="B40" s="16">
        <v>121</v>
      </c>
      <c r="C40" s="16">
        <v>18</v>
      </c>
      <c r="D40">
        <f t="shared" si="0"/>
        <v>139</v>
      </c>
      <c r="F40" s="18">
        <v>3</v>
      </c>
      <c r="G40" s="19">
        <f t="shared" si="1"/>
        <v>0.87050359712230219</v>
      </c>
      <c r="H40" s="19">
        <f t="shared" si="2"/>
        <v>0.12949640287769784</v>
      </c>
    </row>
    <row r="41" spans="1:8">
      <c r="A41" s="15">
        <v>4</v>
      </c>
      <c r="B41" s="16">
        <v>207</v>
      </c>
      <c r="C41" s="16">
        <v>39</v>
      </c>
      <c r="D41">
        <f t="shared" si="0"/>
        <v>246</v>
      </c>
      <c r="F41" s="18">
        <v>4</v>
      </c>
      <c r="G41" s="19">
        <f t="shared" si="1"/>
        <v>0.84146341463414631</v>
      </c>
      <c r="H41" s="19">
        <f t="shared" si="2"/>
        <v>0.15853658536585366</v>
      </c>
    </row>
    <row r="42" spans="1:8">
      <c r="A42" s="15">
        <v>5</v>
      </c>
      <c r="B42" s="16">
        <v>172</v>
      </c>
      <c r="C42" s="16">
        <v>22</v>
      </c>
      <c r="D42">
        <f t="shared" si="0"/>
        <v>194</v>
      </c>
      <c r="F42" s="18">
        <v>5</v>
      </c>
      <c r="G42" s="19">
        <f t="shared" si="1"/>
        <v>0.88659793814432986</v>
      </c>
      <c r="H42" s="19">
        <f t="shared" si="2"/>
        <v>0.1134020618556701</v>
      </c>
    </row>
    <row r="43" spans="1:8">
      <c r="A43" s="15">
        <v>6</v>
      </c>
      <c r="B43" s="16">
        <v>70</v>
      </c>
      <c r="C43" s="16">
        <v>19</v>
      </c>
      <c r="D43">
        <f t="shared" si="0"/>
        <v>89</v>
      </c>
      <c r="F43" s="18">
        <v>6</v>
      </c>
      <c r="G43" s="19">
        <f t="shared" si="1"/>
        <v>0.7865168539325843</v>
      </c>
      <c r="H43" s="19">
        <f t="shared" si="2"/>
        <v>0.21348314606741572</v>
      </c>
    </row>
    <row r="44" spans="1:8">
      <c r="A44" s="15">
        <v>7</v>
      </c>
      <c r="B44" s="16">
        <v>49</v>
      </c>
      <c r="C44" s="16">
        <v>13</v>
      </c>
      <c r="D44">
        <f t="shared" si="0"/>
        <v>62</v>
      </c>
      <c r="F44" s="18">
        <v>7</v>
      </c>
      <c r="G44" s="19">
        <f t="shared" si="1"/>
        <v>0.79032258064516125</v>
      </c>
      <c r="H44" s="19">
        <f t="shared" si="2"/>
        <v>0.20967741935483872</v>
      </c>
    </row>
    <row r="45" spans="1:8">
      <c r="A45" s="15">
        <v>8</v>
      </c>
      <c r="B45" s="16">
        <v>29</v>
      </c>
      <c r="C45" s="16">
        <v>5</v>
      </c>
      <c r="D45">
        <f t="shared" si="0"/>
        <v>34</v>
      </c>
      <c r="F45" s="18">
        <v>8</v>
      </c>
      <c r="G45" s="19">
        <f t="shared" si="1"/>
        <v>0.8529411764705882</v>
      </c>
      <c r="H45" s="19">
        <f t="shared" si="2"/>
        <v>0.14705882352941177</v>
      </c>
    </row>
    <row r="46" spans="1:8">
      <c r="A46" s="15">
        <v>9</v>
      </c>
      <c r="B46" s="16">
        <v>5</v>
      </c>
      <c r="C46" s="16">
        <v>6</v>
      </c>
      <c r="D46">
        <f t="shared" si="0"/>
        <v>11</v>
      </c>
    </row>
    <row r="47" spans="1:8">
      <c r="A47" s="15">
        <v>10</v>
      </c>
      <c r="B47" s="16">
        <v>2</v>
      </c>
      <c r="C47" s="16">
        <v>0</v>
      </c>
      <c r="D47">
        <f t="shared" si="0"/>
        <v>2</v>
      </c>
    </row>
    <row r="48" spans="1:8">
      <c r="A48" s="15">
        <v>11</v>
      </c>
      <c r="B48" s="16">
        <v>2</v>
      </c>
      <c r="C48" s="16">
        <v>0</v>
      </c>
      <c r="D48">
        <f t="shared" si="0"/>
        <v>2</v>
      </c>
    </row>
    <row r="49" spans="1:20">
      <c r="A49" s="15">
        <v>12</v>
      </c>
      <c r="B49" s="16">
        <v>0</v>
      </c>
      <c r="C49" s="16">
        <v>1</v>
      </c>
      <c r="D49">
        <f t="shared" si="0"/>
        <v>1</v>
      </c>
    </row>
    <row r="52" spans="1:20">
      <c r="F52" s="23"/>
      <c r="G52" s="23"/>
      <c r="H52" s="23"/>
    </row>
    <row r="53" spans="1:20">
      <c r="F53" s="23"/>
      <c r="G53" s="23"/>
      <c r="H53" s="23"/>
    </row>
    <row r="56" spans="1:20">
      <c r="A56" s="23"/>
      <c r="B56" s="23"/>
      <c r="C56" s="23"/>
      <c r="D56" s="23"/>
      <c r="E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spans="1:20">
      <c r="A57" s="23"/>
      <c r="B57" s="23"/>
      <c r="C57" s="23"/>
      <c r="D57" s="23"/>
      <c r="E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9" spans="1:20">
      <c r="A59" t="s">
        <v>2421</v>
      </c>
    </row>
    <row r="63" spans="1:20">
      <c r="A63" s="21" t="s">
        <v>2462</v>
      </c>
      <c r="B63" s="14" t="s">
        <v>2460</v>
      </c>
      <c r="C63" s="14" t="s">
        <v>2461</v>
      </c>
    </row>
    <row r="64" spans="1:20">
      <c r="A64" s="22">
        <v>4</v>
      </c>
      <c r="B64" s="23">
        <v>347</v>
      </c>
      <c r="C64" s="23">
        <v>97</v>
      </c>
    </row>
    <row r="65" spans="1:8">
      <c r="A65" s="22">
        <v>5</v>
      </c>
      <c r="B65" s="23">
        <v>183</v>
      </c>
      <c r="C65" s="23">
        <v>18</v>
      </c>
    </row>
    <row r="66" spans="1:8">
      <c r="A66" s="22">
        <v>6</v>
      </c>
      <c r="B66" s="23">
        <v>105</v>
      </c>
      <c r="C66" s="23">
        <v>9</v>
      </c>
    </row>
    <row r="67" spans="1:8">
      <c r="A67" s="22">
        <v>7</v>
      </c>
      <c r="B67" s="23">
        <v>52</v>
      </c>
      <c r="C67" s="23">
        <v>6</v>
      </c>
    </row>
    <row r="68" spans="1:8">
      <c r="A68" s="22">
        <v>8</v>
      </c>
      <c r="B68" s="23">
        <v>18</v>
      </c>
      <c r="C68" s="23">
        <v>2</v>
      </c>
    </row>
    <row r="69" spans="1:8">
      <c r="A69" s="22">
        <v>9</v>
      </c>
      <c r="B69" s="23">
        <v>10</v>
      </c>
      <c r="C69" s="23">
        <v>0</v>
      </c>
    </row>
    <row r="70" spans="1:8">
      <c r="A70" s="22">
        <v>11</v>
      </c>
      <c r="B70" s="23">
        <v>2</v>
      </c>
      <c r="C70" s="23">
        <v>0</v>
      </c>
    </row>
    <row r="71" spans="1:8">
      <c r="A71" s="22">
        <v>10</v>
      </c>
      <c r="B71" s="23">
        <v>1</v>
      </c>
      <c r="C71" s="23">
        <v>0</v>
      </c>
    </row>
    <row r="72" spans="1:8">
      <c r="A72" s="22">
        <v>12</v>
      </c>
      <c r="B72" s="23">
        <v>1</v>
      </c>
      <c r="C72" s="23">
        <v>0</v>
      </c>
    </row>
    <row r="73" spans="1:8">
      <c r="A73" s="22">
        <v>13</v>
      </c>
      <c r="B73" s="23">
        <v>1</v>
      </c>
      <c r="C73" s="23">
        <v>0</v>
      </c>
    </row>
    <row r="79" spans="1:8">
      <c r="F79" s="21"/>
      <c r="G79" s="21" t="s">
        <v>4</v>
      </c>
      <c r="H79" s="21" t="s">
        <v>180</v>
      </c>
    </row>
    <row r="80" spans="1:8">
      <c r="F80" s="22">
        <v>4</v>
      </c>
      <c r="G80" s="25">
        <f>B84/D84</f>
        <v>0.78153153153153154</v>
      </c>
      <c r="H80" s="25">
        <f>C84/D84</f>
        <v>0.21846846846846846</v>
      </c>
    </row>
    <row r="81" spans="1:8">
      <c r="F81" s="22">
        <v>5</v>
      </c>
      <c r="G81" s="25">
        <f t="shared" ref="G81:G89" si="3">B85/D85</f>
        <v>0.91044776119402981</v>
      </c>
      <c r="H81" s="25">
        <f t="shared" ref="H81:H89" si="4">C85/D85</f>
        <v>8.9552238805970144E-2</v>
      </c>
    </row>
    <row r="82" spans="1:8">
      <c r="F82" s="22">
        <v>6</v>
      </c>
      <c r="G82" s="25">
        <f t="shared" si="3"/>
        <v>0.92105263157894735</v>
      </c>
      <c r="H82" s="25">
        <f t="shared" si="4"/>
        <v>7.8947368421052627E-2</v>
      </c>
    </row>
    <row r="83" spans="1:8">
      <c r="A83" s="10"/>
      <c r="B83" s="10" t="s">
        <v>4</v>
      </c>
      <c r="C83" s="10" t="s">
        <v>180</v>
      </c>
      <c r="F83" s="22">
        <v>7</v>
      </c>
      <c r="G83" s="25">
        <f t="shared" si="3"/>
        <v>0.89655172413793105</v>
      </c>
      <c r="H83" s="25">
        <f t="shared" si="4"/>
        <v>0.10344827586206896</v>
      </c>
    </row>
    <row r="84" spans="1:8">
      <c r="A84" s="11">
        <v>4</v>
      </c>
      <c r="B84" s="12">
        <v>347</v>
      </c>
      <c r="C84" s="12">
        <v>97</v>
      </c>
      <c r="D84">
        <f>B84+C84</f>
        <v>444</v>
      </c>
      <c r="F84" s="22">
        <v>8</v>
      </c>
      <c r="G84" s="25">
        <f t="shared" si="3"/>
        <v>0.9</v>
      </c>
      <c r="H84" s="25">
        <f t="shared" si="4"/>
        <v>0.1</v>
      </c>
    </row>
    <row r="85" spans="1:8">
      <c r="A85" s="11">
        <v>5</v>
      </c>
      <c r="B85" s="12">
        <v>183</v>
      </c>
      <c r="C85" s="12">
        <v>18</v>
      </c>
      <c r="D85">
        <f t="shared" ref="D85:D93" si="5">B85+C85</f>
        <v>201</v>
      </c>
      <c r="F85" s="22">
        <v>9</v>
      </c>
      <c r="G85" s="25">
        <f t="shared" si="3"/>
        <v>1</v>
      </c>
      <c r="H85" s="25">
        <f t="shared" si="4"/>
        <v>0</v>
      </c>
    </row>
    <row r="86" spans="1:8">
      <c r="A86" s="11">
        <v>6</v>
      </c>
      <c r="B86" s="12">
        <v>105</v>
      </c>
      <c r="C86" s="12">
        <v>9</v>
      </c>
      <c r="D86">
        <f t="shared" si="5"/>
        <v>114</v>
      </c>
      <c r="F86" s="22">
        <v>10</v>
      </c>
      <c r="G86" s="25">
        <f t="shared" si="3"/>
        <v>1</v>
      </c>
      <c r="H86" s="25">
        <f t="shared" si="4"/>
        <v>0</v>
      </c>
    </row>
    <row r="87" spans="1:8">
      <c r="A87" s="11">
        <v>7</v>
      </c>
      <c r="B87" s="12">
        <v>52</v>
      </c>
      <c r="C87" s="12">
        <v>6</v>
      </c>
      <c r="D87">
        <f t="shared" si="5"/>
        <v>58</v>
      </c>
      <c r="F87" s="22">
        <v>11</v>
      </c>
      <c r="G87" s="25">
        <f t="shared" si="3"/>
        <v>1</v>
      </c>
      <c r="H87" s="25">
        <f t="shared" si="4"/>
        <v>0</v>
      </c>
    </row>
    <row r="88" spans="1:8">
      <c r="A88" s="11">
        <v>8</v>
      </c>
      <c r="B88" s="12">
        <v>18</v>
      </c>
      <c r="C88" s="12">
        <v>2</v>
      </c>
      <c r="D88">
        <f t="shared" si="5"/>
        <v>20</v>
      </c>
      <c r="F88" s="22">
        <v>12</v>
      </c>
      <c r="G88" s="25">
        <f t="shared" si="3"/>
        <v>1</v>
      </c>
      <c r="H88" s="25">
        <f t="shared" si="4"/>
        <v>0</v>
      </c>
    </row>
    <row r="89" spans="1:8">
      <c r="A89" s="11">
        <v>9</v>
      </c>
      <c r="B89" s="12">
        <v>10</v>
      </c>
      <c r="C89" s="12">
        <v>0</v>
      </c>
      <c r="D89">
        <f t="shared" si="5"/>
        <v>10</v>
      </c>
      <c r="F89" s="22">
        <v>13</v>
      </c>
      <c r="G89" s="25">
        <f t="shared" si="3"/>
        <v>1</v>
      </c>
      <c r="H89" s="25">
        <f t="shared" si="4"/>
        <v>0</v>
      </c>
    </row>
    <row r="90" spans="1:8">
      <c r="A90" s="11">
        <v>10</v>
      </c>
      <c r="B90" s="12">
        <v>1</v>
      </c>
      <c r="C90" s="12">
        <v>0</v>
      </c>
      <c r="D90">
        <f t="shared" si="5"/>
        <v>1</v>
      </c>
    </row>
    <row r="91" spans="1:8">
      <c r="A91" s="11">
        <v>11</v>
      </c>
      <c r="B91" s="12">
        <v>2</v>
      </c>
      <c r="C91" s="12">
        <v>0</v>
      </c>
      <c r="D91">
        <f t="shared" si="5"/>
        <v>2</v>
      </c>
    </row>
    <row r="92" spans="1:8">
      <c r="A92" s="11">
        <v>12</v>
      </c>
      <c r="B92" s="12">
        <v>1</v>
      </c>
      <c r="C92" s="12">
        <v>0</v>
      </c>
      <c r="D92">
        <f t="shared" si="5"/>
        <v>1</v>
      </c>
    </row>
    <row r="93" spans="1:8">
      <c r="A93" s="11">
        <v>13</v>
      </c>
      <c r="B93" s="12">
        <v>1</v>
      </c>
      <c r="C93" s="12">
        <v>0</v>
      </c>
      <c r="D93">
        <f t="shared" si="5"/>
        <v>1</v>
      </c>
    </row>
  </sheetData>
  <sortState xmlns:xlrd2="http://schemas.microsoft.com/office/spreadsheetml/2017/richdata2" ref="F39:H45">
    <sortCondition ref="F39:F45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64B4-6F54-A647-A034-448600117467}">
  <dimension ref="A1:F69"/>
  <sheetViews>
    <sheetView topLeftCell="A49" zoomScale="113" workbookViewId="0">
      <selection activeCell="A59" sqref="A59:C69"/>
    </sheetView>
  </sheetViews>
  <sheetFormatPr baseColWidth="10" defaultRowHeight="16"/>
  <sheetData>
    <row r="1" spans="1:6">
      <c r="A1" s="23" t="s">
        <v>2455</v>
      </c>
      <c r="B1" s="21" t="s">
        <v>4</v>
      </c>
      <c r="C1" s="21" t="s">
        <v>180</v>
      </c>
    </row>
    <row r="2" spans="1:6">
      <c r="A2" s="22" t="s">
        <v>8</v>
      </c>
      <c r="B2" s="23">
        <v>483</v>
      </c>
      <c r="C2" s="23">
        <v>100</v>
      </c>
      <c r="D2">
        <f t="shared" ref="D2:D11" si="0">B2+C2</f>
        <v>583</v>
      </c>
      <c r="E2" t="s">
        <v>2445</v>
      </c>
      <c r="F2" s="29">
        <f t="shared" ref="F2:F11" si="1">B2/D2</f>
        <v>0.82847341337907376</v>
      </c>
    </row>
    <row r="3" spans="1:6">
      <c r="A3" s="22" t="s">
        <v>12</v>
      </c>
      <c r="B3" s="23">
        <v>67</v>
      </c>
      <c r="C3" s="23">
        <v>6</v>
      </c>
      <c r="D3">
        <f t="shared" si="0"/>
        <v>73</v>
      </c>
      <c r="E3" t="s">
        <v>2446</v>
      </c>
      <c r="F3" s="29">
        <f t="shared" si="1"/>
        <v>0.9178082191780822</v>
      </c>
    </row>
    <row r="4" spans="1:6">
      <c r="A4" s="22" t="s">
        <v>98</v>
      </c>
      <c r="B4" s="23">
        <v>53</v>
      </c>
      <c r="C4" s="23">
        <v>8</v>
      </c>
      <c r="D4">
        <f t="shared" si="0"/>
        <v>61</v>
      </c>
      <c r="E4" t="s">
        <v>2447</v>
      </c>
      <c r="F4" s="29">
        <f t="shared" si="1"/>
        <v>0.86885245901639341</v>
      </c>
    </row>
    <row r="5" spans="1:6">
      <c r="A5" s="22" t="s">
        <v>68</v>
      </c>
      <c r="B5" s="23">
        <v>37</v>
      </c>
      <c r="C5" s="23">
        <v>5</v>
      </c>
      <c r="D5">
        <f t="shared" si="0"/>
        <v>42</v>
      </c>
      <c r="E5" t="s">
        <v>2448</v>
      </c>
      <c r="F5" s="29">
        <f t="shared" si="1"/>
        <v>0.88095238095238093</v>
      </c>
    </row>
    <row r="6" spans="1:6">
      <c r="A6" s="22" t="s">
        <v>3</v>
      </c>
      <c r="B6" s="23">
        <v>31</v>
      </c>
      <c r="C6" s="23">
        <v>3</v>
      </c>
      <c r="D6">
        <f t="shared" si="0"/>
        <v>34</v>
      </c>
      <c r="E6" t="s">
        <v>2449</v>
      </c>
      <c r="F6" s="29">
        <f t="shared" si="1"/>
        <v>0.91176470588235292</v>
      </c>
    </row>
    <row r="7" spans="1:6">
      <c r="A7" s="22" t="s">
        <v>22</v>
      </c>
      <c r="B7" s="23">
        <v>27</v>
      </c>
      <c r="C7" s="23">
        <v>6</v>
      </c>
      <c r="D7">
        <f t="shared" si="0"/>
        <v>33</v>
      </c>
      <c r="E7" t="s">
        <v>2450</v>
      </c>
      <c r="F7" s="29">
        <f t="shared" si="1"/>
        <v>0.81818181818181823</v>
      </c>
    </row>
    <row r="8" spans="1:6">
      <c r="A8" s="22" t="s">
        <v>113</v>
      </c>
      <c r="B8" s="23">
        <v>8</v>
      </c>
      <c r="C8" s="23">
        <v>0</v>
      </c>
      <c r="D8">
        <f t="shared" si="0"/>
        <v>8</v>
      </c>
      <c r="E8" t="s">
        <v>2451</v>
      </c>
      <c r="F8" s="29">
        <f t="shared" si="1"/>
        <v>1</v>
      </c>
    </row>
    <row r="9" spans="1:6">
      <c r="A9" s="22" t="s">
        <v>123</v>
      </c>
      <c r="B9" s="23">
        <v>8</v>
      </c>
      <c r="C9" s="23">
        <v>3</v>
      </c>
      <c r="D9">
        <f t="shared" si="0"/>
        <v>11</v>
      </c>
      <c r="E9" t="s">
        <v>2452</v>
      </c>
      <c r="F9" s="29">
        <f t="shared" si="1"/>
        <v>0.72727272727272729</v>
      </c>
    </row>
    <row r="10" spans="1:6">
      <c r="A10" s="22" t="s">
        <v>44</v>
      </c>
      <c r="B10" s="23">
        <v>4</v>
      </c>
      <c r="C10" s="23">
        <v>0</v>
      </c>
      <c r="D10">
        <f t="shared" si="0"/>
        <v>4</v>
      </c>
      <c r="E10" t="s">
        <v>2453</v>
      </c>
      <c r="F10" s="29">
        <f t="shared" si="1"/>
        <v>1</v>
      </c>
    </row>
    <row r="11" spans="1:6">
      <c r="A11" s="22" t="s">
        <v>34</v>
      </c>
      <c r="B11" s="23">
        <v>2</v>
      </c>
      <c r="C11" s="23">
        <v>1</v>
      </c>
      <c r="D11">
        <f t="shared" si="0"/>
        <v>3</v>
      </c>
      <c r="E11" t="s">
        <v>2454</v>
      </c>
      <c r="F11" s="29">
        <f t="shared" si="1"/>
        <v>0.66666666666666663</v>
      </c>
    </row>
    <row r="33" spans="1:2">
      <c r="A33" s="23" t="s">
        <v>2455</v>
      </c>
      <c r="B33" s="23" t="s">
        <v>2422</v>
      </c>
    </row>
    <row r="34" spans="1:2">
      <c r="A34" s="22" t="s">
        <v>113</v>
      </c>
      <c r="B34" s="25">
        <v>1</v>
      </c>
    </row>
    <row r="35" spans="1:2">
      <c r="A35" s="22" t="s">
        <v>44</v>
      </c>
      <c r="B35" s="25">
        <v>1</v>
      </c>
    </row>
    <row r="36" spans="1:2">
      <c r="A36" s="22" t="s">
        <v>12</v>
      </c>
      <c r="B36" s="25">
        <v>0.91800000000000004</v>
      </c>
    </row>
    <row r="37" spans="1:2">
      <c r="A37" s="22" t="s">
        <v>3</v>
      </c>
      <c r="B37" s="25">
        <v>0.91200000000000003</v>
      </c>
    </row>
    <row r="38" spans="1:2">
      <c r="A38" s="22" t="s">
        <v>68</v>
      </c>
      <c r="B38" s="25">
        <v>0.88100000000000001</v>
      </c>
    </row>
    <row r="39" spans="1:2">
      <c r="A39" s="22" t="s">
        <v>98</v>
      </c>
      <c r="B39" s="25">
        <v>0.86899999999999999</v>
      </c>
    </row>
    <row r="40" spans="1:2">
      <c r="A40" s="22" t="s">
        <v>8</v>
      </c>
      <c r="B40" s="25">
        <v>0.82799999999999996</v>
      </c>
    </row>
    <row r="41" spans="1:2">
      <c r="A41" s="22" t="s">
        <v>22</v>
      </c>
      <c r="B41" s="25">
        <v>0.81799999999999995</v>
      </c>
    </row>
    <row r="42" spans="1:2">
      <c r="A42" s="22" t="s">
        <v>123</v>
      </c>
      <c r="B42" s="25">
        <v>0.72699999999999998</v>
      </c>
    </row>
    <row r="43" spans="1:2">
      <c r="A43" s="22" t="s">
        <v>34</v>
      </c>
      <c r="B43" s="25">
        <v>0.66700000000000004</v>
      </c>
    </row>
    <row r="59" spans="1:6">
      <c r="A59" s="23" t="s">
        <v>2455</v>
      </c>
      <c r="B59" s="14" t="s">
        <v>2460</v>
      </c>
      <c r="C59" s="14" t="s">
        <v>2461</v>
      </c>
      <c r="D59" s="23" t="s">
        <v>2456</v>
      </c>
    </row>
    <row r="60" spans="1:6">
      <c r="A60" s="22" t="s">
        <v>113</v>
      </c>
      <c r="B60" s="23">
        <v>8</v>
      </c>
      <c r="C60" s="23">
        <v>0</v>
      </c>
      <c r="D60" s="30">
        <v>1</v>
      </c>
      <c r="F60" s="29"/>
    </row>
    <row r="61" spans="1:6">
      <c r="A61" s="22" t="s">
        <v>44</v>
      </c>
      <c r="B61" s="23">
        <v>4</v>
      </c>
      <c r="C61" s="23">
        <v>0</v>
      </c>
      <c r="D61" s="30">
        <v>1</v>
      </c>
      <c r="F61" s="29"/>
    </row>
    <row r="62" spans="1:6">
      <c r="A62" s="22" t="s">
        <v>12</v>
      </c>
      <c r="B62" s="23">
        <v>67</v>
      </c>
      <c r="C62" s="23">
        <v>6</v>
      </c>
      <c r="D62" s="30">
        <v>0.92</v>
      </c>
      <c r="F62" s="29"/>
    </row>
    <row r="63" spans="1:6">
      <c r="A63" s="22" t="s">
        <v>3</v>
      </c>
      <c r="B63" s="23">
        <v>31</v>
      </c>
      <c r="C63" s="23">
        <v>3</v>
      </c>
      <c r="D63" s="30">
        <v>0.91</v>
      </c>
      <c r="F63" s="29"/>
    </row>
    <row r="64" spans="1:6">
      <c r="A64" s="22" t="s">
        <v>68</v>
      </c>
      <c r="B64" s="23">
        <v>37</v>
      </c>
      <c r="C64" s="23">
        <v>5</v>
      </c>
      <c r="D64" s="30">
        <v>0.88</v>
      </c>
      <c r="F64" s="29"/>
    </row>
    <row r="65" spans="1:6">
      <c r="A65" s="22" t="s">
        <v>98</v>
      </c>
      <c r="B65" s="23">
        <v>53</v>
      </c>
      <c r="C65" s="23">
        <v>8</v>
      </c>
      <c r="D65" s="30">
        <v>0.87</v>
      </c>
      <c r="F65" s="29"/>
    </row>
    <row r="66" spans="1:6">
      <c r="A66" s="22" t="s">
        <v>8</v>
      </c>
      <c r="B66" s="23">
        <v>483</v>
      </c>
      <c r="C66" s="23">
        <v>100</v>
      </c>
      <c r="D66" s="30">
        <v>0.83</v>
      </c>
      <c r="F66" s="29"/>
    </row>
    <row r="67" spans="1:6">
      <c r="A67" s="22" t="s">
        <v>22</v>
      </c>
      <c r="B67" s="23">
        <v>27</v>
      </c>
      <c r="C67" s="23">
        <v>6</v>
      </c>
      <c r="D67" s="30">
        <v>0.82</v>
      </c>
      <c r="F67" s="29"/>
    </row>
    <row r="68" spans="1:6">
      <c r="A68" s="22" t="s">
        <v>123</v>
      </c>
      <c r="B68" s="23">
        <v>8</v>
      </c>
      <c r="C68" s="23">
        <v>3</v>
      </c>
      <c r="D68" s="30">
        <v>0.73</v>
      </c>
      <c r="F68" s="29"/>
    </row>
    <row r="69" spans="1:6">
      <c r="A69" s="22" t="s">
        <v>34</v>
      </c>
      <c r="B69" s="23">
        <v>2</v>
      </c>
      <c r="C69" s="23">
        <v>1</v>
      </c>
      <c r="D69" s="30">
        <v>0.67</v>
      </c>
      <c r="F69" s="29"/>
    </row>
  </sheetData>
  <sortState xmlns:xlrd2="http://schemas.microsoft.com/office/spreadsheetml/2017/richdata2" ref="A60:D69">
    <sortCondition descending="1" ref="D60:D69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CD45-D6FB-0A46-B690-AF5D5752077F}">
  <dimension ref="A1:T853"/>
  <sheetViews>
    <sheetView topLeftCell="C1" workbookViewId="0">
      <selection activeCell="H3" sqref="H3:I9"/>
    </sheetView>
  </sheetViews>
  <sheetFormatPr baseColWidth="10" defaultRowHeight="16"/>
  <cols>
    <col min="3" max="3" width="41.6640625" customWidth="1"/>
    <col min="9" max="9" width="15" bestFit="1" customWidth="1"/>
    <col min="18" max="18" width="13.33203125" bestFit="1" customWidth="1"/>
  </cols>
  <sheetData>
    <row r="1" spans="1:20">
      <c r="A1" s="3" t="s">
        <v>2334</v>
      </c>
      <c r="B1" s="3" t="s">
        <v>1727</v>
      </c>
      <c r="C1" s="3" t="s">
        <v>2330</v>
      </c>
      <c r="E1" t="s">
        <v>2422</v>
      </c>
      <c r="F1" t="s">
        <v>2423</v>
      </c>
    </row>
    <row r="2" spans="1:20">
      <c r="A2" s="1">
        <v>1</v>
      </c>
      <c r="B2" s="1" t="s">
        <v>4</v>
      </c>
      <c r="C2" s="2">
        <v>3.1249998007090603E-5</v>
      </c>
      <c r="E2" s="26">
        <v>3.1199999999999999E-5</v>
      </c>
      <c r="F2" s="26">
        <v>3.1300000000000002E-5</v>
      </c>
    </row>
    <row r="3" spans="1:20">
      <c r="A3" s="1">
        <v>2</v>
      </c>
      <c r="B3" s="1" t="s">
        <v>4</v>
      </c>
      <c r="C3" s="2">
        <v>3.1250010656336003E-5</v>
      </c>
      <c r="E3" s="26">
        <v>3.1300000000000002E-5</v>
      </c>
      <c r="F3" s="26">
        <v>3.1300000000000002E-5</v>
      </c>
      <c r="H3" t="s">
        <v>2422</v>
      </c>
      <c r="L3" t="s">
        <v>2437</v>
      </c>
      <c r="Q3" t="s">
        <v>2423</v>
      </c>
    </row>
    <row r="4" spans="1:20">
      <c r="A4" s="1">
        <v>3</v>
      </c>
      <c r="B4" s="1" t="s">
        <v>4</v>
      </c>
      <c r="C4" s="2">
        <v>3.1250006152462201E-5</v>
      </c>
      <c r="E4" s="26">
        <v>3.1300000000000002E-5</v>
      </c>
      <c r="F4" s="26">
        <v>3.1300000000000002E-5</v>
      </c>
      <c r="H4" s="13" t="s">
        <v>2425</v>
      </c>
      <c r="I4" s="26">
        <f>MAX(E2:E721)</f>
        <v>3.1300000000000002E-5</v>
      </c>
      <c r="Q4" s="13" t="s">
        <v>2425</v>
      </c>
      <c r="R4" s="26">
        <f>MAX(F2:F133)</f>
        <v>3.1300000000000002E-5</v>
      </c>
      <c r="T4" t="s">
        <v>2437</v>
      </c>
    </row>
    <row r="5" spans="1:20">
      <c r="A5" s="1">
        <v>4</v>
      </c>
      <c r="B5" s="1" t="s">
        <v>4</v>
      </c>
      <c r="C5" s="2">
        <v>3.1250004849559103E-5</v>
      </c>
      <c r="E5" s="26">
        <v>3.1300000000000002E-5</v>
      </c>
      <c r="F5" s="26">
        <v>3.1300000000000002E-5</v>
      </c>
      <c r="H5" s="13" t="s">
        <v>2427</v>
      </c>
      <c r="I5" s="26">
        <f>MIN(E2:E721)</f>
        <v>3.1199999999999999E-5</v>
      </c>
      <c r="K5">
        <v>1</v>
      </c>
      <c r="L5" s="26">
        <v>3.1199999999999999E-5</v>
      </c>
      <c r="Q5" s="13" t="s">
        <v>2427</v>
      </c>
      <c r="R5" s="26">
        <f>MIN(F2:F133)</f>
        <v>3.1199999999999999E-5</v>
      </c>
      <c r="S5">
        <v>1</v>
      </c>
      <c r="T5" s="26">
        <f>R5</f>
        <v>3.1199999999999999E-5</v>
      </c>
    </row>
    <row r="6" spans="1:20">
      <c r="A6" s="1">
        <v>5</v>
      </c>
      <c r="B6" s="1" t="s">
        <v>4</v>
      </c>
      <c r="C6" s="2">
        <v>3.1250004717325401E-5</v>
      </c>
      <c r="E6" s="26">
        <v>3.1300000000000002E-5</v>
      </c>
      <c r="F6" s="26">
        <v>3.1300000000000002E-5</v>
      </c>
      <c r="H6" s="13" t="s">
        <v>2429</v>
      </c>
      <c r="I6" s="26">
        <f>AVERAGE(E2:E721)</f>
        <v>3.1280833333333537E-5</v>
      </c>
      <c r="K6">
        <v>2</v>
      </c>
      <c r="L6" s="26">
        <f>L5+I$9</f>
        <v>3.1300000000000002E-5</v>
      </c>
      <c r="Q6" s="13" t="s">
        <v>2429</v>
      </c>
      <c r="R6" s="26">
        <f>AVERAGE(F2:F133)</f>
        <v>3.1265151515151547E-5</v>
      </c>
      <c r="S6">
        <v>2</v>
      </c>
      <c r="T6" s="26">
        <f>T5+R9</f>
        <v>3.1300000000000002E-5</v>
      </c>
    </row>
    <row r="7" spans="1:20">
      <c r="A7" s="1">
        <v>6</v>
      </c>
      <c r="B7" s="1" t="s">
        <v>4</v>
      </c>
      <c r="C7" s="2">
        <v>3.1250014306311799E-5</v>
      </c>
      <c r="E7" s="26">
        <v>3.1300000000000002E-5</v>
      </c>
      <c r="F7" s="26">
        <v>3.1199999999999999E-5</v>
      </c>
      <c r="H7" s="13" t="s">
        <v>2431</v>
      </c>
      <c r="I7">
        <f>_xlfn.STDEV.S(E2:E721)</f>
        <v>3.9388581614643613E-8</v>
      </c>
      <c r="L7" s="26"/>
      <c r="Q7" s="13" t="s">
        <v>2431</v>
      </c>
      <c r="R7">
        <f>_xlfn.STDEV.S(F2:F133)</f>
        <v>4.7830566873683417E-8</v>
      </c>
    </row>
    <row r="8" spans="1:20">
      <c r="A8" s="1">
        <v>7</v>
      </c>
      <c r="B8" s="1" t="s">
        <v>4</v>
      </c>
      <c r="C8" s="2">
        <v>3.1250000798782197E-5</v>
      </c>
      <c r="E8" s="26">
        <v>3.1300000000000002E-5</v>
      </c>
      <c r="F8" s="26">
        <v>3.1300000000000002E-5</v>
      </c>
      <c r="H8" s="13" t="s">
        <v>2435</v>
      </c>
      <c r="I8">
        <v>2</v>
      </c>
      <c r="Q8" s="13" t="s">
        <v>2435</v>
      </c>
      <c r="R8">
        <v>2</v>
      </c>
    </row>
    <row r="9" spans="1:20">
      <c r="A9" s="1">
        <v>8</v>
      </c>
      <c r="B9" s="1" t="s">
        <v>4</v>
      </c>
      <c r="C9" s="2">
        <v>3.1249996453277799E-5</v>
      </c>
      <c r="E9" s="26">
        <v>3.1199999999999999E-5</v>
      </c>
      <c r="F9" s="26">
        <v>3.1300000000000002E-5</v>
      </c>
      <c r="H9" s="13" t="s">
        <v>2433</v>
      </c>
      <c r="I9" s="26">
        <f>(I4-I5)</f>
        <v>1.0000000000000243E-7</v>
      </c>
      <c r="Q9" s="13" t="s">
        <v>2433</v>
      </c>
      <c r="R9" s="26">
        <f>(R4-R5)</f>
        <v>1.0000000000000243E-7</v>
      </c>
    </row>
    <row r="10" spans="1:20">
      <c r="A10" s="1">
        <v>9</v>
      </c>
      <c r="B10" s="1" t="s">
        <v>4</v>
      </c>
      <c r="C10" s="2">
        <v>3.1250002533016901E-5</v>
      </c>
      <c r="E10" s="26">
        <v>3.1300000000000002E-5</v>
      </c>
      <c r="F10" s="26">
        <v>3.1199999999999999E-5</v>
      </c>
    </row>
    <row r="11" spans="1:20">
      <c r="A11" s="1">
        <v>10</v>
      </c>
      <c r="B11" s="1" t="s">
        <v>4</v>
      </c>
      <c r="C11" s="2">
        <v>3.12500075681381E-5</v>
      </c>
      <c r="E11" s="26">
        <v>3.1300000000000002E-5</v>
      </c>
      <c r="F11" s="26">
        <v>3.1199999999999999E-5</v>
      </c>
    </row>
    <row r="12" spans="1:20">
      <c r="A12" s="1">
        <v>11</v>
      </c>
      <c r="B12" s="1" t="s">
        <v>4</v>
      </c>
      <c r="C12" s="2">
        <v>3.1250003283580399E-5</v>
      </c>
      <c r="E12" s="26">
        <v>3.1300000000000002E-5</v>
      </c>
      <c r="F12" s="26">
        <v>3.1300000000000002E-5</v>
      </c>
    </row>
    <row r="13" spans="1:20" ht="17" thickBot="1">
      <c r="A13" s="1">
        <v>12</v>
      </c>
      <c r="B13" s="1" t="s">
        <v>4</v>
      </c>
      <c r="C13" s="2">
        <v>3.1250000531461303E-5</v>
      </c>
      <c r="E13" s="26">
        <v>3.1300000000000002E-5</v>
      </c>
      <c r="F13" s="26">
        <v>3.1300000000000002E-5</v>
      </c>
    </row>
    <row r="14" spans="1:20" ht="17" thickBot="1">
      <c r="A14" s="1">
        <v>13</v>
      </c>
      <c r="B14" s="1" t="s">
        <v>4</v>
      </c>
      <c r="C14" s="2">
        <v>3.1250013610700099E-5</v>
      </c>
      <c r="E14" s="26">
        <v>3.1300000000000002E-5</v>
      </c>
      <c r="F14" s="26">
        <v>3.1300000000000002E-5</v>
      </c>
      <c r="Q14" s="28" t="s">
        <v>2438</v>
      </c>
      <c r="R14" s="28" t="s">
        <v>2440</v>
      </c>
      <c r="S14" t="s">
        <v>2442</v>
      </c>
    </row>
    <row r="15" spans="1:20">
      <c r="A15" s="1">
        <v>14</v>
      </c>
      <c r="B15" s="1" t="s">
        <v>4</v>
      </c>
      <c r="C15" s="2">
        <v>3.1250017257127301E-5</v>
      </c>
      <c r="E15" s="26">
        <v>3.1300000000000002E-5</v>
      </c>
      <c r="F15" s="26">
        <v>3.1199999999999999E-5</v>
      </c>
      <c r="I15" s="28" t="s">
        <v>2438</v>
      </c>
      <c r="J15" s="28" t="s">
        <v>2440</v>
      </c>
      <c r="K15" t="s">
        <v>2442</v>
      </c>
      <c r="Q15" s="26">
        <v>3.1199999999999999E-5</v>
      </c>
      <c r="R15">
        <v>46</v>
      </c>
      <c r="S15">
        <f>_xlfn.NORM.DIST(Q15,R$6,R$7,0)</f>
        <v>3298444.2372310613</v>
      </c>
    </row>
    <row r="16" spans="1:20">
      <c r="A16" s="1">
        <v>15</v>
      </c>
      <c r="B16" s="1" t="s">
        <v>4</v>
      </c>
      <c r="C16" s="2">
        <v>3.1250010763651303E-5</v>
      </c>
      <c r="E16" s="26">
        <v>3.1300000000000002E-5</v>
      </c>
      <c r="F16" s="26">
        <v>3.1300000000000002E-5</v>
      </c>
      <c r="I16" s="26">
        <v>3.1199999999999999E-5</v>
      </c>
      <c r="J16">
        <v>138</v>
      </c>
      <c r="K16">
        <f>_xlfn.NORM.DIST(I16,I$6,I$7,0)</f>
        <v>1233152.4647035545</v>
      </c>
      <c r="Q16" s="26">
        <v>3.1300000000000002E-5</v>
      </c>
      <c r="R16">
        <v>86</v>
      </c>
      <c r="S16">
        <f>_xlfn.NORM.DIST(Q16,R$6,R$7,0)</f>
        <v>6396404.5954600377</v>
      </c>
    </row>
    <row r="17" spans="1:18" ht="17" thickBot="1">
      <c r="A17" s="1">
        <v>16</v>
      </c>
      <c r="B17" s="1" t="s">
        <v>4</v>
      </c>
      <c r="C17" s="2">
        <v>3.1250001627736697E-5</v>
      </c>
      <c r="E17" s="26">
        <v>3.1300000000000002E-5</v>
      </c>
      <c r="F17" s="26">
        <v>3.1199999999999999E-5</v>
      </c>
      <c r="I17" s="26">
        <v>3.1300000000000002E-5</v>
      </c>
      <c r="J17">
        <v>582</v>
      </c>
      <c r="K17">
        <f>_xlfn.NORM.DIST(I17,I$6,I$7,0)</f>
        <v>8997517.7997348495</v>
      </c>
      <c r="Q17" s="27" t="s">
        <v>2439</v>
      </c>
      <c r="R17" s="27">
        <v>0</v>
      </c>
    </row>
    <row r="18" spans="1:18" ht="17" thickBot="1">
      <c r="A18" s="1">
        <v>17</v>
      </c>
      <c r="B18" s="1" t="s">
        <v>4</v>
      </c>
      <c r="C18" s="2">
        <v>3.12500054610416E-5</v>
      </c>
      <c r="E18" s="26">
        <v>3.1300000000000002E-5</v>
      </c>
      <c r="F18" s="26">
        <v>3.1300000000000002E-5</v>
      </c>
      <c r="I18" s="27" t="s">
        <v>2439</v>
      </c>
      <c r="J18" s="27">
        <v>0</v>
      </c>
    </row>
    <row r="19" spans="1:18">
      <c r="A19" s="1">
        <v>18</v>
      </c>
      <c r="B19" s="1" t="s">
        <v>4</v>
      </c>
      <c r="C19" s="2">
        <v>3.1250015605324799E-5</v>
      </c>
      <c r="E19" s="26">
        <v>3.1300000000000002E-5</v>
      </c>
      <c r="F19" s="26">
        <v>3.1199999999999999E-5</v>
      </c>
    </row>
    <row r="20" spans="1:18">
      <c r="A20" s="1">
        <v>19</v>
      </c>
      <c r="B20" s="1" t="s">
        <v>4</v>
      </c>
      <c r="C20" s="2">
        <v>3.125001532194E-5</v>
      </c>
      <c r="E20" s="26">
        <v>3.1300000000000002E-5</v>
      </c>
      <c r="F20" s="26">
        <v>3.1199999999999999E-5</v>
      </c>
    </row>
    <row r="21" spans="1:18">
      <c r="A21" s="1">
        <v>20</v>
      </c>
      <c r="B21" s="1" t="s">
        <v>4</v>
      </c>
      <c r="C21" s="2">
        <v>3.12500042860951E-5</v>
      </c>
      <c r="E21" s="26">
        <v>3.1300000000000002E-5</v>
      </c>
      <c r="F21" s="26">
        <v>3.1199999999999999E-5</v>
      </c>
    </row>
    <row r="22" spans="1:18">
      <c r="A22" s="1">
        <v>21</v>
      </c>
      <c r="B22" s="1" t="s">
        <v>4</v>
      </c>
      <c r="C22" s="2">
        <v>3.1250007729736299E-5</v>
      </c>
      <c r="E22" s="26">
        <v>3.1300000000000002E-5</v>
      </c>
      <c r="F22" s="26">
        <v>3.1300000000000002E-5</v>
      </c>
    </row>
    <row r="23" spans="1:18">
      <c r="A23" s="1">
        <v>22</v>
      </c>
      <c r="B23" s="1" t="s">
        <v>4</v>
      </c>
      <c r="C23" s="2">
        <v>3.1250009903142597E-5</v>
      </c>
      <c r="E23" s="26">
        <v>3.1300000000000002E-5</v>
      </c>
      <c r="F23" s="26">
        <v>3.1300000000000002E-5</v>
      </c>
    </row>
    <row r="24" spans="1:18">
      <c r="A24" s="1">
        <v>23</v>
      </c>
      <c r="B24" s="1" t="s">
        <v>4</v>
      </c>
      <c r="C24" s="2">
        <v>3.1250009461131701E-5</v>
      </c>
      <c r="E24" s="26">
        <v>3.1300000000000002E-5</v>
      </c>
      <c r="F24" s="26">
        <v>3.1300000000000002E-5</v>
      </c>
    </row>
    <row r="25" spans="1:18">
      <c r="A25" s="1">
        <v>24</v>
      </c>
      <c r="B25" s="1" t="s">
        <v>4</v>
      </c>
      <c r="C25" s="2">
        <v>3.1250015131590297E-5</v>
      </c>
      <c r="E25" s="26">
        <v>3.1300000000000002E-5</v>
      </c>
      <c r="F25" s="26">
        <v>3.1300000000000002E-5</v>
      </c>
    </row>
    <row r="26" spans="1:18">
      <c r="A26" s="1">
        <v>25</v>
      </c>
      <c r="B26" s="1" t="s">
        <v>4</v>
      </c>
      <c r="C26" s="2">
        <v>3.1249990062656701E-5</v>
      </c>
      <c r="E26" s="26">
        <v>3.1199999999999999E-5</v>
      </c>
      <c r="F26" s="26">
        <v>3.1300000000000002E-5</v>
      </c>
    </row>
    <row r="27" spans="1:18">
      <c r="A27" s="1">
        <v>26</v>
      </c>
      <c r="B27" s="1" t="s">
        <v>4</v>
      </c>
      <c r="C27" s="2">
        <v>3.12500166860774E-5</v>
      </c>
      <c r="E27" s="26">
        <v>3.1300000000000002E-5</v>
      </c>
      <c r="F27" s="26">
        <v>3.1300000000000002E-5</v>
      </c>
    </row>
    <row r="28" spans="1:18">
      <c r="A28" s="1">
        <v>27</v>
      </c>
      <c r="B28" s="1" t="s">
        <v>4</v>
      </c>
      <c r="C28" s="2">
        <v>3.12500080305751E-5</v>
      </c>
      <c r="E28" s="26">
        <v>3.1300000000000002E-5</v>
      </c>
      <c r="F28" s="26">
        <v>3.1300000000000002E-5</v>
      </c>
    </row>
    <row r="29" spans="1:18">
      <c r="A29" s="1">
        <v>28</v>
      </c>
      <c r="B29" s="1" t="s">
        <v>4</v>
      </c>
      <c r="C29" s="2">
        <v>3.12500124671343E-5</v>
      </c>
      <c r="E29" s="26">
        <v>3.1300000000000002E-5</v>
      </c>
      <c r="F29" s="26">
        <v>3.1199999999999999E-5</v>
      </c>
      <c r="I29" s="24" t="s">
        <v>2422</v>
      </c>
      <c r="J29" s="24">
        <v>3.1199999999999999E-5</v>
      </c>
      <c r="K29" s="24">
        <v>1233152.4647035545</v>
      </c>
    </row>
    <row r="30" spans="1:18">
      <c r="A30" s="1">
        <v>29</v>
      </c>
      <c r="B30" s="1" t="s">
        <v>4</v>
      </c>
      <c r="C30" s="2">
        <v>3.1249996913150797E-5</v>
      </c>
      <c r="E30" s="26">
        <v>3.1199999999999999E-5</v>
      </c>
      <c r="F30" s="26">
        <v>3.1199999999999999E-5</v>
      </c>
      <c r="I30" s="24" t="s">
        <v>2422</v>
      </c>
      <c r="J30" s="24">
        <v>3.1300000000000002E-5</v>
      </c>
      <c r="K30" s="24">
        <v>8997517.7997348495</v>
      </c>
    </row>
    <row r="31" spans="1:18">
      <c r="A31" s="1">
        <v>30</v>
      </c>
      <c r="B31" s="1" t="s">
        <v>4</v>
      </c>
      <c r="C31" s="2">
        <v>3.1250007253137497E-5</v>
      </c>
      <c r="E31" s="26">
        <v>3.1300000000000002E-5</v>
      </c>
      <c r="F31" s="26">
        <v>3.1300000000000002E-5</v>
      </c>
      <c r="I31" s="24" t="s">
        <v>2423</v>
      </c>
      <c r="J31" s="24">
        <v>3.1199999999999999E-5</v>
      </c>
      <c r="K31" s="24">
        <v>3298444.2372310613</v>
      </c>
    </row>
    <row r="32" spans="1:18">
      <c r="A32" s="1">
        <v>31</v>
      </c>
      <c r="B32" s="1" t="s">
        <v>4</v>
      </c>
      <c r="C32" s="2">
        <v>3.12500048851617E-5</v>
      </c>
      <c r="E32" s="26">
        <v>3.1300000000000002E-5</v>
      </c>
      <c r="F32" s="26">
        <v>3.1199999999999999E-5</v>
      </c>
      <c r="I32" s="24" t="s">
        <v>2423</v>
      </c>
      <c r="J32" s="24">
        <v>3.1300000000000002E-5</v>
      </c>
      <c r="K32" s="24">
        <v>6396404.5954600377</v>
      </c>
    </row>
    <row r="33" spans="1:6">
      <c r="A33" s="1">
        <v>32</v>
      </c>
      <c r="B33" s="1" t="s">
        <v>4</v>
      </c>
      <c r="C33" s="2">
        <v>3.1250006179917798E-5</v>
      </c>
      <c r="E33" s="26">
        <v>3.1300000000000002E-5</v>
      </c>
      <c r="F33" s="26">
        <v>3.1199999999999999E-5</v>
      </c>
    </row>
    <row r="34" spans="1:6">
      <c r="A34" s="1">
        <v>33</v>
      </c>
      <c r="B34" s="1" t="s">
        <v>4</v>
      </c>
      <c r="C34" s="2">
        <v>3.1250012857215503E-5</v>
      </c>
      <c r="E34" s="26">
        <v>3.1300000000000002E-5</v>
      </c>
      <c r="F34" s="26">
        <v>3.1300000000000002E-5</v>
      </c>
    </row>
    <row r="35" spans="1:6">
      <c r="A35" s="1">
        <v>34</v>
      </c>
      <c r="B35" s="1" t="s">
        <v>4</v>
      </c>
      <c r="C35" s="2">
        <v>3.12500062398805E-5</v>
      </c>
      <c r="E35" s="26">
        <v>3.1300000000000002E-5</v>
      </c>
      <c r="F35" s="26">
        <v>3.1300000000000002E-5</v>
      </c>
    </row>
    <row r="36" spans="1:6">
      <c r="A36" s="1">
        <v>35</v>
      </c>
      <c r="B36" s="1" t="s">
        <v>4</v>
      </c>
      <c r="C36" s="2">
        <v>3.1250002994129102E-5</v>
      </c>
      <c r="E36" s="26">
        <v>3.1300000000000002E-5</v>
      </c>
      <c r="F36" s="26">
        <v>3.1199999999999999E-5</v>
      </c>
    </row>
    <row r="37" spans="1:6">
      <c r="A37" s="1">
        <v>36</v>
      </c>
      <c r="B37" s="1" t="s">
        <v>4</v>
      </c>
      <c r="C37" s="2">
        <v>3.12500039442077E-5</v>
      </c>
      <c r="E37" s="26">
        <v>3.1300000000000002E-5</v>
      </c>
      <c r="F37" s="26">
        <v>3.1199999999999999E-5</v>
      </c>
    </row>
    <row r="38" spans="1:6">
      <c r="A38" s="1">
        <v>37</v>
      </c>
      <c r="B38" s="1" t="s">
        <v>4</v>
      </c>
      <c r="C38" s="2">
        <v>3.1250001264106198E-5</v>
      </c>
      <c r="E38" s="26">
        <v>3.1300000000000002E-5</v>
      </c>
      <c r="F38" s="26">
        <v>3.1300000000000002E-5</v>
      </c>
    </row>
    <row r="39" spans="1:6">
      <c r="A39" s="1">
        <v>38</v>
      </c>
      <c r="B39" s="1" t="s">
        <v>4</v>
      </c>
      <c r="C39" s="2">
        <v>3.1249999918101801E-5</v>
      </c>
      <c r="E39" s="26">
        <v>3.1199999999999999E-5</v>
      </c>
      <c r="F39" s="26">
        <v>3.1300000000000002E-5</v>
      </c>
    </row>
    <row r="40" spans="1:6">
      <c r="A40" s="1">
        <v>39</v>
      </c>
      <c r="B40" s="1" t="s">
        <v>4</v>
      </c>
      <c r="C40" s="2">
        <v>3.1250003014865098E-5</v>
      </c>
      <c r="E40" s="26">
        <v>3.1300000000000002E-5</v>
      </c>
      <c r="F40" s="26">
        <v>3.1300000000000002E-5</v>
      </c>
    </row>
    <row r="41" spans="1:6">
      <c r="A41" s="1">
        <v>40</v>
      </c>
      <c r="B41" s="1" t="s">
        <v>4</v>
      </c>
      <c r="C41" s="2">
        <v>3.1250006774180799E-5</v>
      </c>
      <c r="E41" s="26">
        <v>3.1300000000000002E-5</v>
      </c>
      <c r="F41" s="26">
        <v>3.1199999999999999E-5</v>
      </c>
    </row>
    <row r="42" spans="1:6">
      <c r="A42" s="1">
        <v>41</v>
      </c>
      <c r="B42" s="1" t="s">
        <v>4</v>
      </c>
      <c r="C42" s="2">
        <v>3.1250010208062498E-5</v>
      </c>
      <c r="E42" s="26">
        <v>3.1300000000000002E-5</v>
      </c>
      <c r="F42" s="26">
        <v>3.1199999999999999E-5</v>
      </c>
    </row>
    <row r="43" spans="1:6">
      <c r="A43" s="1">
        <v>42</v>
      </c>
      <c r="B43" s="1" t="s">
        <v>4</v>
      </c>
      <c r="C43" s="2">
        <v>3.1250006839042801E-5</v>
      </c>
      <c r="E43" s="26">
        <v>3.1300000000000002E-5</v>
      </c>
      <c r="F43" s="26">
        <v>3.1199999999999999E-5</v>
      </c>
    </row>
    <row r="44" spans="1:6">
      <c r="A44" s="1">
        <v>43</v>
      </c>
      <c r="B44" s="1" t="s">
        <v>4</v>
      </c>
      <c r="C44" s="2">
        <v>3.1250007720056101E-5</v>
      </c>
      <c r="E44" s="26">
        <v>3.1300000000000002E-5</v>
      </c>
      <c r="F44" s="26">
        <v>3.1300000000000002E-5</v>
      </c>
    </row>
    <row r="45" spans="1:6">
      <c r="A45" s="1">
        <v>44</v>
      </c>
      <c r="B45" s="1" t="s">
        <v>4</v>
      </c>
      <c r="C45" s="2">
        <v>3.1250014461513998E-5</v>
      </c>
      <c r="E45" s="26">
        <v>3.1300000000000002E-5</v>
      </c>
      <c r="F45" s="26">
        <v>3.1300000000000002E-5</v>
      </c>
    </row>
    <row r="46" spans="1:6">
      <c r="A46" s="1">
        <v>45</v>
      </c>
      <c r="B46" s="1" t="s">
        <v>4</v>
      </c>
      <c r="C46" s="2">
        <v>3.1250001844696E-5</v>
      </c>
      <c r="E46" s="26">
        <v>3.1300000000000002E-5</v>
      </c>
      <c r="F46" s="26">
        <v>3.1300000000000002E-5</v>
      </c>
    </row>
    <row r="47" spans="1:6">
      <c r="A47" s="1">
        <v>46</v>
      </c>
      <c r="B47" s="1" t="s">
        <v>4</v>
      </c>
      <c r="C47" s="2">
        <v>3.1250017080718703E-5</v>
      </c>
      <c r="E47" s="26">
        <v>3.1300000000000002E-5</v>
      </c>
      <c r="F47" s="26">
        <v>3.1199999999999999E-5</v>
      </c>
    </row>
    <row r="48" spans="1:6">
      <c r="A48" s="1">
        <v>47</v>
      </c>
      <c r="B48" s="1" t="s">
        <v>4</v>
      </c>
      <c r="C48" s="2">
        <v>3.1250002003942701E-5</v>
      </c>
      <c r="E48" s="26">
        <v>3.1300000000000002E-5</v>
      </c>
      <c r="F48" s="26">
        <v>3.1300000000000002E-5</v>
      </c>
    </row>
    <row r="49" spans="1:6">
      <c r="A49" s="1">
        <v>48</v>
      </c>
      <c r="B49" s="1" t="s">
        <v>4</v>
      </c>
      <c r="C49" s="2">
        <v>3.1250001602619398E-5</v>
      </c>
      <c r="E49" s="26">
        <v>3.1300000000000002E-5</v>
      </c>
      <c r="F49" s="26">
        <v>3.1199999999999999E-5</v>
      </c>
    </row>
    <row r="50" spans="1:6">
      <c r="A50" s="1">
        <v>49</v>
      </c>
      <c r="B50" s="1" t="s">
        <v>4</v>
      </c>
      <c r="C50" s="2">
        <v>3.1249997549656402E-5</v>
      </c>
      <c r="E50" s="26">
        <v>3.1199999999999999E-5</v>
      </c>
      <c r="F50" s="26">
        <v>3.1199999999999999E-5</v>
      </c>
    </row>
    <row r="51" spans="1:6">
      <c r="A51" s="1">
        <v>50</v>
      </c>
      <c r="B51" s="1" t="s">
        <v>4</v>
      </c>
      <c r="C51" s="2">
        <v>3.1250004511509798E-5</v>
      </c>
      <c r="E51" s="26">
        <v>3.1300000000000002E-5</v>
      </c>
      <c r="F51" s="26">
        <v>3.1300000000000002E-5</v>
      </c>
    </row>
    <row r="52" spans="1:6">
      <c r="A52" s="1">
        <v>51</v>
      </c>
      <c r="B52" s="1" t="s">
        <v>4</v>
      </c>
      <c r="C52" s="2">
        <v>3.12499910461531E-5</v>
      </c>
      <c r="E52" s="26">
        <v>3.1199999999999999E-5</v>
      </c>
      <c r="F52" s="26">
        <v>3.1199999999999999E-5</v>
      </c>
    </row>
    <row r="53" spans="1:6">
      <c r="A53" s="1">
        <v>52</v>
      </c>
      <c r="B53" s="1" t="s">
        <v>4</v>
      </c>
      <c r="C53" s="2">
        <v>3.1250007226251702E-5</v>
      </c>
      <c r="E53" s="26">
        <v>3.1300000000000002E-5</v>
      </c>
      <c r="F53" s="26">
        <v>3.1300000000000002E-5</v>
      </c>
    </row>
    <row r="54" spans="1:6">
      <c r="A54" s="1">
        <v>53</v>
      </c>
      <c r="B54" s="1" t="s">
        <v>4</v>
      </c>
      <c r="C54" s="2">
        <v>3.1250001516812501E-5</v>
      </c>
      <c r="E54" s="26">
        <v>3.1300000000000002E-5</v>
      </c>
      <c r="F54" s="26">
        <v>3.1300000000000002E-5</v>
      </c>
    </row>
    <row r="55" spans="1:6">
      <c r="A55" s="1">
        <v>54</v>
      </c>
      <c r="B55" s="1" t="s">
        <v>4</v>
      </c>
      <c r="C55" s="2">
        <v>3.1250015254821597E-5</v>
      </c>
      <c r="E55" s="26">
        <v>3.1300000000000002E-5</v>
      </c>
      <c r="F55" s="26">
        <v>3.1300000000000002E-5</v>
      </c>
    </row>
    <row r="56" spans="1:6">
      <c r="A56" s="1">
        <v>55</v>
      </c>
      <c r="B56" s="1" t="s">
        <v>4</v>
      </c>
      <c r="C56" s="2">
        <v>3.1250003240345798E-5</v>
      </c>
      <c r="E56" s="26">
        <v>3.1300000000000002E-5</v>
      </c>
      <c r="F56" s="26">
        <v>3.1300000000000002E-5</v>
      </c>
    </row>
    <row r="57" spans="1:6">
      <c r="A57" s="1">
        <v>56</v>
      </c>
      <c r="B57" s="1" t="s">
        <v>4</v>
      </c>
      <c r="C57" s="2">
        <v>3.12500065064882E-5</v>
      </c>
      <c r="E57" s="26">
        <v>3.1300000000000002E-5</v>
      </c>
      <c r="F57" s="26">
        <v>3.1199999999999999E-5</v>
      </c>
    </row>
    <row r="58" spans="1:6">
      <c r="A58" s="1">
        <v>57</v>
      </c>
      <c r="B58" s="1" t="s">
        <v>4</v>
      </c>
      <c r="C58" s="2">
        <v>3.12500030290055E-5</v>
      </c>
      <c r="E58" s="26">
        <v>3.1300000000000002E-5</v>
      </c>
      <c r="F58" s="26">
        <v>3.1199999999999999E-5</v>
      </c>
    </row>
    <row r="59" spans="1:6">
      <c r="A59" s="1">
        <v>58</v>
      </c>
      <c r="B59" s="1" t="s">
        <v>4</v>
      </c>
      <c r="C59" s="2">
        <v>3.1250002691309897E-5</v>
      </c>
      <c r="E59" s="26">
        <v>3.1300000000000002E-5</v>
      </c>
      <c r="F59" s="26">
        <v>3.1300000000000002E-5</v>
      </c>
    </row>
    <row r="60" spans="1:6">
      <c r="A60" s="1">
        <v>59</v>
      </c>
      <c r="B60" s="1" t="s">
        <v>4</v>
      </c>
      <c r="C60" s="2">
        <v>3.12500065862818E-5</v>
      </c>
      <c r="E60" s="26">
        <v>3.1300000000000002E-5</v>
      </c>
      <c r="F60" s="26">
        <v>3.1300000000000002E-5</v>
      </c>
    </row>
    <row r="61" spans="1:6">
      <c r="A61" s="1">
        <v>60</v>
      </c>
      <c r="B61" s="1" t="s">
        <v>180</v>
      </c>
      <c r="C61" s="2">
        <v>3.1250004864467398E-5</v>
      </c>
      <c r="E61" s="26">
        <v>3.1300000000000002E-5</v>
      </c>
      <c r="F61" s="26">
        <v>3.1199999999999999E-5</v>
      </c>
    </row>
    <row r="62" spans="1:6">
      <c r="A62" s="1">
        <v>61</v>
      </c>
      <c r="B62" s="1" t="s">
        <v>4</v>
      </c>
      <c r="C62" s="2">
        <v>3.1250004839268398E-5</v>
      </c>
      <c r="E62" s="26">
        <v>3.1300000000000002E-5</v>
      </c>
      <c r="F62" s="26">
        <v>3.1199999999999999E-5</v>
      </c>
    </row>
    <row r="63" spans="1:6">
      <c r="A63" s="1">
        <v>62</v>
      </c>
      <c r="B63" s="1" t="s">
        <v>4</v>
      </c>
      <c r="C63" s="2">
        <v>3.1250003619485402E-5</v>
      </c>
      <c r="E63" s="26">
        <v>3.1199999999999999E-5</v>
      </c>
      <c r="F63" s="26">
        <v>3.1199999999999999E-5</v>
      </c>
    </row>
    <row r="64" spans="1:6">
      <c r="A64" s="1">
        <v>63</v>
      </c>
      <c r="B64" s="1" t="s">
        <v>4</v>
      </c>
      <c r="C64" s="2">
        <v>3.1249997996361297E-5</v>
      </c>
      <c r="E64" s="26">
        <v>3.1300000000000002E-5</v>
      </c>
      <c r="F64" s="26">
        <v>3.1300000000000002E-5</v>
      </c>
    </row>
    <row r="65" spans="1:6">
      <c r="A65" s="1">
        <v>64</v>
      </c>
      <c r="B65" s="1" t="s">
        <v>4</v>
      </c>
      <c r="C65" s="2">
        <v>3.1250006150766102E-5</v>
      </c>
      <c r="E65" s="26">
        <v>3.1300000000000002E-5</v>
      </c>
      <c r="F65" s="26">
        <v>3.1300000000000002E-5</v>
      </c>
    </row>
    <row r="66" spans="1:6">
      <c r="A66" s="1">
        <v>65</v>
      </c>
      <c r="B66" s="1" t="s">
        <v>4</v>
      </c>
      <c r="C66" s="2">
        <v>3.1250012641800998E-5</v>
      </c>
      <c r="E66" s="26">
        <v>3.1300000000000002E-5</v>
      </c>
      <c r="F66" s="26">
        <v>3.1300000000000002E-5</v>
      </c>
    </row>
    <row r="67" spans="1:6">
      <c r="A67" s="1">
        <v>66</v>
      </c>
      <c r="B67" s="1" t="s">
        <v>4</v>
      </c>
      <c r="C67" s="2">
        <v>3.1250001354121697E-5</v>
      </c>
      <c r="E67" s="26">
        <v>3.1199999999999999E-5</v>
      </c>
      <c r="F67" s="26">
        <v>3.1300000000000002E-5</v>
      </c>
    </row>
    <row r="68" spans="1:6">
      <c r="A68" s="1">
        <v>67</v>
      </c>
      <c r="B68" s="1" t="s">
        <v>180</v>
      </c>
      <c r="C68" s="2">
        <v>3.1250000007632703E-5</v>
      </c>
      <c r="E68" s="26">
        <v>3.1199999999999999E-5</v>
      </c>
      <c r="F68" s="26">
        <v>3.1300000000000002E-5</v>
      </c>
    </row>
    <row r="69" spans="1:6">
      <c r="A69" s="1">
        <v>68</v>
      </c>
      <c r="B69" s="1" t="s">
        <v>4</v>
      </c>
      <c r="C69" s="2">
        <v>3.1249994186271399E-5</v>
      </c>
      <c r="E69" s="26">
        <v>3.1199999999999999E-5</v>
      </c>
      <c r="F69" s="26">
        <v>3.1300000000000002E-5</v>
      </c>
    </row>
    <row r="70" spans="1:6">
      <c r="A70" s="1">
        <v>69</v>
      </c>
      <c r="B70" s="1" t="s">
        <v>4</v>
      </c>
      <c r="C70" s="2">
        <v>3.12499994426411E-5</v>
      </c>
      <c r="E70" s="26">
        <v>3.1300000000000002E-5</v>
      </c>
      <c r="F70" s="26">
        <v>3.1199999999999999E-5</v>
      </c>
    </row>
    <row r="71" spans="1:6">
      <c r="A71" s="1">
        <v>70</v>
      </c>
      <c r="B71" s="1" t="s">
        <v>4</v>
      </c>
      <c r="C71" s="2">
        <v>3.12499955810793E-5</v>
      </c>
      <c r="E71" s="26">
        <v>3.1300000000000002E-5</v>
      </c>
      <c r="F71" s="26">
        <v>3.1199999999999999E-5</v>
      </c>
    </row>
    <row r="72" spans="1:6">
      <c r="A72" s="1">
        <v>71</v>
      </c>
      <c r="B72" s="1" t="s">
        <v>4</v>
      </c>
      <c r="C72" s="2">
        <v>3.1250003594903198E-5</v>
      </c>
      <c r="E72" s="26">
        <v>3.1300000000000002E-5</v>
      </c>
      <c r="F72" s="26">
        <v>3.1300000000000002E-5</v>
      </c>
    </row>
    <row r="73" spans="1:6">
      <c r="A73" s="1">
        <v>72</v>
      </c>
      <c r="B73" s="1" t="s">
        <v>4</v>
      </c>
      <c r="C73" s="2">
        <v>3.1250014871625599E-5</v>
      </c>
      <c r="E73" s="26">
        <v>3.1199999999999999E-5</v>
      </c>
      <c r="F73" s="26">
        <v>3.1199999999999999E-5</v>
      </c>
    </row>
    <row r="74" spans="1:6">
      <c r="A74" s="1">
        <v>73</v>
      </c>
      <c r="B74" s="1" t="s">
        <v>4</v>
      </c>
      <c r="C74" s="2">
        <v>3.1250006482111601E-5</v>
      </c>
      <c r="E74" s="26">
        <v>3.1300000000000002E-5</v>
      </c>
      <c r="F74" s="26">
        <v>3.1199999999999999E-5</v>
      </c>
    </row>
    <row r="75" spans="1:6">
      <c r="A75" s="1">
        <v>74</v>
      </c>
      <c r="B75" s="1" t="s">
        <v>4</v>
      </c>
      <c r="C75" s="2">
        <v>3.1249998872930297E-5</v>
      </c>
      <c r="E75" s="26">
        <v>3.1300000000000002E-5</v>
      </c>
      <c r="F75" s="26">
        <v>3.1300000000000002E-5</v>
      </c>
    </row>
    <row r="76" spans="1:6">
      <c r="A76" s="1">
        <v>75</v>
      </c>
      <c r="B76" s="1" t="s">
        <v>4</v>
      </c>
      <c r="C76" s="2">
        <v>3.1250000386259899E-5</v>
      </c>
      <c r="E76" s="26">
        <v>3.1300000000000002E-5</v>
      </c>
      <c r="F76" s="26">
        <v>3.1300000000000002E-5</v>
      </c>
    </row>
    <row r="77" spans="1:6">
      <c r="A77" s="1">
        <v>76</v>
      </c>
      <c r="B77" s="1" t="s">
        <v>4</v>
      </c>
      <c r="C77" s="2">
        <v>3.1250011269358602E-5</v>
      </c>
      <c r="E77" s="26">
        <v>3.1300000000000002E-5</v>
      </c>
      <c r="F77" s="26">
        <v>3.1300000000000002E-5</v>
      </c>
    </row>
    <row r="78" spans="1:6">
      <c r="A78" s="1">
        <v>77</v>
      </c>
      <c r="B78" s="1" t="s">
        <v>4</v>
      </c>
      <c r="C78" s="2">
        <v>3.1250006122674098E-5</v>
      </c>
      <c r="E78" s="26">
        <v>3.1199999999999999E-5</v>
      </c>
      <c r="F78" s="26">
        <v>3.1300000000000002E-5</v>
      </c>
    </row>
    <row r="79" spans="1:6">
      <c r="A79" s="1">
        <v>78</v>
      </c>
      <c r="B79" s="1" t="s">
        <v>4</v>
      </c>
      <c r="C79" s="2">
        <v>3.12500083668043E-5</v>
      </c>
      <c r="E79" s="26">
        <v>3.1300000000000002E-5</v>
      </c>
      <c r="F79" s="26">
        <v>3.1199999999999999E-5</v>
      </c>
    </row>
    <row r="80" spans="1:6">
      <c r="A80" s="1">
        <v>79</v>
      </c>
      <c r="B80" s="1" t="s">
        <v>4</v>
      </c>
      <c r="C80" s="2">
        <v>3.1249997258089102E-5</v>
      </c>
      <c r="E80" s="26">
        <v>3.1199999999999999E-5</v>
      </c>
      <c r="F80" s="26">
        <v>3.1199999999999999E-5</v>
      </c>
    </row>
    <row r="81" spans="1:6">
      <c r="A81" s="1">
        <v>80</v>
      </c>
      <c r="B81" s="1" t="s">
        <v>4</v>
      </c>
      <c r="C81" s="2">
        <v>3.12500090217214E-5</v>
      </c>
      <c r="E81" s="26">
        <v>3.1300000000000002E-5</v>
      </c>
      <c r="F81" s="26">
        <v>3.1300000000000002E-5</v>
      </c>
    </row>
    <row r="82" spans="1:6">
      <c r="A82" s="1">
        <v>81</v>
      </c>
      <c r="B82" s="1" t="s">
        <v>4</v>
      </c>
      <c r="C82" s="2">
        <v>3.1249999555423801E-5</v>
      </c>
      <c r="E82" s="26">
        <v>3.1300000000000002E-5</v>
      </c>
      <c r="F82" s="26">
        <v>3.1300000000000002E-5</v>
      </c>
    </row>
    <row r="83" spans="1:6">
      <c r="A83" s="1">
        <v>82</v>
      </c>
      <c r="B83" s="1" t="s">
        <v>4</v>
      </c>
      <c r="C83" s="2">
        <v>3.1250012711615703E-5</v>
      </c>
      <c r="E83" s="26">
        <v>3.1300000000000002E-5</v>
      </c>
      <c r="F83" s="26">
        <v>3.1300000000000002E-5</v>
      </c>
    </row>
    <row r="84" spans="1:6">
      <c r="A84" s="1">
        <v>83</v>
      </c>
      <c r="B84" s="1" t="s">
        <v>4</v>
      </c>
      <c r="C84" s="2">
        <v>3.1250002526739201E-5</v>
      </c>
      <c r="E84" s="26">
        <v>3.1300000000000002E-5</v>
      </c>
      <c r="F84" s="26">
        <v>3.1300000000000002E-5</v>
      </c>
    </row>
    <row r="85" spans="1:6">
      <c r="A85" s="1">
        <v>84</v>
      </c>
      <c r="B85" s="1" t="s">
        <v>4</v>
      </c>
      <c r="C85" s="2">
        <v>3.1250002596575801E-5</v>
      </c>
      <c r="E85" s="26">
        <v>3.1300000000000002E-5</v>
      </c>
      <c r="F85" s="26">
        <v>3.1199999999999999E-5</v>
      </c>
    </row>
    <row r="86" spans="1:6">
      <c r="A86" s="1">
        <v>85</v>
      </c>
      <c r="B86" s="1" t="s">
        <v>4</v>
      </c>
      <c r="C86" s="2">
        <v>3.1250015322999902E-5</v>
      </c>
      <c r="E86" s="26">
        <v>3.1300000000000002E-5</v>
      </c>
      <c r="F86" s="26">
        <v>3.1300000000000002E-5</v>
      </c>
    </row>
    <row r="87" spans="1:6">
      <c r="A87" s="1">
        <v>86</v>
      </c>
      <c r="B87" s="1" t="s">
        <v>4</v>
      </c>
      <c r="C87" s="2">
        <v>3.12500002782732E-5</v>
      </c>
      <c r="E87" s="26">
        <v>3.1300000000000002E-5</v>
      </c>
      <c r="F87" s="26">
        <v>3.1300000000000002E-5</v>
      </c>
    </row>
    <row r="88" spans="1:6">
      <c r="A88" s="1">
        <v>87</v>
      </c>
      <c r="B88" s="1" t="s">
        <v>4</v>
      </c>
      <c r="C88" s="2">
        <v>3.1250011047747001E-5</v>
      </c>
      <c r="E88" s="26">
        <v>3.1300000000000002E-5</v>
      </c>
      <c r="F88" s="26">
        <v>3.1300000000000002E-5</v>
      </c>
    </row>
    <row r="89" spans="1:6">
      <c r="A89" s="1">
        <v>88</v>
      </c>
      <c r="B89" s="1" t="s">
        <v>4</v>
      </c>
      <c r="C89" s="2">
        <v>3.1250002117651297E-5</v>
      </c>
      <c r="E89" s="26">
        <v>3.1199999999999999E-5</v>
      </c>
      <c r="F89" s="26">
        <v>3.1300000000000002E-5</v>
      </c>
    </row>
    <row r="90" spans="1:6">
      <c r="A90" s="1">
        <v>89</v>
      </c>
      <c r="B90" s="1" t="s">
        <v>4</v>
      </c>
      <c r="C90" s="2">
        <v>3.1250004333386698E-5</v>
      </c>
      <c r="E90" s="26">
        <v>3.1199999999999999E-5</v>
      </c>
      <c r="F90" s="26">
        <v>3.1199999999999999E-5</v>
      </c>
    </row>
    <row r="91" spans="1:6">
      <c r="A91" s="1">
        <v>90</v>
      </c>
      <c r="B91" s="1" t="s">
        <v>4</v>
      </c>
      <c r="C91" s="2">
        <v>3.1249996170609101E-5</v>
      </c>
      <c r="E91" s="26">
        <v>3.1199999999999999E-5</v>
      </c>
      <c r="F91" s="26">
        <v>3.1199999999999999E-5</v>
      </c>
    </row>
    <row r="92" spans="1:6">
      <c r="A92" s="1">
        <v>91</v>
      </c>
      <c r="B92" s="1" t="s">
        <v>4</v>
      </c>
      <c r="C92" s="2">
        <v>3.1249997714461102E-5</v>
      </c>
      <c r="E92" s="26">
        <v>3.1300000000000002E-5</v>
      </c>
      <c r="F92" s="26">
        <v>3.1199999999999999E-5</v>
      </c>
    </row>
    <row r="93" spans="1:6">
      <c r="A93" s="1">
        <v>92</v>
      </c>
      <c r="B93" s="1" t="s">
        <v>4</v>
      </c>
      <c r="C93" s="2">
        <v>3.12499999971509E-5</v>
      </c>
      <c r="E93" s="26">
        <v>3.1300000000000002E-5</v>
      </c>
      <c r="F93" s="26">
        <v>3.1300000000000002E-5</v>
      </c>
    </row>
    <row r="94" spans="1:6">
      <c r="A94" s="1">
        <v>93</v>
      </c>
      <c r="B94" s="1" t="s">
        <v>4</v>
      </c>
      <c r="C94" s="2">
        <v>3.1250005770696198E-5</v>
      </c>
      <c r="E94" s="26">
        <v>3.1199999999999999E-5</v>
      </c>
      <c r="F94" s="26">
        <v>3.1300000000000002E-5</v>
      </c>
    </row>
    <row r="95" spans="1:6">
      <c r="A95" s="1">
        <v>94</v>
      </c>
      <c r="B95" s="1" t="s">
        <v>4</v>
      </c>
      <c r="C95" s="2">
        <v>3.1250010395114098E-5</v>
      </c>
      <c r="E95" s="26">
        <v>3.1199999999999999E-5</v>
      </c>
      <c r="F95" s="26">
        <v>3.1199999999999999E-5</v>
      </c>
    </row>
    <row r="96" spans="1:6">
      <c r="A96" s="1">
        <v>95</v>
      </c>
      <c r="B96" s="1" t="s">
        <v>4</v>
      </c>
      <c r="C96" s="2">
        <v>3.1249999579601801E-5</v>
      </c>
      <c r="E96" s="26">
        <v>3.1300000000000002E-5</v>
      </c>
      <c r="F96" s="26">
        <v>3.1199999999999999E-5</v>
      </c>
    </row>
    <row r="97" spans="1:6">
      <c r="A97" s="1">
        <v>96</v>
      </c>
      <c r="B97" s="1" t="s">
        <v>4</v>
      </c>
      <c r="C97" s="2">
        <v>3.1249999335073797E-5</v>
      </c>
      <c r="E97" s="26">
        <v>3.1300000000000002E-5</v>
      </c>
      <c r="F97" s="26">
        <v>3.1199999999999999E-5</v>
      </c>
    </row>
    <row r="98" spans="1:6">
      <c r="A98" s="1">
        <v>97</v>
      </c>
      <c r="B98" s="1" t="s">
        <v>4</v>
      </c>
      <c r="C98" s="2">
        <v>3.1250013962143501E-5</v>
      </c>
      <c r="E98" s="26">
        <v>3.1199999999999999E-5</v>
      </c>
      <c r="F98" s="26">
        <v>3.1300000000000002E-5</v>
      </c>
    </row>
    <row r="99" spans="1:6">
      <c r="A99" s="1">
        <v>98</v>
      </c>
      <c r="B99" s="1" t="s">
        <v>4</v>
      </c>
      <c r="C99" s="2">
        <v>3.1250007711043901E-5</v>
      </c>
      <c r="E99" s="26">
        <v>3.1300000000000002E-5</v>
      </c>
      <c r="F99" s="26">
        <v>3.1300000000000002E-5</v>
      </c>
    </row>
    <row r="100" spans="1:6">
      <c r="A100" s="1">
        <v>99</v>
      </c>
      <c r="B100" s="1" t="s">
        <v>4</v>
      </c>
      <c r="C100" s="2">
        <v>3.1249999863057297E-5</v>
      </c>
      <c r="E100" s="26">
        <v>3.1199999999999999E-5</v>
      </c>
      <c r="F100" s="26">
        <v>3.1300000000000002E-5</v>
      </c>
    </row>
    <row r="101" spans="1:6">
      <c r="A101" s="1">
        <v>100</v>
      </c>
      <c r="B101" s="1" t="s">
        <v>4</v>
      </c>
      <c r="C101" s="2">
        <v>3.12500023021557E-5</v>
      </c>
      <c r="E101" s="26">
        <v>3.1300000000000002E-5</v>
      </c>
      <c r="F101" s="26">
        <v>3.1199999999999999E-5</v>
      </c>
    </row>
    <row r="102" spans="1:6">
      <c r="A102" s="1">
        <v>101</v>
      </c>
      <c r="B102" s="1" t="s">
        <v>4</v>
      </c>
      <c r="C102" s="2">
        <v>3.1249998415644097E-5</v>
      </c>
      <c r="E102" s="26">
        <v>3.1199999999999999E-5</v>
      </c>
      <c r="F102" s="26">
        <v>3.1300000000000002E-5</v>
      </c>
    </row>
    <row r="103" spans="1:6">
      <c r="A103" s="1">
        <v>102</v>
      </c>
      <c r="B103" s="1" t="s">
        <v>4</v>
      </c>
      <c r="C103" s="2">
        <v>3.1250012342551E-5</v>
      </c>
      <c r="E103" s="26">
        <v>3.1300000000000002E-5</v>
      </c>
      <c r="F103" s="26">
        <v>3.1300000000000002E-5</v>
      </c>
    </row>
    <row r="104" spans="1:6">
      <c r="A104" s="1">
        <v>103</v>
      </c>
      <c r="B104" s="1" t="s">
        <v>4</v>
      </c>
      <c r="C104" s="2">
        <v>3.12499935894616E-5</v>
      </c>
      <c r="E104" s="26">
        <v>3.1300000000000002E-5</v>
      </c>
      <c r="F104" s="26">
        <v>3.1300000000000002E-5</v>
      </c>
    </row>
    <row r="105" spans="1:6">
      <c r="A105" s="1">
        <v>104</v>
      </c>
      <c r="B105" s="1" t="s">
        <v>4</v>
      </c>
      <c r="C105" s="2">
        <v>3.1250001038507097E-5</v>
      </c>
      <c r="E105" s="26">
        <v>3.1199999999999999E-5</v>
      </c>
      <c r="F105" s="26">
        <v>3.1300000000000002E-5</v>
      </c>
    </row>
    <row r="106" spans="1:6">
      <c r="A106" s="1">
        <v>105</v>
      </c>
      <c r="B106" s="1" t="s">
        <v>4</v>
      </c>
      <c r="C106" s="2">
        <v>3.1250004102836798E-5</v>
      </c>
      <c r="E106" s="26">
        <v>3.1199999999999999E-5</v>
      </c>
      <c r="F106" s="26">
        <v>3.1199999999999999E-5</v>
      </c>
    </row>
    <row r="107" spans="1:6">
      <c r="A107" s="1">
        <v>106</v>
      </c>
      <c r="B107" s="1" t="s">
        <v>4</v>
      </c>
      <c r="C107" s="2">
        <v>3.1249998205069301E-5</v>
      </c>
      <c r="E107" s="26">
        <v>3.1300000000000002E-5</v>
      </c>
      <c r="F107" s="26">
        <v>3.1300000000000002E-5</v>
      </c>
    </row>
    <row r="108" spans="1:6">
      <c r="A108" s="1">
        <v>107</v>
      </c>
      <c r="B108" s="1" t="s">
        <v>4</v>
      </c>
      <c r="C108" s="2">
        <v>3.12499916621596E-5</v>
      </c>
      <c r="E108" s="26">
        <v>3.1300000000000002E-5</v>
      </c>
      <c r="F108" s="26">
        <v>3.1300000000000002E-5</v>
      </c>
    </row>
    <row r="109" spans="1:6">
      <c r="A109" s="1">
        <v>108</v>
      </c>
      <c r="B109" s="1" t="s">
        <v>4</v>
      </c>
      <c r="C109" s="2">
        <v>3.1250006249835597E-5</v>
      </c>
      <c r="E109" s="26">
        <v>3.1300000000000002E-5</v>
      </c>
      <c r="F109" s="26">
        <v>3.1300000000000002E-5</v>
      </c>
    </row>
    <row r="110" spans="1:6">
      <c r="A110" s="1">
        <v>109</v>
      </c>
      <c r="B110" s="1" t="s">
        <v>4</v>
      </c>
      <c r="C110" s="2">
        <v>3.1250017918303398E-5</v>
      </c>
      <c r="E110" s="26">
        <v>3.1300000000000002E-5</v>
      </c>
      <c r="F110" s="26">
        <v>3.1300000000000002E-5</v>
      </c>
    </row>
    <row r="111" spans="1:6">
      <c r="A111" s="1">
        <v>110</v>
      </c>
      <c r="B111" s="1" t="s">
        <v>4</v>
      </c>
      <c r="C111" s="2">
        <v>3.1250010285275202E-5</v>
      </c>
      <c r="E111" s="26">
        <v>3.1300000000000002E-5</v>
      </c>
      <c r="F111" s="26">
        <v>3.1300000000000002E-5</v>
      </c>
    </row>
    <row r="112" spans="1:6">
      <c r="A112" s="1">
        <v>111</v>
      </c>
      <c r="B112" s="1" t="s">
        <v>4</v>
      </c>
      <c r="C112" s="2">
        <v>3.1250008088511998E-5</v>
      </c>
      <c r="E112" s="26">
        <v>3.1199999999999999E-5</v>
      </c>
      <c r="F112" s="26">
        <v>3.1300000000000002E-5</v>
      </c>
    </row>
    <row r="113" spans="1:6">
      <c r="A113" s="1">
        <v>112</v>
      </c>
      <c r="B113" s="1" t="s">
        <v>4</v>
      </c>
      <c r="C113" s="2">
        <v>3.1250009242997102E-5</v>
      </c>
      <c r="E113" s="26">
        <v>3.1300000000000002E-5</v>
      </c>
      <c r="F113" s="26">
        <v>3.1300000000000002E-5</v>
      </c>
    </row>
    <row r="114" spans="1:6">
      <c r="A114" s="1">
        <v>113</v>
      </c>
      <c r="B114" s="1" t="s">
        <v>4</v>
      </c>
      <c r="C114" s="2">
        <v>3.1249999954401303E-5</v>
      </c>
      <c r="E114" s="26">
        <v>3.1300000000000002E-5</v>
      </c>
      <c r="F114" s="26">
        <v>3.1300000000000002E-5</v>
      </c>
    </row>
    <row r="115" spans="1:6">
      <c r="A115" s="1">
        <v>114</v>
      </c>
      <c r="B115" s="1" t="s">
        <v>4</v>
      </c>
      <c r="C115" s="2">
        <v>3.12500003581945E-5</v>
      </c>
      <c r="E115" s="26">
        <v>3.1300000000000002E-5</v>
      </c>
      <c r="F115" s="26">
        <v>3.1300000000000002E-5</v>
      </c>
    </row>
    <row r="116" spans="1:6">
      <c r="A116" s="1">
        <v>115</v>
      </c>
      <c r="B116" s="1" t="s">
        <v>4</v>
      </c>
      <c r="C116" s="2">
        <v>3.1250004901258497E-5</v>
      </c>
      <c r="E116" s="26">
        <v>3.1300000000000002E-5</v>
      </c>
      <c r="F116" s="26">
        <v>3.1300000000000002E-5</v>
      </c>
    </row>
    <row r="117" spans="1:6">
      <c r="A117" s="1">
        <v>116</v>
      </c>
      <c r="B117" s="1" t="s">
        <v>4</v>
      </c>
      <c r="C117" s="2">
        <v>3.1250004898214003E-5</v>
      </c>
      <c r="E117" s="26">
        <v>3.1300000000000002E-5</v>
      </c>
      <c r="F117" s="26">
        <v>3.1300000000000002E-5</v>
      </c>
    </row>
    <row r="118" spans="1:6">
      <c r="A118" s="1">
        <v>117</v>
      </c>
      <c r="B118" s="1" t="s">
        <v>4</v>
      </c>
      <c r="C118" s="2">
        <v>3.1250000140277398E-5</v>
      </c>
      <c r="E118" s="26">
        <v>3.1300000000000002E-5</v>
      </c>
      <c r="F118" s="26">
        <v>3.1300000000000002E-5</v>
      </c>
    </row>
    <row r="119" spans="1:6">
      <c r="A119" s="1">
        <v>118</v>
      </c>
      <c r="B119" s="1" t="s">
        <v>4</v>
      </c>
      <c r="C119" s="2">
        <v>3.1250002397999497E-5</v>
      </c>
      <c r="E119" s="26">
        <v>3.1199999999999999E-5</v>
      </c>
      <c r="F119" s="26">
        <v>3.1300000000000002E-5</v>
      </c>
    </row>
    <row r="120" spans="1:6">
      <c r="A120" s="1">
        <v>119</v>
      </c>
      <c r="B120" s="1" t="s">
        <v>4</v>
      </c>
      <c r="C120" s="2">
        <v>3.1250001821009903E-5</v>
      </c>
      <c r="E120" s="26">
        <v>3.1199999999999999E-5</v>
      </c>
      <c r="F120" s="26">
        <v>3.1300000000000002E-5</v>
      </c>
    </row>
    <row r="121" spans="1:6">
      <c r="A121" s="1">
        <v>120</v>
      </c>
      <c r="B121" s="1" t="s">
        <v>4</v>
      </c>
      <c r="C121" s="2">
        <v>3.1249999713853399E-5</v>
      </c>
      <c r="E121" s="26">
        <v>3.1300000000000002E-5</v>
      </c>
      <c r="F121" s="26">
        <v>3.1300000000000002E-5</v>
      </c>
    </row>
    <row r="122" spans="1:6">
      <c r="A122" s="1">
        <v>121</v>
      </c>
      <c r="B122" s="1" t="s">
        <v>4</v>
      </c>
      <c r="C122" s="2">
        <v>3.12499965025448E-5</v>
      </c>
      <c r="E122" s="26">
        <v>3.1300000000000002E-5</v>
      </c>
      <c r="F122" s="26">
        <v>3.1199999999999999E-5</v>
      </c>
    </row>
    <row r="123" spans="1:6">
      <c r="A123" s="1">
        <v>122</v>
      </c>
      <c r="B123" s="1" t="s">
        <v>4</v>
      </c>
      <c r="C123" s="2">
        <v>3.1250004361057299E-5</v>
      </c>
      <c r="E123" s="26">
        <v>3.1300000000000002E-5</v>
      </c>
      <c r="F123" s="26">
        <v>3.1300000000000002E-5</v>
      </c>
    </row>
    <row r="124" spans="1:6">
      <c r="A124" s="1">
        <v>123</v>
      </c>
      <c r="B124" s="1" t="s">
        <v>4</v>
      </c>
      <c r="C124" s="2">
        <v>3.1250004399358299E-5</v>
      </c>
      <c r="E124" s="26">
        <v>3.1300000000000002E-5</v>
      </c>
      <c r="F124" s="26">
        <v>3.1199999999999999E-5</v>
      </c>
    </row>
    <row r="125" spans="1:6">
      <c r="A125" s="1">
        <v>124</v>
      </c>
      <c r="B125" s="1" t="s">
        <v>180</v>
      </c>
      <c r="C125" s="2">
        <v>3.1250006020397601E-5</v>
      </c>
      <c r="E125" s="26">
        <v>3.1300000000000002E-5</v>
      </c>
      <c r="F125" s="26">
        <v>3.1300000000000002E-5</v>
      </c>
    </row>
    <row r="126" spans="1:6">
      <c r="A126" s="1">
        <v>125</v>
      </c>
      <c r="B126" s="1" t="s">
        <v>4</v>
      </c>
      <c r="C126" s="2">
        <v>3.1250014368105E-5</v>
      </c>
      <c r="E126" s="26">
        <v>3.1300000000000002E-5</v>
      </c>
      <c r="F126" s="26">
        <v>3.1300000000000002E-5</v>
      </c>
    </row>
    <row r="127" spans="1:6">
      <c r="A127" s="1">
        <v>126</v>
      </c>
      <c r="B127" s="1" t="s">
        <v>4</v>
      </c>
      <c r="C127" s="2">
        <v>3.1250003112270398E-5</v>
      </c>
      <c r="E127" s="26">
        <v>3.1300000000000002E-5</v>
      </c>
      <c r="F127" s="26">
        <v>3.1300000000000002E-5</v>
      </c>
    </row>
    <row r="128" spans="1:6">
      <c r="A128" s="1">
        <v>127</v>
      </c>
      <c r="B128" s="1" t="s">
        <v>4</v>
      </c>
      <c r="C128" s="2">
        <v>3.1250001179000698E-5</v>
      </c>
      <c r="E128" s="26">
        <v>3.1300000000000002E-5</v>
      </c>
      <c r="F128" s="26">
        <v>3.1199999999999999E-5</v>
      </c>
    </row>
    <row r="129" spans="1:6">
      <c r="A129" s="1">
        <v>128</v>
      </c>
      <c r="B129" s="1" t="s">
        <v>4</v>
      </c>
      <c r="C129" s="2">
        <v>3.1250000313105398E-5</v>
      </c>
      <c r="E129" s="26">
        <v>3.1300000000000002E-5</v>
      </c>
      <c r="F129" s="26">
        <v>3.1300000000000002E-5</v>
      </c>
    </row>
    <row r="130" spans="1:6">
      <c r="A130" s="1">
        <v>129</v>
      </c>
      <c r="B130" s="1" t="s">
        <v>4</v>
      </c>
      <c r="C130" s="2">
        <v>3.1250003528604601E-5</v>
      </c>
      <c r="E130" s="26">
        <v>3.1300000000000002E-5</v>
      </c>
      <c r="F130" s="26">
        <v>3.1199999999999999E-5</v>
      </c>
    </row>
    <row r="131" spans="1:6">
      <c r="A131" s="1">
        <v>130</v>
      </c>
      <c r="B131" s="1" t="s">
        <v>4</v>
      </c>
      <c r="C131" s="2">
        <v>3.1250002504346801E-5</v>
      </c>
      <c r="E131" s="26">
        <v>3.1300000000000002E-5</v>
      </c>
      <c r="F131" s="26">
        <v>3.1300000000000002E-5</v>
      </c>
    </row>
    <row r="132" spans="1:6">
      <c r="A132" s="1">
        <v>131</v>
      </c>
      <c r="B132" s="1" t="s">
        <v>4</v>
      </c>
      <c r="C132" s="2">
        <v>3.1250002269161002E-5</v>
      </c>
      <c r="E132" s="26">
        <v>3.1300000000000002E-5</v>
      </c>
      <c r="F132" s="26">
        <v>3.1199999999999999E-5</v>
      </c>
    </row>
    <row r="133" spans="1:6">
      <c r="A133" s="1">
        <v>132</v>
      </c>
      <c r="B133" s="1" t="s">
        <v>4</v>
      </c>
      <c r="C133" s="2">
        <v>3.12500057618927E-5</v>
      </c>
      <c r="E133" s="26">
        <v>3.1199999999999999E-5</v>
      </c>
      <c r="F133" s="26">
        <v>3.1300000000000002E-5</v>
      </c>
    </row>
    <row r="134" spans="1:6">
      <c r="A134" s="1">
        <v>133</v>
      </c>
      <c r="B134" s="1" t="s">
        <v>4</v>
      </c>
      <c r="C134" s="2">
        <v>3.1250004016032699E-5</v>
      </c>
      <c r="E134" s="26">
        <v>3.1300000000000002E-5</v>
      </c>
    </row>
    <row r="135" spans="1:6">
      <c r="A135" s="1">
        <v>134</v>
      </c>
      <c r="B135" s="1" t="s">
        <v>4</v>
      </c>
      <c r="C135" s="2">
        <v>3.1250003752698002E-5</v>
      </c>
      <c r="E135" s="26">
        <v>3.1300000000000002E-5</v>
      </c>
    </row>
    <row r="136" spans="1:6">
      <c r="A136" s="1">
        <v>135</v>
      </c>
      <c r="B136" s="1" t="s">
        <v>4</v>
      </c>
      <c r="C136" s="2">
        <v>3.1249998021470803E-5</v>
      </c>
      <c r="E136" s="26">
        <v>3.1300000000000002E-5</v>
      </c>
    </row>
    <row r="137" spans="1:6">
      <c r="A137" s="1">
        <v>136</v>
      </c>
      <c r="B137" s="1" t="s">
        <v>180</v>
      </c>
      <c r="C137" s="2">
        <v>3.12500028102538E-5</v>
      </c>
      <c r="E137" s="26">
        <v>3.1300000000000002E-5</v>
      </c>
    </row>
    <row r="138" spans="1:6">
      <c r="A138" s="1">
        <v>137</v>
      </c>
      <c r="B138" s="1" t="s">
        <v>4</v>
      </c>
      <c r="C138" s="2">
        <v>3.1250004502147902E-5</v>
      </c>
      <c r="E138" s="26">
        <v>3.1300000000000002E-5</v>
      </c>
    </row>
    <row r="139" spans="1:6">
      <c r="A139" s="1">
        <v>138</v>
      </c>
      <c r="B139" s="1" t="s">
        <v>4</v>
      </c>
      <c r="C139" s="2">
        <v>3.1250007985647897E-5</v>
      </c>
      <c r="E139" s="26">
        <v>3.1300000000000002E-5</v>
      </c>
    </row>
    <row r="140" spans="1:6">
      <c r="A140" s="1">
        <v>139</v>
      </c>
      <c r="B140" s="1" t="s">
        <v>4</v>
      </c>
      <c r="C140" s="2">
        <v>3.1250011620628397E-5</v>
      </c>
      <c r="E140" s="26">
        <v>3.1300000000000002E-5</v>
      </c>
    </row>
    <row r="141" spans="1:6">
      <c r="A141" s="1">
        <v>140</v>
      </c>
      <c r="B141" s="1" t="s">
        <v>4</v>
      </c>
      <c r="C141" s="2">
        <v>3.12500173858263E-5</v>
      </c>
      <c r="E141" s="26">
        <v>3.1199999999999999E-5</v>
      </c>
    </row>
    <row r="142" spans="1:6">
      <c r="A142" s="1">
        <v>141</v>
      </c>
      <c r="B142" s="1" t="s">
        <v>4</v>
      </c>
      <c r="C142" s="2">
        <v>3.1250004655883901E-5</v>
      </c>
      <c r="E142" s="26">
        <v>3.1300000000000002E-5</v>
      </c>
    </row>
    <row r="143" spans="1:6">
      <c r="A143" s="1">
        <v>142</v>
      </c>
      <c r="B143" s="1" t="s">
        <v>4</v>
      </c>
      <c r="C143" s="2">
        <v>3.1250008623447599E-5</v>
      </c>
      <c r="E143" s="26">
        <v>3.1300000000000002E-5</v>
      </c>
    </row>
    <row r="144" spans="1:6">
      <c r="A144" s="1">
        <v>143</v>
      </c>
      <c r="B144" s="1" t="s">
        <v>4</v>
      </c>
      <c r="C144" s="2">
        <v>3.1250007553089597E-5</v>
      </c>
      <c r="E144" s="26">
        <v>3.1300000000000002E-5</v>
      </c>
    </row>
    <row r="145" spans="1:5">
      <c r="A145" s="1">
        <v>144</v>
      </c>
      <c r="B145" s="1" t="s">
        <v>4</v>
      </c>
      <c r="C145" s="2">
        <v>3.1249997851953998E-5</v>
      </c>
      <c r="E145" s="26">
        <v>3.1300000000000002E-5</v>
      </c>
    </row>
    <row r="146" spans="1:5">
      <c r="A146" s="1">
        <v>145</v>
      </c>
      <c r="B146" s="1" t="s">
        <v>4</v>
      </c>
      <c r="C146" s="2">
        <v>3.1250005922778802E-5</v>
      </c>
      <c r="E146" s="26">
        <v>3.1300000000000002E-5</v>
      </c>
    </row>
    <row r="147" spans="1:5">
      <c r="A147" s="1">
        <v>146</v>
      </c>
      <c r="B147" s="1" t="s">
        <v>180</v>
      </c>
      <c r="C147" s="2">
        <v>3.1250000919883399E-5</v>
      </c>
      <c r="E147" s="26">
        <v>3.1300000000000002E-5</v>
      </c>
    </row>
    <row r="148" spans="1:5">
      <c r="A148" s="1">
        <v>147</v>
      </c>
      <c r="B148" s="1" t="s">
        <v>4</v>
      </c>
      <c r="C148" s="2">
        <v>3.1250011111973897E-5</v>
      </c>
      <c r="E148" s="26">
        <v>3.1300000000000002E-5</v>
      </c>
    </row>
    <row r="149" spans="1:5">
      <c r="A149" s="1">
        <v>148</v>
      </c>
      <c r="B149" s="1" t="s">
        <v>4</v>
      </c>
      <c r="C149" s="2">
        <v>3.12500143156823E-5</v>
      </c>
      <c r="E149" s="26">
        <v>3.1199999999999999E-5</v>
      </c>
    </row>
    <row r="150" spans="1:5">
      <c r="A150" s="1">
        <v>149</v>
      </c>
      <c r="B150" s="1" t="s">
        <v>4</v>
      </c>
      <c r="C150" s="2">
        <v>3.12500036219259E-5</v>
      </c>
      <c r="E150" s="26">
        <v>3.1300000000000002E-5</v>
      </c>
    </row>
    <row r="151" spans="1:5">
      <c r="A151" s="1">
        <v>150</v>
      </c>
      <c r="B151" s="1" t="s">
        <v>4</v>
      </c>
      <c r="C151" s="2">
        <v>3.1250009195133201E-5</v>
      </c>
      <c r="E151" s="26">
        <v>3.1199999999999999E-5</v>
      </c>
    </row>
    <row r="152" spans="1:5">
      <c r="A152" s="1">
        <v>151</v>
      </c>
      <c r="B152" s="1" t="s">
        <v>4</v>
      </c>
      <c r="C152" s="2">
        <v>3.1250000638242003E-5</v>
      </c>
      <c r="E152" s="26">
        <v>3.1300000000000002E-5</v>
      </c>
    </row>
    <row r="153" spans="1:5">
      <c r="A153" s="1">
        <v>152</v>
      </c>
      <c r="B153" s="1" t="s">
        <v>4</v>
      </c>
      <c r="C153" s="2">
        <v>3.1250002304514097E-5</v>
      </c>
      <c r="E153" s="26">
        <v>3.1300000000000002E-5</v>
      </c>
    </row>
    <row r="154" spans="1:5">
      <c r="A154" s="1">
        <v>153</v>
      </c>
      <c r="B154" s="1" t="s">
        <v>4</v>
      </c>
      <c r="C154" s="2">
        <v>3.12499986766742E-5</v>
      </c>
      <c r="E154" s="26">
        <v>3.1199999999999999E-5</v>
      </c>
    </row>
    <row r="155" spans="1:5">
      <c r="A155" s="1">
        <v>154</v>
      </c>
      <c r="B155" s="1" t="s">
        <v>4</v>
      </c>
      <c r="C155" s="2">
        <v>3.1250016374075097E-5</v>
      </c>
      <c r="E155" s="26">
        <v>3.1300000000000002E-5</v>
      </c>
    </row>
    <row r="156" spans="1:5">
      <c r="A156" s="1">
        <v>155</v>
      </c>
      <c r="B156" s="1" t="s">
        <v>4</v>
      </c>
      <c r="C156" s="2">
        <v>3.1249997179896502E-5</v>
      </c>
      <c r="E156" s="26">
        <v>3.1300000000000002E-5</v>
      </c>
    </row>
    <row r="157" spans="1:5">
      <c r="A157" s="1">
        <v>156</v>
      </c>
      <c r="B157" s="1" t="s">
        <v>4</v>
      </c>
      <c r="C157" s="2">
        <v>3.1250010380858398E-5</v>
      </c>
      <c r="E157" s="26">
        <v>3.1300000000000002E-5</v>
      </c>
    </row>
    <row r="158" spans="1:5">
      <c r="A158" s="1">
        <v>157</v>
      </c>
      <c r="B158" s="1" t="s">
        <v>4</v>
      </c>
      <c r="C158" s="2">
        <v>3.1250013860921702E-5</v>
      </c>
      <c r="E158" s="26">
        <v>3.1300000000000002E-5</v>
      </c>
    </row>
    <row r="159" spans="1:5">
      <c r="A159" s="1">
        <v>158</v>
      </c>
      <c r="B159" s="1" t="s">
        <v>4</v>
      </c>
      <c r="C159" s="2">
        <v>3.1249989011038598E-5</v>
      </c>
      <c r="E159" s="26">
        <v>3.1300000000000002E-5</v>
      </c>
    </row>
    <row r="160" spans="1:5">
      <c r="A160" s="1">
        <v>159</v>
      </c>
      <c r="B160" s="1" t="s">
        <v>4</v>
      </c>
      <c r="C160" s="2">
        <v>3.1250003339632303E-5</v>
      </c>
      <c r="E160" s="26">
        <v>3.1300000000000002E-5</v>
      </c>
    </row>
    <row r="161" spans="1:5">
      <c r="A161" s="1">
        <v>160</v>
      </c>
      <c r="B161" s="1" t="s">
        <v>4</v>
      </c>
      <c r="C161" s="2">
        <v>3.1250002232672699E-5</v>
      </c>
      <c r="E161" s="26">
        <v>3.1300000000000002E-5</v>
      </c>
    </row>
    <row r="162" spans="1:5">
      <c r="A162" s="1">
        <v>161</v>
      </c>
      <c r="B162" s="1" t="s">
        <v>4</v>
      </c>
      <c r="C162" s="2">
        <v>3.1250003899261801E-5</v>
      </c>
      <c r="E162" s="26">
        <v>3.1300000000000002E-5</v>
      </c>
    </row>
    <row r="163" spans="1:5">
      <c r="A163" s="1">
        <v>162</v>
      </c>
      <c r="B163" s="1" t="s">
        <v>4</v>
      </c>
      <c r="C163" s="2">
        <v>3.1250007083705998E-5</v>
      </c>
      <c r="E163" s="26">
        <v>3.1300000000000002E-5</v>
      </c>
    </row>
    <row r="164" spans="1:5">
      <c r="A164" s="1">
        <v>163</v>
      </c>
      <c r="B164" s="1" t="s">
        <v>4</v>
      </c>
      <c r="C164" s="2">
        <v>3.12500076396668E-5</v>
      </c>
      <c r="E164" s="26">
        <v>3.1199999999999999E-5</v>
      </c>
    </row>
    <row r="165" spans="1:5">
      <c r="A165" s="1">
        <v>164</v>
      </c>
      <c r="B165" s="1" t="s">
        <v>4</v>
      </c>
      <c r="C165" s="2">
        <v>3.1250006872783302E-5</v>
      </c>
      <c r="E165" s="26">
        <v>3.1300000000000002E-5</v>
      </c>
    </row>
    <row r="166" spans="1:5">
      <c r="A166" s="1">
        <v>165</v>
      </c>
      <c r="B166" s="1" t="s">
        <v>4</v>
      </c>
      <c r="C166" s="2">
        <v>3.1250000378008701E-5</v>
      </c>
      <c r="E166" s="26">
        <v>3.1300000000000002E-5</v>
      </c>
    </row>
    <row r="167" spans="1:5">
      <c r="A167" s="1">
        <v>166</v>
      </c>
      <c r="B167" s="1" t="s">
        <v>4</v>
      </c>
      <c r="C167" s="2">
        <v>3.12500127655716E-5</v>
      </c>
      <c r="E167" s="26">
        <v>3.1300000000000002E-5</v>
      </c>
    </row>
    <row r="168" spans="1:5">
      <c r="A168" s="1">
        <v>167</v>
      </c>
      <c r="B168" s="1" t="s">
        <v>4</v>
      </c>
      <c r="C168" s="2">
        <v>3.1250001931619097E-5</v>
      </c>
      <c r="E168" s="26">
        <v>3.1300000000000002E-5</v>
      </c>
    </row>
    <row r="169" spans="1:5">
      <c r="A169" s="1">
        <v>168</v>
      </c>
      <c r="B169" s="1" t="s">
        <v>4</v>
      </c>
      <c r="C169" s="2">
        <v>3.1249998609260799E-5</v>
      </c>
      <c r="E169" s="26">
        <v>3.1300000000000002E-5</v>
      </c>
    </row>
    <row r="170" spans="1:5">
      <c r="A170" s="1">
        <v>169</v>
      </c>
      <c r="B170" s="1" t="s">
        <v>4</v>
      </c>
      <c r="C170" s="2">
        <v>3.1250009882896802E-5</v>
      </c>
      <c r="E170" s="26">
        <v>3.1300000000000002E-5</v>
      </c>
    </row>
    <row r="171" spans="1:5">
      <c r="A171" s="1">
        <v>170</v>
      </c>
      <c r="B171" s="1" t="s">
        <v>4</v>
      </c>
      <c r="C171" s="2">
        <v>3.1250015566604497E-5</v>
      </c>
      <c r="E171" s="26">
        <v>3.1300000000000002E-5</v>
      </c>
    </row>
    <row r="172" spans="1:5">
      <c r="A172" s="1">
        <v>171</v>
      </c>
      <c r="B172" s="1" t="s">
        <v>4</v>
      </c>
      <c r="C172" s="2">
        <v>3.1250006106721398E-5</v>
      </c>
      <c r="E172" s="26">
        <v>3.1300000000000002E-5</v>
      </c>
    </row>
    <row r="173" spans="1:5">
      <c r="A173" s="1">
        <v>172</v>
      </c>
      <c r="B173" s="1" t="s">
        <v>4</v>
      </c>
      <c r="C173" s="2">
        <v>3.1250002161553198E-5</v>
      </c>
      <c r="E173" s="26">
        <v>3.1300000000000002E-5</v>
      </c>
    </row>
    <row r="174" spans="1:5">
      <c r="A174" s="1">
        <v>173</v>
      </c>
      <c r="B174" s="1" t="s">
        <v>4</v>
      </c>
      <c r="C174" s="2">
        <v>3.1250006847619599E-5</v>
      </c>
      <c r="E174" s="26">
        <v>3.1300000000000002E-5</v>
      </c>
    </row>
    <row r="175" spans="1:5">
      <c r="A175" s="1">
        <v>174</v>
      </c>
      <c r="B175" s="1" t="s">
        <v>4</v>
      </c>
      <c r="C175" s="2">
        <v>3.1250001833676102E-5</v>
      </c>
      <c r="E175" s="26">
        <v>3.1300000000000002E-5</v>
      </c>
    </row>
    <row r="176" spans="1:5">
      <c r="A176" s="1">
        <v>175</v>
      </c>
      <c r="B176" s="1" t="s">
        <v>4</v>
      </c>
      <c r="C176" s="2">
        <v>3.1250004587219501E-5</v>
      </c>
      <c r="E176" s="26">
        <v>3.1300000000000002E-5</v>
      </c>
    </row>
    <row r="177" spans="1:5">
      <c r="A177" s="1">
        <v>176</v>
      </c>
      <c r="B177" s="1" t="s">
        <v>4</v>
      </c>
      <c r="C177" s="2">
        <v>3.1250008946127599E-5</v>
      </c>
      <c r="E177" s="26">
        <v>3.1300000000000002E-5</v>
      </c>
    </row>
    <row r="178" spans="1:5">
      <c r="A178" s="1">
        <v>177</v>
      </c>
      <c r="B178" s="1" t="s">
        <v>4</v>
      </c>
      <c r="C178" s="2">
        <v>3.1250000372671797E-5</v>
      </c>
      <c r="E178" s="26">
        <v>3.1300000000000002E-5</v>
      </c>
    </row>
    <row r="179" spans="1:5">
      <c r="A179" s="1">
        <v>178</v>
      </c>
      <c r="B179" s="1" t="s">
        <v>4</v>
      </c>
      <c r="C179" s="2">
        <v>3.1250004347277801E-5</v>
      </c>
      <c r="E179" s="26">
        <v>3.1300000000000002E-5</v>
      </c>
    </row>
    <row r="180" spans="1:5">
      <c r="A180" s="1">
        <v>179</v>
      </c>
      <c r="B180" s="1" t="s">
        <v>4</v>
      </c>
      <c r="C180" s="2">
        <v>3.1250016658710097E-5</v>
      </c>
      <c r="E180" s="26">
        <v>3.1300000000000002E-5</v>
      </c>
    </row>
    <row r="181" spans="1:5">
      <c r="A181" s="1">
        <v>180</v>
      </c>
      <c r="B181" s="1" t="s">
        <v>4</v>
      </c>
      <c r="C181" s="2">
        <v>3.1250011334636199E-5</v>
      </c>
      <c r="E181" s="26">
        <v>3.1300000000000002E-5</v>
      </c>
    </row>
    <row r="182" spans="1:5">
      <c r="A182" s="1">
        <v>181</v>
      </c>
      <c r="B182" s="1" t="s">
        <v>4</v>
      </c>
      <c r="C182" s="2">
        <v>3.1250019826090098E-5</v>
      </c>
      <c r="E182" s="26">
        <v>3.1300000000000002E-5</v>
      </c>
    </row>
    <row r="183" spans="1:5">
      <c r="A183" s="1">
        <v>182</v>
      </c>
      <c r="B183" s="1" t="s">
        <v>4</v>
      </c>
      <c r="C183" s="2">
        <v>3.12500019893057E-5</v>
      </c>
      <c r="E183" s="26">
        <v>3.1199999999999999E-5</v>
      </c>
    </row>
    <row r="184" spans="1:5">
      <c r="A184" s="1">
        <v>183</v>
      </c>
      <c r="B184" s="1" t="s">
        <v>4</v>
      </c>
      <c r="C184" s="2">
        <v>3.1250017464519103E-5</v>
      </c>
      <c r="E184" s="26">
        <v>3.1199999999999999E-5</v>
      </c>
    </row>
    <row r="185" spans="1:5">
      <c r="A185" s="1">
        <v>184</v>
      </c>
      <c r="B185" s="1" t="s">
        <v>4</v>
      </c>
      <c r="C185" s="2">
        <v>3.1250014023605797E-5</v>
      </c>
      <c r="E185" s="26">
        <v>3.1199999999999999E-5</v>
      </c>
    </row>
    <row r="186" spans="1:5">
      <c r="A186" s="1">
        <v>185</v>
      </c>
      <c r="B186" s="1" t="s">
        <v>4</v>
      </c>
      <c r="C186" s="2">
        <v>3.1250005768343798E-5</v>
      </c>
      <c r="E186" s="26">
        <v>3.1199999999999999E-5</v>
      </c>
    </row>
    <row r="187" spans="1:5">
      <c r="A187" s="1">
        <v>186</v>
      </c>
      <c r="B187" s="1" t="s">
        <v>4</v>
      </c>
      <c r="C187" s="2">
        <v>3.1250001608021801E-5</v>
      </c>
      <c r="E187" s="26">
        <v>3.1300000000000002E-5</v>
      </c>
    </row>
    <row r="188" spans="1:5">
      <c r="A188" s="1">
        <v>187</v>
      </c>
      <c r="B188" s="1" t="s">
        <v>4</v>
      </c>
      <c r="C188" s="2">
        <v>3.1249998892247202E-5</v>
      </c>
      <c r="E188" s="26">
        <v>3.1300000000000002E-5</v>
      </c>
    </row>
    <row r="189" spans="1:5">
      <c r="A189" s="1">
        <v>188</v>
      </c>
      <c r="B189" s="1" t="s">
        <v>4</v>
      </c>
      <c r="C189" s="2">
        <v>3.1249993092969599E-5</v>
      </c>
      <c r="E189" s="26">
        <v>3.1199999999999999E-5</v>
      </c>
    </row>
    <row r="190" spans="1:5">
      <c r="A190" s="1">
        <v>189</v>
      </c>
      <c r="B190" s="1" t="s">
        <v>4</v>
      </c>
      <c r="C190" s="2">
        <v>3.1249998501312698E-5</v>
      </c>
      <c r="E190" s="26">
        <v>3.1300000000000002E-5</v>
      </c>
    </row>
    <row r="191" spans="1:5">
      <c r="A191" s="1">
        <v>190</v>
      </c>
      <c r="B191" s="1" t="s">
        <v>180</v>
      </c>
      <c r="C191" s="2">
        <v>3.1249998845141301E-5</v>
      </c>
      <c r="E191" s="26">
        <v>3.1300000000000002E-5</v>
      </c>
    </row>
    <row r="192" spans="1:5">
      <c r="A192" s="1">
        <v>191</v>
      </c>
      <c r="B192" s="1" t="s">
        <v>4</v>
      </c>
      <c r="C192" s="2">
        <v>3.1249996962010802E-5</v>
      </c>
      <c r="E192" s="26">
        <v>3.1300000000000002E-5</v>
      </c>
    </row>
    <row r="193" spans="1:5">
      <c r="A193" s="1">
        <v>192</v>
      </c>
      <c r="B193" s="1" t="s">
        <v>4</v>
      </c>
      <c r="C193" s="2">
        <v>3.1250009037480197E-5</v>
      </c>
      <c r="E193" s="26">
        <v>3.1300000000000002E-5</v>
      </c>
    </row>
    <row r="194" spans="1:5">
      <c r="A194" s="1">
        <v>193</v>
      </c>
      <c r="B194" s="1" t="s">
        <v>180</v>
      </c>
      <c r="C194" s="2">
        <v>3.1250003628599097E-5</v>
      </c>
      <c r="E194" s="26">
        <v>3.1300000000000002E-5</v>
      </c>
    </row>
    <row r="195" spans="1:5">
      <c r="A195" s="1">
        <v>194</v>
      </c>
      <c r="B195" s="1" t="s">
        <v>4</v>
      </c>
      <c r="C195" s="2">
        <v>3.1250003524073801E-5</v>
      </c>
      <c r="E195" s="26">
        <v>3.1300000000000002E-5</v>
      </c>
    </row>
    <row r="196" spans="1:5">
      <c r="A196" s="1">
        <v>195</v>
      </c>
      <c r="B196" s="1" t="s">
        <v>4</v>
      </c>
      <c r="C196" s="2">
        <v>3.12499907817201E-5</v>
      </c>
      <c r="E196" s="26">
        <v>3.1199999999999999E-5</v>
      </c>
    </row>
    <row r="197" spans="1:5">
      <c r="A197" s="1">
        <v>196</v>
      </c>
      <c r="B197" s="1" t="s">
        <v>4</v>
      </c>
      <c r="C197" s="2">
        <v>3.1250001978853198E-5</v>
      </c>
      <c r="E197" s="26">
        <v>3.1300000000000002E-5</v>
      </c>
    </row>
    <row r="198" spans="1:5">
      <c r="A198" s="1">
        <v>197</v>
      </c>
      <c r="B198" s="1" t="s">
        <v>4</v>
      </c>
      <c r="C198" s="2">
        <v>3.1250007546653299E-5</v>
      </c>
      <c r="E198" s="26">
        <v>3.1300000000000002E-5</v>
      </c>
    </row>
    <row r="199" spans="1:5">
      <c r="A199" s="1">
        <v>198</v>
      </c>
      <c r="B199" s="1" t="s">
        <v>4</v>
      </c>
      <c r="C199" s="2">
        <v>3.1250003696327397E-5</v>
      </c>
      <c r="E199" s="26">
        <v>3.1199999999999999E-5</v>
      </c>
    </row>
    <row r="200" spans="1:5">
      <c r="A200" s="1">
        <v>199</v>
      </c>
      <c r="B200" s="1" t="s">
        <v>180</v>
      </c>
      <c r="C200" s="2">
        <v>3.12500037205851E-5</v>
      </c>
      <c r="E200" s="26">
        <v>3.1300000000000002E-5</v>
      </c>
    </row>
    <row r="201" spans="1:5">
      <c r="A201" s="1">
        <v>200</v>
      </c>
      <c r="B201" s="1" t="s">
        <v>4</v>
      </c>
      <c r="C201" s="2">
        <v>3.1250002073638001E-5</v>
      </c>
      <c r="E201" s="26">
        <v>3.1199999999999999E-5</v>
      </c>
    </row>
    <row r="202" spans="1:5">
      <c r="A202" s="1">
        <v>201</v>
      </c>
      <c r="B202" s="1" t="s">
        <v>4</v>
      </c>
      <c r="C202" s="2">
        <v>3.1250004174466098E-5</v>
      </c>
      <c r="E202" s="26">
        <v>3.1300000000000002E-5</v>
      </c>
    </row>
    <row r="203" spans="1:5">
      <c r="A203" s="1">
        <v>202</v>
      </c>
      <c r="B203" s="1" t="s">
        <v>4</v>
      </c>
      <c r="C203" s="2">
        <v>3.1250001340409602E-5</v>
      </c>
      <c r="E203" s="26">
        <v>3.1300000000000002E-5</v>
      </c>
    </row>
    <row r="204" spans="1:5">
      <c r="A204" s="1">
        <v>203</v>
      </c>
      <c r="B204" s="1" t="s">
        <v>4</v>
      </c>
      <c r="C204" s="2">
        <v>3.1249998917550197E-5</v>
      </c>
      <c r="E204" s="26">
        <v>3.1199999999999999E-5</v>
      </c>
    </row>
    <row r="205" spans="1:5">
      <c r="A205" s="1">
        <v>204</v>
      </c>
      <c r="B205" s="1" t="s">
        <v>4</v>
      </c>
      <c r="C205" s="2">
        <v>3.1250011143084401E-5</v>
      </c>
      <c r="E205" s="26">
        <v>3.1300000000000002E-5</v>
      </c>
    </row>
    <row r="206" spans="1:5">
      <c r="A206" s="1">
        <v>205</v>
      </c>
      <c r="B206" s="1" t="s">
        <v>4</v>
      </c>
      <c r="C206" s="2">
        <v>3.1250025910311E-5</v>
      </c>
      <c r="E206" s="26">
        <v>3.1300000000000002E-5</v>
      </c>
    </row>
    <row r="207" spans="1:5">
      <c r="A207" s="1">
        <v>206</v>
      </c>
      <c r="B207" s="1" t="s">
        <v>4</v>
      </c>
      <c r="C207" s="2">
        <v>3.1249998092174703E-5</v>
      </c>
      <c r="E207" s="26">
        <v>3.1300000000000002E-5</v>
      </c>
    </row>
    <row r="208" spans="1:5">
      <c r="A208" s="1">
        <v>207</v>
      </c>
      <c r="B208" s="1" t="s">
        <v>4</v>
      </c>
      <c r="C208" s="2">
        <v>3.1250003152857303E-5</v>
      </c>
      <c r="E208" s="26">
        <v>3.1300000000000002E-5</v>
      </c>
    </row>
    <row r="209" spans="1:5">
      <c r="A209" s="1">
        <v>208</v>
      </c>
      <c r="B209" s="1" t="s">
        <v>4</v>
      </c>
      <c r="C209" s="2">
        <v>3.1249999718978701E-5</v>
      </c>
      <c r="E209" s="26">
        <v>3.1300000000000002E-5</v>
      </c>
    </row>
    <row r="210" spans="1:5">
      <c r="A210" s="1">
        <v>209</v>
      </c>
      <c r="B210" s="1" t="s">
        <v>4</v>
      </c>
      <c r="C210" s="2">
        <v>3.1250008595080398E-5</v>
      </c>
      <c r="E210" s="26">
        <v>3.1199999999999999E-5</v>
      </c>
    </row>
    <row r="211" spans="1:5">
      <c r="A211" s="1">
        <v>210</v>
      </c>
      <c r="B211" s="1" t="s">
        <v>4</v>
      </c>
      <c r="C211" s="2">
        <v>3.1250007067752898E-5</v>
      </c>
      <c r="E211" s="26">
        <v>3.1199999999999999E-5</v>
      </c>
    </row>
    <row r="212" spans="1:5">
      <c r="A212" s="1">
        <v>211</v>
      </c>
      <c r="B212" s="1" t="s">
        <v>4</v>
      </c>
      <c r="C212" s="2">
        <v>3.12499969858441E-5</v>
      </c>
      <c r="E212" s="26">
        <v>3.1300000000000002E-5</v>
      </c>
    </row>
    <row r="213" spans="1:5">
      <c r="A213" s="1">
        <v>212</v>
      </c>
      <c r="B213" s="1" t="s">
        <v>4</v>
      </c>
      <c r="C213" s="2">
        <v>3.12500127170305E-5</v>
      </c>
      <c r="E213" s="26">
        <v>3.1300000000000002E-5</v>
      </c>
    </row>
    <row r="214" spans="1:5">
      <c r="A214" s="1">
        <v>213</v>
      </c>
      <c r="B214" s="1" t="s">
        <v>4</v>
      </c>
      <c r="C214" s="2">
        <v>3.12500024519129E-5</v>
      </c>
      <c r="E214" s="26">
        <v>3.1300000000000002E-5</v>
      </c>
    </row>
    <row r="215" spans="1:5">
      <c r="A215" s="1">
        <v>214</v>
      </c>
      <c r="B215" s="1" t="s">
        <v>4</v>
      </c>
      <c r="C215" s="2">
        <v>3.12500059987438E-5</v>
      </c>
      <c r="E215" s="26">
        <v>3.1300000000000002E-5</v>
      </c>
    </row>
    <row r="216" spans="1:5">
      <c r="A216" s="1">
        <v>215</v>
      </c>
      <c r="B216" s="1" t="s">
        <v>4</v>
      </c>
      <c r="C216" s="2">
        <v>3.1250011292460803E-5</v>
      </c>
      <c r="E216" s="26">
        <v>3.1199999999999999E-5</v>
      </c>
    </row>
    <row r="217" spans="1:5">
      <c r="A217" s="1">
        <v>216</v>
      </c>
      <c r="B217" s="1" t="s">
        <v>4</v>
      </c>
      <c r="C217" s="2">
        <v>3.12500053410823E-5</v>
      </c>
      <c r="E217" s="26">
        <v>3.1300000000000002E-5</v>
      </c>
    </row>
    <row r="218" spans="1:5">
      <c r="A218" s="1">
        <v>217</v>
      </c>
      <c r="B218" s="1" t="s">
        <v>4</v>
      </c>
      <c r="C218" s="2">
        <v>3.1249992379816403E-5</v>
      </c>
      <c r="E218" s="26">
        <v>3.1300000000000002E-5</v>
      </c>
    </row>
    <row r="219" spans="1:5">
      <c r="A219" s="1">
        <v>218</v>
      </c>
      <c r="B219" s="1" t="s">
        <v>4</v>
      </c>
      <c r="C219" s="2">
        <v>3.1249991600287597E-5</v>
      </c>
      <c r="E219" s="26">
        <v>3.1300000000000002E-5</v>
      </c>
    </row>
    <row r="220" spans="1:5">
      <c r="A220" s="1">
        <v>219</v>
      </c>
      <c r="B220" s="1" t="s">
        <v>180</v>
      </c>
      <c r="C220" s="2">
        <v>3.12499978442865E-5</v>
      </c>
      <c r="E220" s="26">
        <v>3.1300000000000002E-5</v>
      </c>
    </row>
    <row r="221" spans="1:5">
      <c r="A221" s="1">
        <v>220</v>
      </c>
      <c r="B221" s="1" t="s">
        <v>4</v>
      </c>
      <c r="C221" s="2">
        <v>3.1250007981084598E-5</v>
      </c>
      <c r="E221" s="26">
        <v>3.1300000000000002E-5</v>
      </c>
    </row>
    <row r="222" spans="1:5">
      <c r="A222" s="1">
        <v>221</v>
      </c>
      <c r="B222" s="1" t="s">
        <v>4</v>
      </c>
      <c r="C222" s="2">
        <v>3.12500033024626E-5</v>
      </c>
      <c r="E222" s="26">
        <v>3.1300000000000002E-5</v>
      </c>
    </row>
    <row r="223" spans="1:5">
      <c r="A223" s="1">
        <v>222</v>
      </c>
      <c r="B223" s="1" t="s">
        <v>4</v>
      </c>
      <c r="C223" s="2">
        <v>3.12500081487109E-5</v>
      </c>
      <c r="E223" s="26">
        <v>3.1300000000000002E-5</v>
      </c>
    </row>
    <row r="224" spans="1:5">
      <c r="A224" s="1">
        <v>223</v>
      </c>
      <c r="B224" s="1" t="s">
        <v>4</v>
      </c>
      <c r="C224" s="2">
        <v>3.1250002979218903E-5</v>
      </c>
      <c r="E224" s="26">
        <v>3.1300000000000002E-5</v>
      </c>
    </row>
    <row r="225" spans="1:5">
      <c r="A225" s="1">
        <v>224</v>
      </c>
      <c r="B225" s="1" t="s">
        <v>4</v>
      </c>
      <c r="C225" s="2">
        <v>3.12499936587125E-5</v>
      </c>
      <c r="E225" s="26">
        <v>3.1300000000000002E-5</v>
      </c>
    </row>
    <row r="226" spans="1:5">
      <c r="A226" s="1">
        <v>225</v>
      </c>
      <c r="B226" s="1" t="s">
        <v>4</v>
      </c>
      <c r="C226" s="2">
        <v>3.1250013596701301E-5</v>
      </c>
      <c r="E226" s="26">
        <v>3.1199999999999999E-5</v>
      </c>
    </row>
    <row r="227" spans="1:5">
      <c r="A227" s="1">
        <v>226</v>
      </c>
      <c r="B227" s="1" t="s">
        <v>4</v>
      </c>
      <c r="C227" s="2">
        <v>3.1250017411069799E-5</v>
      </c>
      <c r="E227" s="26">
        <v>3.1300000000000002E-5</v>
      </c>
    </row>
    <row r="228" spans="1:5">
      <c r="A228" s="1">
        <v>227</v>
      </c>
      <c r="B228" s="1" t="s">
        <v>4</v>
      </c>
      <c r="C228" s="2">
        <v>3.12500035634831E-5</v>
      </c>
      <c r="E228" s="26">
        <v>3.1199999999999999E-5</v>
      </c>
    </row>
    <row r="229" spans="1:5">
      <c r="A229" s="1">
        <v>228</v>
      </c>
      <c r="B229" s="1" t="s">
        <v>4</v>
      </c>
      <c r="C229" s="2">
        <v>3.1250004385207103E-5</v>
      </c>
      <c r="E229" s="26">
        <v>3.1199999999999999E-5</v>
      </c>
    </row>
    <row r="230" spans="1:5">
      <c r="A230" s="1">
        <v>229</v>
      </c>
      <c r="B230" s="1" t="s">
        <v>4</v>
      </c>
      <c r="C230" s="2">
        <v>3.1250000619642298E-5</v>
      </c>
      <c r="E230" s="26">
        <v>3.1300000000000002E-5</v>
      </c>
    </row>
    <row r="231" spans="1:5">
      <c r="A231" s="1">
        <v>230</v>
      </c>
      <c r="B231" s="1" t="s">
        <v>4</v>
      </c>
      <c r="C231" s="2">
        <v>3.1250004655691903E-5</v>
      </c>
      <c r="E231" s="26">
        <v>3.1300000000000002E-5</v>
      </c>
    </row>
    <row r="232" spans="1:5">
      <c r="A232" s="1">
        <v>231</v>
      </c>
      <c r="B232" s="1" t="s">
        <v>4</v>
      </c>
      <c r="C232" s="2">
        <v>3.1250012299775701E-5</v>
      </c>
      <c r="E232" s="26">
        <v>3.1199999999999999E-5</v>
      </c>
    </row>
    <row r="233" spans="1:5">
      <c r="A233" s="1">
        <v>232</v>
      </c>
      <c r="B233" s="1" t="s">
        <v>4</v>
      </c>
      <c r="C233" s="2">
        <v>3.1250002170728902E-5</v>
      </c>
      <c r="E233" s="26">
        <v>3.1300000000000002E-5</v>
      </c>
    </row>
    <row r="234" spans="1:5">
      <c r="A234" s="1">
        <v>233</v>
      </c>
      <c r="B234" s="1" t="s">
        <v>4</v>
      </c>
      <c r="C234" s="2">
        <v>3.1250008584935999E-5</v>
      </c>
      <c r="E234" s="26">
        <v>3.1300000000000002E-5</v>
      </c>
    </row>
    <row r="235" spans="1:5">
      <c r="A235" s="1">
        <v>234</v>
      </c>
      <c r="B235" s="1" t="s">
        <v>4</v>
      </c>
      <c r="C235" s="2">
        <v>3.1249999763669101E-5</v>
      </c>
      <c r="E235" s="26">
        <v>3.1199999999999999E-5</v>
      </c>
    </row>
    <row r="236" spans="1:5">
      <c r="A236" s="1">
        <v>235</v>
      </c>
      <c r="B236" s="1" t="s">
        <v>4</v>
      </c>
      <c r="C236" s="2">
        <v>3.1250003921457398E-5</v>
      </c>
      <c r="E236" s="26">
        <v>3.1300000000000002E-5</v>
      </c>
    </row>
    <row r="237" spans="1:5">
      <c r="A237" s="1">
        <v>236</v>
      </c>
      <c r="B237" s="1" t="s">
        <v>180</v>
      </c>
      <c r="C237" s="2">
        <v>3.1249998760344399E-5</v>
      </c>
      <c r="E237" s="26">
        <v>3.1300000000000002E-5</v>
      </c>
    </row>
    <row r="238" spans="1:5">
      <c r="A238" s="1">
        <v>237</v>
      </c>
      <c r="B238" s="1" t="s">
        <v>4</v>
      </c>
      <c r="C238" s="2">
        <v>3.1249992187776903E-5</v>
      </c>
      <c r="E238" s="26">
        <v>3.1199999999999999E-5</v>
      </c>
    </row>
    <row r="239" spans="1:5">
      <c r="A239" s="1">
        <v>238</v>
      </c>
      <c r="B239" s="1" t="s">
        <v>4</v>
      </c>
      <c r="C239" s="2">
        <v>3.1249990985372299E-5</v>
      </c>
      <c r="E239" s="26">
        <v>3.1300000000000002E-5</v>
      </c>
    </row>
    <row r="240" spans="1:5">
      <c r="A240" s="1">
        <v>239</v>
      </c>
      <c r="B240" s="1" t="s">
        <v>4</v>
      </c>
      <c r="C240" s="2">
        <v>3.1250010574711998E-5</v>
      </c>
      <c r="E240" s="26">
        <v>3.1300000000000002E-5</v>
      </c>
    </row>
    <row r="241" spans="1:5">
      <c r="A241" s="1">
        <v>240</v>
      </c>
      <c r="B241" s="1" t="s">
        <v>180</v>
      </c>
      <c r="C241" s="2">
        <v>3.1250003171793903E-5</v>
      </c>
      <c r="E241" s="26">
        <v>3.1300000000000002E-5</v>
      </c>
    </row>
    <row r="242" spans="1:5">
      <c r="A242" s="1">
        <v>241</v>
      </c>
      <c r="B242" s="1" t="s">
        <v>4</v>
      </c>
      <c r="C242" s="2">
        <v>3.1250019102797802E-5</v>
      </c>
      <c r="E242" s="26">
        <v>3.1300000000000002E-5</v>
      </c>
    </row>
    <row r="243" spans="1:5">
      <c r="A243" s="1">
        <v>242</v>
      </c>
      <c r="B243" s="1" t="s">
        <v>4</v>
      </c>
      <c r="C243" s="2">
        <v>3.1249993077848198E-5</v>
      </c>
      <c r="E243" s="26">
        <v>3.1300000000000002E-5</v>
      </c>
    </row>
    <row r="244" spans="1:5">
      <c r="A244" s="1">
        <v>243</v>
      </c>
      <c r="B244" s="1" t="s">
        <v>4</v>
      </c>
      <c r="C244" s="2">
        <v>3.1250004000945402E-5</v>
      </c>
      <c r="E244" s="26">
        <v>3.1300000000000002E-5</v>
      </c>
    </row>
    <row r="245" spans="1:5">
      <c r="A245" s="1">
        <v>244</v>
      </c>
      <c r="B245" s="1" t="s">
        <v>4</v>
      </c>
      <c r="C245" s="2">
        <v>3.1250013206906401E-5</v>
      </c>
      <c r="E245" s="26">
        <v>3.1300000000000002E-5</v>
      </c>
    </row>
    <row r="246" spans="1:5">
      <c r="A246" s="1">
        <v>245</v>
      </c>
      <c r="B246" s="1" t="s">
        <v>4</v>
      </c>
      <c r="C246" s="2">
        <v>3.1249997512942999E-5</v>
      </c>
      <c r="E246" s="26">
        <v>3.1300000000000002E-5</v>
      </c>
    </row>
    <row r="247" spans="1:5">
      <c r="A247" s="1">
        <v>246</v>
      </c>
      <c r="B247" s="1" t="s">
        <v>4</v>
      </c>
      <c r="C247" s="2">
        <v>3.1250012522566399E-5</v>
      </c>
      <c r="E247" s="26">
        <v>3.1300000000000002E-5</v>
      </c>
    </row>
    <row r="248" spans="1:5">
      <c r="A248" s="1">
        <v>247</v>
      </c>
      <c r="B248" s="1" t="s">
        <v>4</v>
      </c>
      <c r="C248" s="2">
        <v>3.1250002820425501E-5</v>
      </c>
      <c r="E248" s="26">
        <v>3.1300000000000002E-5</v>
      </c>
    </row>
    <row r="249" spans="1:5">
      <c r="A249" s="1">
        <v>248</v>
      </c>
      <c r="B249" s="1" t="s">
        <v>4</v>
      </c>
      <c r="C249" s="2">
        <v>3.1249995772984399E-5</v>
      </c>
      <c r="E249" s="26">
        <v>3.1300000000000002E-5</v>
      </c>
    </row>
    <row r="250" spans="1:5">
      <c r="A250" s="1">
        <v>249</v>
      </c>
      <c r="B250" s="1" t="s">
        <v>4</v>
      </c>
      <c r="C250" s="2">
        <v>3.1250003463872398E-5</v>
      </c>
      <c r="E250" s="26">
        <v>3.1300000000000002E-5</v>
      </c>
    </row>
    <row r="251" spans="1:5">
      <c r="A251" s="1">
        <v>250</v>
      </c>
      <c r="B251" s="1" t="s">
        <v>4</v>
      </c>
      <c r="C251" s="2">
        <v>3.1250007570244399E-5</v>
      </c>
      <c r="E251" s="26">
        <v>3.1300000000000002E-5</v>
      </c>
    </row>
    <row r="252" spans="1:5">
      <c r="A252" s="1">
        <v>251</v>
      </c>
      <c r="B252" s="1" t="s">
        <v>4</v>
      </c>
      <c r="C252" s="2">
        <v>3.12500101851814E-5</v>
      </c>
      <c r="E252" s="26">
        <v>3.1199999999999999E-5</v>
      </c>
    </row>
    <row r="253" spans="1:5">
      <c r="A253" s="1">
        <v>252</v>
      </c>
      <c r="B253" s="1" t="s">
        <v>4</v>
      </c>
      <c r="C253" s="2">
        <v>3.12500100480633E-5</v>
      </c>
      <c r="E253" s="26">
        <v>3.1300000000000002E-5</v>
      </c>
    </row>
    <row r="254" spans="1:5">
      <c r="A254" s="1">
        <v>253</v>
      </c>
      <c r="B254" s="1" t="s">
        <v>4</v>
      </c>
      <c r="C254" s="2">
        <v>3.1250003143342202E-5</v>
      </c>
      <c r="E254" s="26">
        <v>3.1300000000000002E-5</v>
      </c>
    </row>
    <row r="255" spans="1:5">
      <c r="A255" s="1">
        <v>254</v>
      </c>
      <c r="B255" s="1" t="s">
        <v>4</v>
      </c>
      <c r="C255" s="2">
        <v>3.1250012781713697E-5</v>
      </c>
      <c r="E255" s="26">
        <v>3.1300000000000002E-5</v>
      </c>
    </row>
    <row r="256" spans="1:5">
      <c r="A256" s="1">
        <v>255</v>
      </c>
      <c r="B256" s="1" t="s">
        <v>4</v>
      </c>
      <c r="C256" s="2">
        <v>3.1250008262851599E-5</v>
      </c>
      <c r="E256" s="26">
        <v>3.1300000000000002E-5</v>
      </c>
    </row>
    <row r="257" spans="1:5">
      <c r="A257" s="1">
        <v>256</v>
      </c>
      <c r="B257" s="1" t="s">
        <v>4</v>
      </c>
      <c r="C257" s="2">
        <v>3.1250033902007599E-5</v>
      </c>
      <c r="E257" s="26">
        <v>3.1300000000000002E-5</v>
      </c>
    </row>
    <row r="258" spans="1:5">
      <c r="A258" s="1">
        <v>257</v>
      </c>
      <c r="B258" s="1" t="s">
        <v>4</v>
      </c>
      <c r="C258" s="2">
        <v>3.1250012224216899E-5</v>
      </c>
      <c r="E258" s="26">
        <v>3.1300000000000002E-5</v>
      </c>
    </row>
    <row r="259" spans="1:5">
      <c r="A259" s="1">
        <v>258</v>
      </c>
      <c r="B259" s="1" t="s">
        <v>4</v>
      </c>
      <c r="C259" s="2">
        <v>3.1250018632269299E-5</v>
      </c>
      <c r="E259" s="26">
        <v>3.1300000000000002E-5</v>
      </c>
    </row>
    <row r="260" spans="1:5">
      <c r="A260" s="1">
        <v>259</v>
      </c>
      <c r="B260" s="1" t="s">
        <v>4</v>
      </c>
      <c r="C260" s="2">
        <v>3.1250004937843497E-5</v>
      </c>
      <c r="E260" s="26">
        <v>3.1300000000000002E-5</v>
      </c>
    </row>
    <row r="261" spans="1:5">
      <c r="A261" s="1">
        <v>260</v>
      </c>
      <c r="B261" s="1" t="s">
        <v>4</v>
      </c>
      <c r="C261" s="2">
        <v>3.1250003235051001E-5</v>
      </c>
      <c r="E261" s="26">
        <v>3.1300000000000002E-5</v>
      </c>
    </row>
    <row r="262" spans="1:5">
      <c r="A262" s="1">
        <v>261</v>
      </c>
      <c r="B262" s="1" t="s">
        <v>180</v>
      </c>
      <c r="C262" s="2">
        <v>3.1250004436714702E-5</v>
      </c>
      <c r="E262" s="26">
        <v>3.1300000000000002E-5</v>
      </c>
    </row>
    <row r="263" spans="1:5">
      <c r="A263" s="1">
        <v>262</v>
      </c>
      <c r="B263" s="1" t="s">
        <v>4</v>
      </c>
      <c r="C263" s="2">
        <v>3.12500056678261E-5</v>
      </c>
      <c r="E263" s="26">
        <v>3.1300000000000002E-5</v>
      </c>
    </row>
    <row r="264" spans="1:5">
      <c r="A264" s="1">
        <v>263</v>
      </c>
      <c r="B264" s="1" t="s">
        <v>4</v>
      </c>
      <c r="C264" s="2">
        <v>3.1249998716894102E-5</v>
      </c>
      <c r="E264" s="26">
        <v>3.1300000000000002E-5</v>
      </c>
    </row>
    <row r="265" spans="1:5">
      <c r="A265" s="1">
        <v>264</v>
      </c>
      <c r="B265" s="1" t="s">
        <v>4</v>
      </c>
      <c r="C265" s="2">
        <v>3.1250003580750301E-5</v>
      </c>
      <c r="E265" s="26">
        <v>3.1300000000000002E-5</v>
      </c>
    </row>
    <row r="266" spans="1:5">
      <c r="A266" s="1">
        <v>265</v>
      </c>
      <c r="B266" s="1" t="s">
        <v>4</v>
      </c>
      <c r="C266" s="2">
        <v>3.1250009554904503E-5</v>
      </c>
      <c r="E266" s="26">
        <v>3.1300000000000002E-5</v>
      </c>
    </row>
    <row r="267" spans="1:5">
      <c r="A267" s="1">
        <v>266</v>
      </c>
      <c r="B267" s="1" t="s">
        <v>4</v>
      </c>
      <c r="C267" s="2">
        <v>3.1250000766769E-5</v>
      </c>
      <c r="E267" s="26">
        <v>3.1300000000000002E-5</v>
      </c>
    </row>
    <row r="268" spans="1:5">
      <c r="A268" s="1">
        <v>267</v>
      </c>
      <c r="B268" s="1" t="s">
        <v>4</v>
      </c>
      <c r="C268" s="2">
        <v>3.1250002861526697E-5</v>
      </c>
      <c r="E268" s="26">
        <v>3.1300000000000002E-5</v>
      </c>
    </row>
    <row r="269" spans="1:5">
      <c r="A269" s="1">
        <v>268</v>
      </c>
      <c r="B269" s="1" t="s">
        <v>4</v>
      </c>
      <c r="C269" s="2">
        <v>3.12500147972615E-5</v>
      </c>
      <c r="E269" s="26">
        <v>3.1300000000000002E-5</v>
      </c>
    </row>
    <row r="270" spans="1:5">
      <c r="A270" s="1">
        <v>269</v>
      </c>
      <c r="B270" s="1" t="s">
        <v>4</v>
      </c>
      <c r="C270" s="2">
        <v>3.1250013650005097E-5</v>
      </c>
      <c r="E270" s="26">
        <v>3.1199999999999999E-5</v>
      </c>
    </row>
    <row r="271" spans="1:5">
      <c r="A271" s="1">
        <v>270</v>
      </c>
      <c r="B271" s="1" t="s">
        <v>4</v>
      </c>
      <c r="C271" s="2">
        <v>3.1250010621236299E-5</v>
      </c>
      <c r="E271" s="26">
        <v>3.1300000000000002E-5</v>
      </c>
    </row>
    <row r="272" spans="1:5">
      <c r="A272" s="1">
        <v>271</v>
      </c>
      <c r="B272" s="1" t="s">
        <v>4</v>
      </c>
      <c r="C272" s="2">
        <v>3.1250003305304497E-5</v>
      </c>
      <c r="E272" s="26">
        <v>3.1300000000000002E-5</v>
      </c>
    </row>
    <row r="273" spans="1:5">
      <c r="A273" s="1">
        <v>272</v>
      </c>
      <c r="B273" s="1" t="s">
        <v>4</v>
      </c>
      <c r="C273" s="2">
        <v>3.1250005349748701E-5</v>
      </c>
      <c r="E273" s="26">
        <v>3.1300000000000002E-5</v>
      </c>
    </row>
    <row r="274" spans="1:5">
      <c r="A274" s="1">
        <v>273</v>
      </c>
      <c r="B274" s="1" t="s">
        <v>4</v>
      </c>
      <c r="C274" s="2">
        <v>3.1250009423854703E-5</v>
      </c>
      <c r="E274" s="26">
        <v>3.1300000000000002E-5</v>
      </c>
    </row>
    <row r="275" spans="1:5">
      <c r="A275" s="1">
        <v>274</v>
      </c>
      <c r="B275" s="1" t="s">
        <v>4</v>
      </c>
      <c r="C275" s="2">
        <v>3.1250007019984102E-5</v>
      </c>
      <c r="E275" s="26">
        <v>3.1199999999999999E-5</v>
      </c>
    </row>
    <row r="276" spans="1:5">
      <c r="A276" s="1">
        <v>275</v>
      </c>
      <c r="B276" s="1" t="s">
        <v>4</v>
      </c>
      <c r="C276" s="2">
        <v>3.1250012737700699E-5</v>
      </c>
      <c r="E276" s="26">
        <v>3.1300000000000002E-5</v>
      </c>
    </row>
    <row r="277" spans="1:5">
      <c r="A277" s="1">
        <v>276</v>
      </c>
      <c r="B277" s="1" t="s">
        <v>4</v>
      </c>
      <c r="C277" s="2">
        <v>3.1250001556000799E-5</v>
      </c>
      <c r="E277" s="26">
        <v>3.1300000000000002E-5</v>
      </c>
    </row>
    <row r="278" spans="1:5">
      <c r="A278" s="1">
        <v>277</v>
      </c>
      <c r="B278" s="1" t="s">
        <v>180</v>
      </c>
      <c r="C278" s="2">
        <v>3.12500045357765E-5</v>
      </c>
      <c r="E278" s="26">
        <v>3.1300000000000002E-5</v>
      </c>
    </row>
    <row r="279" spans="1:5">
      <c r="A279" s="1">
        <v>278</v>
      </c>
      <c r="B279" s="1" t="s">
        <v>4</v>
      </c>
      <c r="C279" s="2">
        <v>3.1250023799831498E-5</v>
      </c>
      <c r="E279" s="26">
        <v>3.1300000000000002E-5</v>
      </c>
    </row>
    <row r="280" spans="1:5">
      <c r="A280" s="1">
        <v>279</v>
      </c>
      <c r="B280" s="1" t="s">
        <v>4</v>
      </c>
      <c r="C280" s="2">
        <v>3.1250011156787802E-5</v>
      </c>
      <c r="E280" s="26">
        <v>3.1199999999999999E-5</v>
      </c>
    </row>
    <row r="281" spans="1:5">
      <c r="A281" s="1">
        <v>280</v>
      </c>
      <c r="B281" s="1" t="s">
        <v>4</v>
      </c>
      <c r="C281" s="2">
        <v>3.1250008801209599E-5</v>
      </c>
      <c r="E281" s="26">
        <v>3.1300000000000002E-5</v>
      </c>
    </row>
    <row r="282" spans="1:5">
      <c r="A282" s="1">
        <v>281</v>
      </c>
      <c r="B282" s="1" t="s">
        <v>4</v>
      </c>
      <c r="C282" s="2">
        <v>3.1250003736499399E-5</v>
      </c>
      <c r="E282" s="26">
        <v>3.1300000000000002E-5</v>
      </c>
    </row>
    <row r="283" spans="1:5">
      <c r="A283" s="1">
        <v>282</v>
      </c>
      <c r="B283" s="1" t="s">
        <v>180</v>
      </c>
      <c r="C283" s="2">
        <v>3.12499976936889E-5</v>
      </c>
      <c r="E283" s="26">
        <v>3.1199999999999999E-5</v>
      </c>
    </row>
    <row r="284" spans="1:5">
      <c r="A284" s="1">
        <v>283</v>
      </c>
      <c r="B284" s="1" t="s">
        <v>4</v>
      </c>
      <c r="C284" s="2">
        <v>3.1249997193884702E-5</v>
      </c>
      <c r="E284" s="26">
        <v>3.1300000000000002E-5</v>
      </c>
    </row>
    <row r="285" spans="1:5">
      <c r="A285" s="1">
        <v>284</v>
      </c>
      <c r="B285" s="1" t="s">
        <v>4</v>
      </c>
      <c r="C285" s="2">
        <v>3.1250005536586103E-5</v>
      </c>
      <c r="E285" s="26">
        <v>3.1300000000000002E-5</v>
      </c>
    </row>
    <row r="286" spans="1:5">
      <c r="A286" s="1">
        <v>285</v>
      </c>
      <c r="B286" s="1" t="s">
        <v>4</v>
      </c>
      <c r="C286" s="2">
        <v>3.1250007104730399E-5</v>
      </c>
      <c r="E286" s="26">
        <v>3.1300000000000002E-5</v>
      </c>
    </row>
    <row r="287" spans="1:5">
      <c r="A287" s="1">
        <v>286</v>
      </c>
      <c r="B287" s="1" t="s">
        <v>4</v>
      </c>
      <c r="C287" s="2">
        <v>3.12500148552917E-5</v>
      </c>
      <c r="E287" s="26">
        <v>3.1300000000000002E-5</v>
      </c>
    </row>
    <row r="288" spans="1:5">
      <c r="A288" s="1">
        <v>287</v>
      </c>
      <c r="B288" s="1" t="s">
        <v>4</v>
      </c>
      <c r="C288" s="2">
        <v>3.1250009611313299E-5</v>
      </c>
      <c r="E288" s="26">
        <v>3.1300000000000002E-5</v>
      </c>
    </row>
    <row r="289" spans="1:5">
      <c r="A289" s="1">
        <v>288</v>
      </c>
      <c r="B289" s="1" t="s">
        <v>180</v>
      </c>
      <c r="C289" s="2">
        <v>3.1250006471025898E-5</v>
      </c>
      <c r="E289" s="26">
        <v>3.1300000000000002E-5</v>
      </c>
    </row>
    <row r="290" spans="1:5">
      <c r="A290" s="1">
        <v>289</v>
      </c>
      <c r="B290" s="1" t="s">
        <v>4</v>
      </c>
      <c r="C290" s="2">
        <v>3.1249997283676998E-5</v>
      </c>
      <c r="E290" s="26">
        <v>3.1300000000000002E-5</v>
      </c>
    </row>
    <row r="291" spans="1:5">
      <c r="A291" s="1">
        <v>290</v>
      </c>
      <c r="B291" s="1" t="s">
        <v>4</v>
      </c>
      <c r="C291" s="2">
        <v>3.1250004229448301E-5</v>
      </c>
      <c r="E291" s="26">
        <v>3.1300000000000002E-5</v>
      </c>
    </row>
    <row r="292" spans="1:5">
      <c r="A292" s="1">
        <v>291</v>
      </c>
      <c r="B292" s="1" t="s">
        <v>4</v>
      </c>
      <c r="C292" s="2">
        <v>3.1250004810539297E-5</v>
      </c>
      <c r="E292" s="26">
        <v>3.1300000000000002E-5</v>
      </c>
    </row>
    <row r="293" spans="1:5">
      <c r="A293" s="1">
        <v>292</v>
      </c>
      <c r="B293" s="1" t="s">
        <v>4</v>
      </c>
      <c r="C293" s="2">
        <v>3.1250011038953403E-5</v>
      </c>
      <c r="E293" s="26">
        <v>3.1300000000000002E-5</v>
      </c>
    </row>
    <row r="294" spans="1:5">
      <c r="A294" s="1">
        <v>293</v>
      </c>
      <c r="B294" s="1" t="s">
        <v>4</v>
      </c>
      <c r="C294" s="2">
        <v>3.1250008654589402E-5</v>
      </c>
      <c r="E294" s="26">
        <v>3.1300000000000002E-5</v>
      </c>
    </row>
    <row r="295" spans="1:5">
      <c r="A295" s="1">
        <v>294</v>
      </c>
      <c r="B295" s="1" t="s">
        <v>180</v>
      </c>
      <c r="C295" s="2">
        <v>3.1249997995438303E-5</v>
      </c>
      <c r="E295" s="26">
        <v>3.1300000000000002E-5</v>
      </c>
    </row>
    <row r="296" spans="1:5">
      <c r="A296" s="1">
        <v>295</v>
      </c>
      <c r="B296" s="1" t="s">
        <v>4</v>
      </c>
      <c r="C296" s="2">
        <v>3.1249994483036697E-5</v>
      </c>
      <c r="E296" s="26">
        <v>3.1300000000000002E-5</v>
      </c>
    </row>
    <row r="297" spans="1:5">
      <c r="A297" s="1">
        <v>296</v>
      </c>
      <c r="B297" s="1" t="s">
        <v>4</v>
      </c>
      <c r="C297" s="2">
        <v>3.1250009921752602E-5</v>
      </c>
      <c r="E297" s="26">
        <v>3.1300000000000002E-5</v>
      </c>
    </row>
    <row r="298" spans="1:5">
      <c r="A298" s="1">
        <v>297</v>
      </c>
      <c r="B298" s="1" t="s">
        <v>4</v>
      </c>
      <c r="C298" s="2">
        <v>3.1250011194723297E-5</v>
      </c>
      <c r="E298" s="26">
        <v>3.1300000000000002E-5</v>
      </c>
    </row>
    <row r="299" spans="1:5">
      <c r="A299" s="1">
        <v>298</v>
      </c>
      <c r="B299" s="1" t="s">
        <v>4</v>
      </c>
      <c r="C299" s="2">
        <v>3.1249996285579099E-5</v>
      </c>
      <c r="E299" s="26">
        <v>3.1199999999999999E-5</v>
      </c>
    </row>
    <row r="300" spans="1:5">
      <c r="A300" s="1">
        <v>299</v>
      </c>
      <c r="B300" s="1" t="s">
        <v>4</v>
      </c>
      <c r="C300" s="2">
        <v>3.12500092397559E-5</v>
      </c>
      <c r="E300" s="26">
        <v>3.1300000000000002E-5</v>
      </c>
    </row>
    <row r="301" spans="1:5">
      <c r="A301" s="1">
        <v>300</v>
      </c>
      <c r="B301" s="1" t="s">
        <v>4</v>
      </c>
      <c r="C301" s="2">
        <v>3.1250004840301602E-5</v>
      </c>
      <c r="E301" s="26">
        <v>3.1300000000000002E-5</v>
      </c>
    </row>
    <row r="302" spans="1:5">
      <c r="A302" s="1">
        <v>301</v>
      </c>
      <c r="B302" s="1" t="s">
        <v>4</v>
      </c>
      <c r="C302" s="2">
        <v>3.1250004628090202E-5</v>
      </c>
      <c r="E302" s="26">
        <v>3.1300000000000002E-5</v>
      </c>
    </row>
    <row r="303" spans="1:5">
      <c r="A303" s="1">
        <v>302</v>
      </c>
      <c r="B303" s="1" t="s">
        <v>4</v>
      </c>
      <c r="C303" s="2">
        <v>3.1250009415916703E-5</v>
      </c>
      <c r="E303" s="26">
        <v>3.1199999999999999E-5</v>
      </c>
    </row>
    <row r="304" spans="1:5">
      <c r="A304" s="1">
        <v>303</v>
      </c>
      <c r="B304" s="1" t="s">
        <v>180</v>
      </c>
      <c r="C304" s="2">
        <v>3.1250002016435603E-5</v>
      </c>
      <c r="E304" s="26">
        <v>3.1199999999999999E-5</v>
      </c>
    </row>
    <row r="305" spans="1:5">
      <c r="A305" s="1">
        <v>304</v>
      </c>
      <c r="B305" s="1" t="s">
        <v>4</v>
      </c>
      <c r="C305" s="2">
        <v>3.12500104488415E-5</v>
      </c>
      <c r="E305" s="26">
        <v>3.1199999999999999E-5</v>
      </c>
    </row>
    <row r="306" spans="1:5">
      <c r="A306" s="1">
        <v>305</v>
      </c>
      <c r="B306" s="1" t="s">
        <v>4</v>
      </c>
      <c r="C306" s="2">
        <v>3.1250004477525197E-5</v>
      </c>
      <c r="E306" s="26">
        <v>3.1300000000000002E-5</v>
      </c>
    </row>
    <row r="307" spans="1:5">
      <c r="A307" s="1">
        <v>306</v>
      </c>
      <c r="B307" s="1" t="s">
        <v>4</v>
      </c>
      <c r="C307" s="2">
        <v>3.1250010131862398E-5</v>
      </c>
      <c r="E307" s="26">
        <v>3.1300000000000002E-5</v>
      </c>
    </row>
    <row r="308" spans="1:5">
      <c r="A308" s="1">
        <v>307</v>
      </c>
      <c r="B308" s="1" t="s">
        <v>4</v>
      </c>
      <c r="C308" s="2">
        <v>3.1250000310842098E-5</v>
      </c>
      <c r="E308" s="26">
        <v>3.1300000000000002E-5</v>
      </c>
    </row>
    <row r="309" spans="1:5">
      <c r="A309" s="1">
        <v>308</v>
      </c>
      <c r="B309" s="1" t="s">
        <v>4</v>
      </c>
      <c r="C309" s="2">
        <v>3.1250004587459699E-5</v>
      </c>
      <c r="E309" s="26">
        <v>3.1300000000000002E-5</v>
      </c>
    </row>
    <row r="310" spans="1:5">
      <c r="A310" s="1">
        <v>309</v>
      </c>
      <c r="B310" s="1" t="s">
        <v>4</v>
      </c>
      <c r="C310" s="2">
        <v>3.12500080981933E-5</v>
      </c>
      <c r="E310" s="26">
        <v>3.1300000000000002E-5</v>
      </c>
    </row>
    <row r="311" spans="1:5">
      <c r="A311" s="1">
        <v>310</v>
      </c>
      <c r="B311" s="1" t="s">
        <v>4</v>
      </c>
      <c r="C311" s="2">
        <v>3.1250007945215097E-5</v>
      </c>
      <c r="E311" s="26">
        <v>3.1300000000000002E-5</v>
      </c>
    </row>
    <row r="312" spans="1:5">
      <c r="A312" s="1">
        <v>311</v>
      </c>
      <c r="B312" s="1" t="s">
        <v>4</v>
      </c>
      <c r="C312" s="2">
        <v>3.1250001331488597E-5</v>
      </c>
      <c r="E312" s="26">
        <v>3.1300000000000002E-5</v>
      </c>
    </row>
    <row r="313" spans="1:5">
      <c r="A313" s="1">
        <v>312</v>
      </c>
      <c r="B313" s="1" t="s">
        <v>4</v>
      </c>
      <c r="C313" s="2">
        <v>3.1250000228944597E-5</v>
      </c>
      <c r="E313" s="26">
        <v>3.1300000000000002E-5</v>
      </c>
    </row>
    <row r="314" spans="1:5">
      <c r="A314" s="1">
        <v>313</v>
      </c>
      <c r="B314" s="1" t="s">
        <v>4</v>
      </c>
      <c r="C314" s="2">
        <v>3.1250006108157499E-5</v>
      </c>
      <c r="E314" s="26">
        <v>3.1300000000000002E-5</v>
      </c>
    </row>
    <row r="315" spans="1:5">
      <c r="A315" s="1">
        <v>314</v>
      </c>
      <c r="B315" s="1" t="s">
        <v>4</v>
      </c>
      <c r="C315" s="2">
        <v>3.1250003467180299E-5</v>
      </c>
      <c r="E315" s="26">
        <v>3.1300000000000002E-5</v>
      </c>
    </row>
    <row r="316" spans="1:5">
      <c r="A316" s="1">
        <v>315</v>
      </c>
      <c r="B316" s="1" t="s">
        <v>4</v>
      </c>
      <c r="C316" s="2">
        <v>3.1249996367112397E-5</v>
      </c>
      <c r="E316" s="26">
        <v>3.1300000000000002E-5</v>
      </c>
    </row>
    <row r="317" spans="1:5">
      <c r="A317" s="1">
        <v>316</v>
      </c>
      <c r="B317" s="1" t="s">
        <v>4</v>
      </c>
      <c r="C317" s="2">
        <v>3.1250010269496402E-5</v>
      </c>
      <c r="E317" s="26">
        <v>3.1300000000000002E-5</v>
      </c>
    </row>
    <row r="318" spans="1:5">
      <c r="A318" s="1">
        <v>317</v>
      </c>
      <c r="B318" s="1" t="s">
        <v>180</v>
      </c>
      <c r="C318" s="2">
        <v>3.1249996336715102E-5</v>
      </c>
      <c r="E318" s="26">
        <v>3.1300000000000002E-5</v>
      </c>
    </row>
    <row r="319" spans="1:5">
      <c r="A319" s="1">
        <v>318</v>
      </c>
      <c r="B319" s="1" t="s">
        <v>4</v>
      </c>
      <c r="C319" s="2">
        <v>3.1250009746683103E-5</v>
      </c>
      <c r="E319" s="26">
        <v>3.1300000000000002E-5</v>
      </c>
    </row>
    <row r="320" spans="1:5">
      <c r="A320" s="1">
        <v>319</v>
      </c>
      <c r="B320" s="1" t="s">
        <v>4</v>
      </c>
      <c r="C320" s="2">
        <v>3.1250006910430501E-5</v>
      </c>
      <c r="E320" s="26">
        <v>3.1300000000000002E-5</v>
      </c>
    </row>
    <row r="321" spans="1:5">
      <c r="A321" s="1">
        <v>320</v>
      </c>
      <c r="B321" s="1" t="s">
        <v>4</v>
      </c>
      <c r="C321" s="2">
        <v>3.12499946492356E-5</v>
      </c>
      <c r="E321" s="26">
        <v>3.1300000000000002E-5</v>
      </c>
    </row>
    <row r="322" spans="1:5">
      <c r="A322" s="1">
        <v>321</v>
      </c>
      <c r="B322" s="1" t="s">
        <v>4</v>
      </c>
      <c r="C322" s="2">
        <v>3.12499999007488E-5</v>
      </c>
      <c r="E322" s="26">
        <v>3.1300000000000002E-5</v>
      </c>
    </row>
    <row r="323" spans="1:5">
      <c r="A323" s="1">
        <v>322</v>
      </c>
      <c r="B323" s="1" t="s">
        <v>4</v>
      </c>
      <c r="C323" s="2">
        <v>3.1249995489137099E-5</v>
      </c>
      <c r="E323" s="26">
        <v>3.1300000000000002E-5</v>
      </c>
    </row>
    <row r="324" spans="1:5">
      <c r="A324" s="1">
        <v>323</v>
      </c>
      <c r="B324" s="1" t="s">
        <v>4</v>
      </c>
      <c r="C324" s="2">
        <v>3.1250004151632001E-5</v>
      </c>
      <c r="E324" s="26">
        <v>3.1300000000000002E-5</v>
      </c>
    </row>
    <row r="325" spans="1:5">
      <c r="A325" s="1">
        <v>324</v>
      </c>
      <c r="B325" s="1" t="s">
        <v>4</v>
      </c>
      <c r="C325" s="2">
        <v>3.1250012892512498E-5</v>
      </c>
      <c r="E325" s="26">
        <v>3.1199999999999999E-5</v>
      </c>
    </row>
    <row r="326" spans="1:5">
      <c r="A326" s="1">
        <v>325</v>
      </c>
      <c r="B326" s="1" t="s">
        <v>4</v>
      </c>
      <c r="C326" s="2">
        <v>3.1250006024287799E-5</v>
      </c>
      <c r="E326" s="26">
        <v>3.1300000000000002E-5</v>
      </c>
    </row>
    <row r="327" spans="1:5">
      <c r="A327" s="1">
        <v>326</v>
      </c>
      <c r="B327" s="1" t="s">
        <v>4</v>
      </c>
      <c r="C327" s="2">
        <v>3.1250008528930702E-5</v>
      </c>
      <c r="E327" s="26">
        <v>3.1300000000000002E-5</v>
      </c>
    </row>
    <row r="328" spans="1:5">
      <c r="A328" s="1">
        <v>327</v>
      </c>
      <c r="B328" s="1" t="s">
        <v>4</v>
      </c>
      <c r="C328" s="2">
        <v>3.12500036126911E-5</v>
      </c>
      <c r="E328" s="26">
        <v>3.1199999999999999E-5</v>
      </c>
    </row>
    <row r="329" spans="1:5">
      <c r="A329" s="1">
        <v>328</v>
      </c>
      <c r="B329" s="1" t="s">
        <v>4</v>
      </c>
      <c r="C329" s="2">
        <v>3.1250025871124498E-5</v>
      </c>
      <c r="E329" s="26">
        <v>3.1300000000000002E-5</v>
      </c>
    </row>
    <row r="330" spans="1:5">
      <c r="A330" s="1">
        <v>329</v>
      </c>
      <c r="B330" s="1" t="s">
        <v>4</v>
      </c>
      <c r="C330" s="2">
        <v>3.1250010637442798E-5</v>
      </c>
      <c r="E330" s="26">
        <v>3.1300000000000002E-5</v>
      </c>
    </row>
    <row r="331" spans="1:5">
      <c r="A331" s="1">
        <v>330</v>
      </c>
      <c r="B331" s="1" t="s">
        <v>4</v>
      </c>
      <c r="C331" s="2">
        <v>3.1250000281640902E-5</v>
      </c>
      <c r="E331" s="26">
        <v>3.1300000000000002E-5</v>
      </c>
    </row>
    <row r="332" spans="1:5">
      <c r="A332" s="1">
        <v>331</v>
      </c>
      <c r="B332" s="1" t="s">
        <v>4</v>
      </c>
      <c r="C332" s="2">
        <v>3.1250001401910401E-5</v>
      </c>
      <c r="E332" s="26">
        <v>3.1199999999999999E-5</v>
      </c>
    </row>
    <row r="333" spans="1:5">
      <c r="A333" s="1">
        <v>332</v>
      </c>
      <c r="B333" s="1" t="s">
        <v>4</v>
      </c>
      <c r="C333" s="2">
        <v>3.12500082476764E-5</v>
      </c>
      <c r="E333" s="26">
        <v>3.1199999999999999E-5</v>
      </c>
    </row>
    <row r="334" spans="1:5">
      <c r="A334" s="1">
        <v>333</v>
      </c>
      <c r="B334" s="1" t="s">
        <v>4</v>
      </c>
      <c r="C334" s="2">
        <v>3.1250002504566E-5</v>
      </c>
      <c r="E334" s="26">
        <v>3.1300000000000002E-5</v>
      </c>
    </row>
    <row r="335" spans="1:5">
      <c r="A335" s="1">
        <v>334</v>
      </c>
      <c r="B335" s="1" t="s">
        <v>4</v>
      </c>
      <c r="C335" s="2">
        <v>3.1250015012220099E-5</v>
      </c>
      <c r="E335" s="26">
        <v>3.1300000000000002E-5</v>
      </c>
    </row>
    <row r="336" spans="1:5">
      <c r="A336" s="1">
        <v>335</v>
      </c>
      <c r="B336" s="1" t="s">
        <v>4</v>
      </c>
      <c r="C336" s="2">
        <v>3.1250000921600701E-5</v>
      </c>
      <c r="E336" s="26">
        <v>3.1300000000000002E-5</v>
      </c>
    </row>
    <row r="337" spans="1:5">
      <c r="A337" s="1">
        <v>336</v>
      </c>
      <c r="B337" s="1" t="s">
        <v>4</v>
      </c>
      <c r="C337" s="2">
        <v>3.1250004379053998E-5</v>
      </c>
      <c r="E337" s="26">
        <v>3.1300000000000002E-5</v>
      </c>
    </row>
    <row r="338" spans="1:5">
      <c r="A338" s="1">
        <v>337</v>
      </c>
      <c r="B338" s="1" t="s">
        <v>4</v>
      </c>
      <c r="C338" s="2">
        <v>3.1250016730816603E-5</v>
      </c>
      <c r="E338" s="26">
        <v>3.1300000000000002E-5</v>
      </c>
    </row>
    <row r="339" spans="1:5">
      <c r="A339" s="1">
        <v>338</v>
      </c>
      <c r="B339" s="1" t="s">
        <v>4</v>
      </c>
      <c r="C339" s="2">
        <v>3.1250012590277203E-5</v>
      </c>
      <c r="E339" s="26">
        <v>3.1300000000000002E-5</v>
      </c>
    </row>
    <row r="340" spans="1:5">
      <c r="A340" s="1">
        <v>339</v>
      </c>
      <c r="B340" s="1" t="s">
        <v>4</v>
      </c>
      <c r="C340" s="2">
        <v>3.1250022454440299E-5</v>
      </c>
      <c r="E340" s="26">
        <v>3.1300000000000002E-5</v>
      </c>
    </row>
    <row r="341" spans="1:5">
      <c r="A341" s="1">
        <v>340</v>
      </c>
      <c r="B341" s="1" t="s">
        <v>4</v>
      </c>
      <c r="C341" s="2">
        <v>3.1250014682193897E-5</v>
      </c>
      <c r="E341" s="26">
        <v>3.1300000000000002E-5</v>
      </c>
    </row>
    <row r="342" spans="1:5">
      <c r="A342" s="1">
        <v>341</v>
      </c>
      <c r="B342" s="1" t="s">
        <v>4</v>
      </c>
      <c r="C342" s="2">
        <v>3.12500054573488E-5</v>
      </c>
      <c r="E342" s="26">
        <v>3.1300000000000002E-5</v>
      </c>
    </row>
    <row r="343" spans="1:5">
      <c r="A343" s="1">
        <v>342</v>
      </c>
      <c r="B343" s="1" t="s">
        <v>4</v>
      </c>
      <c r="C343" s="2">
        <v>3.1249994166208902E-5</v>
      </c>
      <c r="E343" s="26">
        <v>3.1300000000000002E-5</v>
      </c>
    </row>
    <row r="344" spans="1:5">
      <c r="A344" s="1">
        <v>343</v>
      </c>
      <c r="B344" s="1" t="s">
        <v>4</v>
      </c>
      <c r="C344" s="2">
        <v>3.1250000430192998E-5</v>
      </c>
      <c r="E344" s="26">
        <v>3.1300000000000002E-5</v>
      </c>
    </row>
    <row r="345" spans="1:5">
      <c r="A345" s="1">
        <v>344</v>
      </c>
      <c r="B345" s="1" t="s">
        <v>4</v>
      </c>
      <c r="C345" s="2">
        <v>3.1250006534117899E-5</v>
      </c>
      <c r="E345" s="26">
        <v>3.1300000000000002E-5</v>
      </c>
    </row>
    <row r="346" spans="1:5">
      <c r="A346" s="1">
        <v>345</v>
      </c>
      <c r="B346" s="1" t="s">
        <v>4</v>
      </c>
      <c r="C346" s="2">
        <v>3.1249997292473998E-5</v>
      </c>
      <c r="E346" s="26">
        <v>3.1199999999999999E-5</v>
      </c>
    </row>
    <row r="347" spans="1:5">
      <c r="A347" s="1">
        <v>346</v>
      </c>
      <c r="B347" s="1" t="s">
        <v>4</v>
      </c>
      <c r="C347" s="2">
        <v>3.12500036848257E-5</v>
      </c>
      <c r="E347" s="26">
        <v>3.1300000000000002E-5</v>
      </c>
    </row>
    <row r="348" spans="1:5">
      <c r="A348" s="1">
        <v>347</v>
      </c>
      <c r="B348" s="1" t="s">
        <v>4</v>
      </c>
      <c r="C348" s="2">
        <v>3.12500062365817E-5</v>
      </c>
      <c r="E348" s="26">
        <v>3.1300000000000002E-5</v>
      </c>
    </row>
    <row r="349" spans="1:5">
      <c r="A349" s="1">
        <v>348</v>
      </c>
      <c r="B349" s="1" t="s">
        <v>4</v>
      </c>
      <c r="C349" s="2">
        <v>3.1250005893514098E-5</v>
      </c>
      <c r="E349" s="26">
        <v>3.1300000000000002E-5</v>
      </c>
    </row>
    <row r="350" spans="1:5">
      <c r="A350" s="1">
        <v>349</v>
      </c>
      <c r="B350" s="1" t="s">
        <v>4</v>
      </c>
      <c r="C350" s="2">
        <v>3.1249997101124898E-5</v>
      </c>
      <c r="E350" s="26">
        <v>3.1300000000000002E-5</v>
      </c>
    </row>
    <row r="351" spans="1:5">
      <c r="A351" s="1">
        <v>350</v>
      </c>
      <c r="B351" s="1" t="s">
        <v>4</v>
      </c>
      <c r="C351" s="2">
        <v>3.1249999409316703E-5</v>
      </c>
      <c r="E351" s="26">
        <v>3.1300000000000002E-5</v>
      </c>
    </row>
    <row r="352" spans="1:5">
      <c r="A352" s="1">
        <v>351</v>
      </c>
      <c r="B352" s="1" t="s">
        <v>4</v>
      </c>
      <c r="C352" s="2">
        <v>3.1250000985079599E-5</v>
      </c>
      <c r="E352" s="26">
        <v>3.1300000000000002E-5</v>
      </c>
    </row>
    <row r="353" spans="1:5">
      <c r="A353" s="1">
        <v>352</v>
      </c>
      <c r="B353" s="1" t="s">
        <v>4</v>
      </c>
      <c r="C353" s="2">
        <v>3.1250008848778197E-5</v>
      </c>
      <c r="E353" s="26">
        <v>3.1300000000000002E-5</v>
      </c>
    </row>
    <row r="354" spans="1:5">
      <c r="A354" s="1">
        <v>353</v>
      </c>
      <c r="B354" s="1" t="s">
        <v>4</v>
      </c>
      <c r="C354" s="2">
        <v>3.1250006445950497E-5</v>
      </c>
      <c r="E354" s="26">
        <v>3.1300000000000002E-5</v>
      </c>
    </row>
    <row r="355" spans="1:5">
      <c r="A355" s="1">
        <v>354</v>
      </c>
      <c r="B355" s="1" t="s">
        <v>4</v>
      </c>
      <c r="C355" s="2">
        <v>3.1250004619694202E-5</v>
      </c>
      <c r="E355" s="26">
        <v>3.1300000000000002E-5</v>
      </c>
    </row>
    <row r="356" spans="1:5">
      <c r="A356" s="1">
        <v>355</v>
      </c>
      <c r="B356" s="1" t="s">
        <v>4</v>
      </c>
      <c r="C356" s="2">
        <v>3.12500104873597E-5</v>
      </c>
      <c r="E356" s="26">
        <v>3.1199999999999999E-5</v>
      </c>
    </row>
    <row r="357" spans="1:5">
      <c r="A357" s="1">
        <v>356</v>
      </c>
      <c r="B357" s="1" t="s">
        <v>4</v>
      </c>
      <c r="C357" s="2">
        <v>3.1250010631766498E-5</v>
      </c>
      <c r="E357" s="26">
        <v>3.1300000000000002E-5</v>
      </c>
    </row>
    <row r="358" spans="1:5">
      <c r="A358" s="1">
        <v>357</v>
      </c>
      <c r="B358" s="1" t="s">
        <v>4</v>
      </c>
      <c r="C358" s="2">
        <v>3.1250011024926402E-5</v>
      </c>
      <c r="E358" s="26">
        <v>3.1199999999999999E-5</v>
      </c>
    </row>
    <row r="359" spans="1:5">
      <c r="A359" s="1">
        <v>358</v>
      </c>
      <c r="B359" s="1" t="s">
        <v>4</v>
      </c>
      <c r="C359" s="2">
        <v>3.1250006812481203E-5</v>
      </c>
      <c r="E359" s="26">
        <v>3.1300000000000002E-5</v>
      </c>
    </row>
    <row r="360" spans="1:5">
      <c r="A360" s="1">
        <v>359</v>
      </c>
      <c r="B360" s="1" t="s">
        <v>4</v>
      </c>
      <c r="C360" s="2">
        <v>3.12500042847625E-5</v>
      </c>
      <c r="E360" s="26">
        <v>3.1199999999999999E-5</v>
      </c>
    </row>
    <row r="361" spans="1:5">
      <c r="A361" s="1">
        <v>360</v>
      </c>
      <c r="B361" s="1" t="s">
        <v>4</v>
      </c>
      <c r="C361" s="2">
        <v>3.1250005192450501E-5</v>
      </c>
      <c r="E361" s="26">
        <v>3.1300000000000002E-5</v>
      </c>
    </row>
    <row r="362" spans="1:5">
      <c r="A362" s="1">
        <v>361</v>
      </c>
      <c r="B362" s="1" t="s">
        <v>4</v>
      </c>
      <c r="C362" s="2">
        <v>3.1250004241824103E-5</v>
      </c>
      <c r="E362" s="26">
        <v>3.1300000000000002E-5</v>
      </c>
    </row>
    <row r="363" spans="1:5">
      <c r="A363" s="1">
        <v>362</v>
      </c>
      <c r="B363" s="1" t="s">
        <v>4</v>
      </c>
      <c r="C363" s="2">
        <v>3.1250010444874201E-5</v>
      </c>
      <c r="E363" s="26">
        <v>3.1300000000000002E-5</v>
      </c>
    </row>
    <row r="364" spans="1:5">
      <c r="A364" s="1">
        <v>363</v>
      </c>
      <c r="B364" s="1" t="s">
        <v>4</v>
      </c>
      <c r="C364" s="2">
        <v>3.1249999451175797E-5</v>
      </c>
      <c r="E364" s="26">
        <v>3.1199999999999999E-5</v>
      </c>
    </row>
    <row r="365" spans="1:5">
      <c r="A365" s="1">
        <v>364</v>
      </c>
      <c r="B365" s="1" t="s">
        <v>4</v>
      </c>
      <c r="C365" s="2">
        <v>3.1250004641276899E-5</v>
      </c>
      <c r="E365" s="26">
        <v>3.1300000000000002E-5</v>
      </c>
    </row>
    <row r="366" spans="1:5">
      <c r="A366" s="1">
        <v>365</v>
      </c>
      <c r="B366" s="1" t="s">
        <v>4</v>
      </c>
      <c r="C366" s="2">
        <v>3.1250001177679598E-5</v>
      </c>
      <c r="E366" s="26">
        <v>3.1300000000000002E-5</v>
      </c>
    </row>
    <row r="367" spans="1:5">
      <c r="A367" s="1">
        <v>366</v>
      </c>
      <c r="B367" s="1" t="s">
        <v>4</v>
      </c>
      <c r="C367" s="2">
        <v>3.1250008724693399E-5</v>
      </c>
      <c r="E367" s="26">
        <v>3.1300000000000002E-5</v>
      </c>
    </row>
    <row r="368" spans="1:5">
      <c r="A368" s="1">
        <v>367</v>
      </c>
      <c r="B368" s="1" t="s">
        <v>4</v>
      </c>
      <c r="C368" s="2">
        <v>3.1250009505356301E-5</v>
      </c>
      <c r="E368" s="26">
        <v>3.1300000000000002E-5</v>
      </c>
    </row>
    <row r="369" spans="1:5">
      <c r="A369" s="1">
        <v>368</v>
      </c>
      <c r="B369" s="1" t="s">
        <v>4</v>
      </c>
      <c r="C369" s="2">
        <v>3.12500073117474E-5</v>
      </c>
      <c r="E369" s="26">
        <v>3.1300000000000002E-5</v>
      </c>
    </row>
    <row r="370" spans="1:5">
      <c r="A370" s="1">
        <v>369</v>
      </c>
      <c r="B370" s="1" t="s">
        <v>4</v>
      </c>
      <c r="C370" s="2">
        <v>3.1250004842730499E-5</v>
      </c>
      <c r="E370" s="26">
        <v>3.1300000000000002E-5</v>
      </c>
    </row>
    <row r="371" spans="1:5">
      <c r="A371" s="1">
        <v>370</v>
      </c>
      <c r="B371" s="1" t="s">
        <v>4</v>
      </c>
      <c r="C371" s="2">
        <v>3.1250007796260003E-5</v>
      </c>
      <c r="E371" s="26">
        <v>3.1300000000000002E-5</v>
      </c>
    </row>
    <row r="372" spans="1:5">
      <c r="A372" s="1">
        <v>371</v>
      </c>
      <c r="B372" s="1" t="s">
        <v>4</v>
      </c>
      <c r="C372" s="2">
        <v>3.1250026839916297E-5</v>
      </c>
      <c r="E372" s="26">
        <v>3.1199999999999999E-5</v>
      </c>
    </row>
    <row r="373" spans="1:5">
      <c r="A373" s="1">
        <v>372</v>
      </c>
      <c r="B373" s="1" t="s">
        <v>4</v>
      </c>
      <c r="C373" s="2">
        <v>3.1250007723348701E-5</v>
      </c>
      <c r="E373" s="26">
        <v>3.1300000000000002E-5</v>
      </c>
    </row>
    <row r="374" spans="1:5">
      <c r="A374" s="1">
        <v>373</v>
      </c>
      <c r="B374" s="1" t="s">
        <v>4</v>
      </c>
      <c r="C374" s="2">
        <v>3.12499980653222E-5</v>
      </c>
      <c r="E374" s="26">
        <v>3.1199999999999999E-5</v>
      </c>
    </row>
    <row r="375" spans="1:5">
      <c r="A375" s="1">
        <v>374</v>
      </c>
      <c r="B375" s="1" t="s">
        <v>4</v>
      </c>
      <c r="C375" s="2">
        <v>3.12500185924647E-5</v>
      </c>
      <c r="E375" s="26">
        <v>3.1199999999999999E-5</v>
      </c>
    </row>
    <row r="376" spans="1:5">
      <c r="A376" s="1">
        <v>375</v>
      </c>
      <c r="B376" s="1" t="s">
        <v>4</v>
      </c>
      <c r="C376" s="2">
        <v>3.1249999948840803E-5</v>
      </c>
      <c r="E376" s="26">
        <v>3.1300000000000002E-5</v>
      </c>
    </row>
    <row r="377" spans="1:5">
      <c r="A377" s="1">
        <v>376</v>
      </c>
      <c r="B377" s="1" t="s">
        <v>4</v>
      </c>
      <c r="C377" s="2">
        <v>3.1250019104928198E-5</v>
      </c>
      <c r="E377" s="26">
        <v>3.1199999999999999E-5</v>
      </c>
    </row>
    <row r="378" spans="1:5">
      <c r="A378" s="1">
        <v>377</v>
      </c>
      <c r="B378" s="1" t="s">
        <v>4</v>
      </c>
      <c r="C378" s="2">
        <v>3.1249999525749703E-5</v>
      </c>
      <c r="E378" s="26">
        <v>3.1300000000000002E-5</v>
      </c>
    </row>
    <row r="379" spans="1:5">
      <c r="A379" s="1">
        <v>378</v>
      </c>
      <c r="B379" s="1" t="s">
        <v>4</v>
      </c>
      <c r="C379" s="2">
        <v>3.1250016741022503E-5</v>
      </c>
      <c r="E379" s="26">
        <v>3.1300000000000002E-5</v>
      </c>
    </row>
    <row r="380" spans="1:5">
      <c r="A380" s="1">
        <v>379</v>
      </c>
      <c r="B380" s="1" t="s">
        <v>4</v>
      </c>
      <c r="C380" s="2">
        <v>3.1250006217214603E-5</v>
      </c>
      <c r="E380" s="26">
        <v>3.1199999999999999E-5</v>
      </c>
    </row>
    <row r="381" spans="1:5">
      <c r="A381" s="1">
        <v>380</v>
      </c>
      <c r="B381" s="1" t="s">
        <v>4</v>
      </c>
      <c r="C381" s="2">
        <v>3.1250009499271298E-5</v>
      </c>
      <c r="E381" s="26">
        <v>3.1199999999999999E-5</v>
      </c>
    </row>
    <row r="382" spans="1:5">
      <c r="A382" s="1">
        <v>381</v>
      </c>
      <c r="B382" s="1" t="s">
        <v>4</v>
      </c>
      <c r="C382" s="2">
        <v>3.1249997862105003E-5</v>
      </c>
      <c r="E382" s="26">
        <v>3.1300000000000002E-5</v>
      </c>
    </row>
    <row r="383" spans="1:5">
      <c r="A383" s="1">
        <v>382</v>
      </c>
      <c r="B383" s="1" t="s">
        <v>4</v>
      </c>
      <c r="C383" s="2">
        <v>3.1250002886724301E-5</v>
      </c>
      <c r="E383" s="26">
        <v>3.1199999999999999E-5</v>
      </c>
    </row>
    <row r="384" spans="1:5">
      <c r="A384" s="1">
        <v>383</v>
      </c>
      <c r="B384" s="1" t="s">
        <v>180</v>
      </c>
      <c r="C384" s="2">
        <v>3.1249997728772402E-5</v>
      </c>
      <c r="E384" s="26">
        <v>3.1300000000000002E-5</v>
      </c>
    </row>
    <row r="385" spans="1:5">
      <c r="A385" s="1">
        <v>384</v>
      </c>
      <c r="B385" s="1" t="s">
        <v>4</v>
      </c>
      <c r="C385" s="2">
        <v>3.1250009817365502E-5</v>
      </c>
      <c r="E385" s="26">
        <v>3.1300000000000002E-5</v>
      </c>
    </row>
    <row r="386" spans="1:5">
      <c r="A386" s="1">
        <v>385</v>
      </c>
      <c r="B386" s="1" t="s">
        <v>180</v>
      </c>
      <c r="C386" s="2">
        <v>3.1249996075545699E-5</v>
      </c>
      <c r="E386" s="26">
        <v>3.1300000000000002E-5</v>
      </c>
    </row>
    <row r="387" spans="1:5">
      <c r="A387" s="1">
        <v>386</v>
      </c>
      <c r="B387" s="1" t="s">
        <v>4</v>
      </c>
      <c r="C387" s="2">
        <v>3.12500047901339E-5</v>
      </c>
      <c r="E387" s="26">
        <v>3.1300000000000002E-5</v>
      </c>
    </row>
    <row r="388" spans="1:5">
      <c r="A388" s="1">
        <v>387</v>
      </c>
      <c r="B388" s="1" t="s">
        <v>4</v>
      </c>
      <c r="C388" s="2">
        <v>3.1250006366896499E-5</v>
      </c>
      <c r="E388" s="26">
        <v>3.1300000000000002E-5</v>
      </c>
    </row>
    <row r="389" spans="1:5">
      <c r="A389" s="1">
        <v>388</v>
      </c>
      <c r="B389" s="1" t="s">
        <v>4</v>
      </c>
      <c r="C389" s="2">
        <v>3.1250015406819301E-5</v>
      </c>
      <c r="E389" s="26">
        <v>3.1199999999999999E-5</v>
      </c>
    </row>
    <row r="390" spans="1:5">
      <c r="A390" s="1">
        <v>389</v>
      </c>
      <c r="B390" s="1" t="s">
        <v>4</v>
      </c>
      <c r="C390" s="2">
        <v>3.1250009383885102E-5</v>
      </c>
      <c r="E390" s="26">
        <v>3.1300000000000002E-5</v>
      </c>
    </row>
    <row r="391" spans="1:5">
      <c r="A391" s="1">
        <v>390</v>
      </c>
      <c r="B391" s="1" t="s">
        <v>4</v>
      </c>
      <c r="C391" s="2">
        <v>3.1250008138871603E-5</v>
      </c>
      <c r="E391" s="26">
        <v>3.1300000000000002E-5</v>
      </c>
    </row>
    <row r="392" spans="1:5">
      <c r="A392" s="1">
        <v>391</v>
      </c>
      <c r="B392" s="1" t="s">
        <v>4</v>
      </c>
      <c r="C392" s="2">
        <v>3.1249989588574603E-5</v>
      </c>
      <c r="E392" s="26">
        <v>3.1300000000000002E-5</v>
      </c>
    </row>
    <row r="393" spans="1:5">
      <c r="A393" s="1">
        <v>392</v>
      </c>
      <c r="B393" s="1" t="s">
        <v>4</v>
      </c>
      <c r="C393" s="2">
        <v>3.1250004059644501E-5</v>
      </c>
      <c r="E393" s="26">
        <v>3.1300000000000002E-5</v>
      </c>
    </row>
    <row r="394" spans="1:5">
      <c r="A394" s="1">
        <v>393</v>
      </c>
      <c r="B394" s="1" t="s">
        <v>4</v>
      </c>
      <c r="C394" s="2">
        <v>3.1249997736539301E-5</v>
      </c>
      <c r="E394" s="26">
        <v>3.1300000000000002E-5</v>
      </c>
    </row>
    <row r="395" spans="1:5">
      <c r="A395" s="1">
        <v>394</v>
      </c>
      <c r="B395" s="1" t="s">
        <v>4</v>
      </c>
      <c r="C395" s="2">
        <v>3.12499965293963E-5</v>
      </c>
      <c r="E395" s="26">
        <v>3.1300000000000002E-5</v>
      </c>
    </row>
    <row r="396" spans="1:5">
      <c r="A396" s="1">
        <v>395</v>
      </c>
      <c r="B396" s="1" t="s">
        <v>4</v>
      </c>
      <c r="C396" s="2">
        <v>3.12500083600035E-5</v>
      </c>
      <c r="E396" s="26">
        <v>3.1300000000000002E-5</v>
      </c>
    </row>
    <row r="397" spans="1:5">
      <c r="A397" s="1">
        <v>396</v>
      </c>
      <c r="B397" s="1" t="s">
        <v>4</v>
      </c>
      <c r="C397" s="2">
        <v>3.1249992965226202E-5</v>
      </c>
      <c r="E397" s="26">
        <v>3.1300000000000002E-5</v>
      </c>
    </row>
    <row r="398" spans="1:5">
      <c r="A398" s="1">
        <v>397</v>
      </c>
      <c r="B398" s="1" t="s">
        <v>4</v>
      </c>
      <c r="C398" s="2">
        <v>3.1250006303257599E-5</v>
      </c>
      <c r="E398" s="26">
        <v>3.1300000000000002E-5</v>
      </c>
    </row>
    <row r="399" spans="1:5">
      <c r="A399" s="1">
        <v>398</v>
      </c>
      <c r="B399" s="1" t="s">
        <v>4</v>
      </c>
      <c r="C399" s="2">
        <v>3.1250004168490498E-5</v>
      </c>
      <c r="E399" s="26">
        <v>3.1300000000000002E-5</v>
      </c>
    </row>
    <row r="400" spans="1:5">
      <c r="A400" s="1">
        <v>399</v>
      </c>
      <c r="B400" s="1" t="s">
        <v>4</v>
      </c>
      <c r="C400" s="2">
        <v>3.1249992808579602E-5</v>
      </c>
      <c r="E400" s="26">
        <v>3.1300000000000002E-5</v>
      </c>
    </row>
    <row r="401" spans="1:5">
      <c r="A401" s="1">
        <v>400</v>
      </c>
      <c r="B401" s="1" t="s">
        <v>4</v>
      </c>
      <c r="C401" s="2">
        <v>3.1249988792304998E-5</v>
      </c>
      <c r="E401" s="26">
        <v>3.1300000000000002E-5</v>
      </c>
    </row>
    <row r="402" spans="1:5">
      <c r="A402" s="1">
        <v>401</v>
      </c>
      <c r="B402" s="1" t="s">
        <v>4</v>
      </c>
      <c r="C402" s="2">
        <v>3.1250008303020598E-5</v>
      </c>
      <c r="E402" s="26">
        <v>3.1300000000000002E-5</v>
      </c>
    </row>
    <row r="403" spans="1:5">
      <c r="A403" s="1">
        <v>402</v>
      </c>
      <c r="B403" s="1" t="s">
        <v>4</v>
      </c>
      <c r="C403" s="2">
        <v>3.1249996530465899E-5</v>
      </c>
      <c r="E403" s="26">
        <v>3.1199999999999999E-5</v>
      </c>
    </row>
    <row r="404" spans="1:5">
      <c r="A404" s="1">
        <v>403</v>
      </c>
      <c r="B404" s="1" t="s">
        <v>4</v>
      </c>
      <c r="C404" s="2">
        <v>3.12500083247058E-5</v>
      </c>
      <c r="E404" s="26">
        <v>3.1300000000000002E-5</v>
      </c>
    </row>
    <row r="405" spans="1:5">
      <c r="A405" s="1">
        <v>404</v>
      </c>
      <c r="B405" s="1" t="s">
        <v>4</v>
      </c>
      <c r="C405" s="2">
        <v>3.1250012112827499E-5</v>
      </c>
      <c r="E405" s="26">
        <v>3.1300000000000002E-5</v>
      </c>
    </row>
    <row r="406" spans="1:5">
      <c r="A406" s="1">
        <v>405</v>
      </c>
      <c r="B406" s="1" t="s">
        <v>4</v>
      </c>
      <c r="C406" s="2">
        <v>3.1250014287433399E-5</v>
      </c>
      <c r="E406" s="26">
        <v>3.1300000000000002E-5</v>
      </c>
    </row>
    <row r="407" spans="1:5">
      <c r="A407" s="1">
        <v>406</v>
      </c>
      <c r="B407" s="1" t="s">
        <v>4</v>
      </c>
      <c r="C407" s="2">
        <v>3.12500048613728E-5</v>
      </c>
      <c r="E407" s="26">
        <v>3.1300000000000002E-5</v>
      </c>
    </row>
    <row r="408" spans="1:5">
      <c r="A408" s="1">
        <v>407</v>
      </c>
      <c r="B408" s="1" t="s">
        <v>4</v>
      </c>
      <c r="C408" s="2">
        <v>3.1250002837847003E-5</v>
      </c>
      <c r="E408" s="26">
        <v>3.1199999999999999E-5</v>
      </c>
    </row>
    <row r="409" spans="1:5">
      <c r="A409" s="1">
        <v>408</v>
      </c>
      <c r="B409" s="1" t="s">
        <v>4</v>
      </c>
      <c r="C409" s="2">
        <v>3.1249999270432302E-5</v>
      </c>
      <c r="E409" s="26">
        <v>3.1300000000000002E-5</v>
      </c>
    </row>
    <row r="410" spans="1:5">
      <c r="A410" s="1">
        <v>409</v>
      </c>
      <c r="B410" s="1" t="s">
        <v>4</v>
      </c>
      <c r="C410" s="2">
        <v>3.1250003138764402E-5</v>
      </c>
      <c r="E410" s="26">
        <v>3.1300000000000002E-5</v>
      </c>
    </row>
    <row r="411" spans="1:5">
      <c r="A411" s="1">
        <v>410</v>
      </c>
      <c r="B411" s="1" t="s">
        <v>180</v>
      </c>
      <c r="C411" s="2">
        <v>3.1250002665560298E-5</v>
      </c>
      <c r="E411" s="26">
        <v>3.1300000000000002E-5</v>
      </c>
    </row>
    <row r="412" spans="1:5">
      <c r="A412" s="1">
        <v>411</v>
      </c>
      <c r="B412" s="1" t="s">
        <v>180</v>
      </c>
      <c r="C412" s="2">
        <v>3.1250008159839199E-5</v>
      </c>
      <c r="E412" s="26">
        <v>3.1300000000000002E-5</v>
      </c>
    </row>
    <row r="413" spans="1:5">
      <c r="A413" s="1">
        <v>412</v>
      </c>
      <c r="B413" s="1" t="s">
        <v>4</v>
      </c>
      <c r="C413" s="2">
        <v>3.1250007911172199E-5</v>
      </c>
      <c r="E413" s="26">
        <v>3.1300000000000002E-5</v>
      </c>
    </row>
    <row r="414" spans="1:5">
      <c r="A414" s="1">
        <v>413</v>
      </c>
      <c r="B414" s="1" t="s">
        <v>4</v>
      </c>
      <c r="C414" s="2">
        <v>3.1250004804378399E-5</v>
      </c>
      <c r="E414" s="26">
        <v>3.1300000000000002E-5</v>
      </c>
    </row>
    <row r="415" spans="1:5">
      <c r="A415" s="1">
        <v>414</v>
      </c>
      <c r="B415" s="1" t="s">
        <v>4</v>
      </c>
      <c r="C415" s="2">
        <v>3.125000918187E-5</v>
      </c>
      <c r="E415" s="26">
        <v>3.1300000000000002E-5</v>
      </c>
    </row>
    <row r="416" spans="1:5">
      <c r="A416" s="1">
        <v>415</v>
      </c>
      <c r="B416" s="1" t="s">
        <v>180</v>
      </c>
      <c r="C416" s="2">
        <v>3.1250004052209401E-5</v>
      </c>
      <c r="E416" s="26">
        <v>3.1300000000000002E-5</v>
      </c>
    </row>
    <row r="417" spans="1:5">
      <c r="A417" s="1">
        <v>416</v>
      </c>
      <c r="B417" s="1" t="s">
        <v>4</v>
      </c>
      <c r="C417" s="2">
        <v>3.1250006053765901E-5</v>
      </c>
      <c r="E417" s="26">
        <v>3.1300000000000002E-5</v>
      </c>
    </row>
    <row r="418" spans="1:5">
      <c r="A418" s="1">
        <v>417</v>
      </c>
      <c r="B418" s="1" t="s">
        <v>4</v>
      </c>
      <c r="C418" s="2">
        <v>3.1250006010763902E-5</v>
      </c>
      <c r="E418" s="26">
        <v>3.1300000000000002E-5</v>
      </c>
    </row>
    <row r="419" spans="1:5">
      <c r="A419" s="1">
        <v>418</v>
      </c>
      <c r="B419" s="1" t="s">
        <v>4</v>
      </c>
      <c r="C419" s="2">
        <v>3.1250010686012602E-5</v>
      </c>
      <c r="E419" s="26">
        <v>3.1300000000000002E-5</v>
      </c>
    </row>
    <row r="420" spans="1:5">
      <c r="A420" s="1">
        <v>419</v>
      </c>
      <c r="B420" s="1" t="s">
        <v>4</v>
      </c>
      <c r="C420" s="2">
        <v>3.1250004098139797E-5</v>
      </c>
      <c r="E420" s="26">
        <v>3.1199999999999999E-5</v>
      </c>
    </row>
    <row r="421" spans="1:5">
      <c r="A421" s="1">
        <v>420</v>
      </c>
      <c r="B421" s="1" t="s">
        <v>4</v>
      </c>
      <c r="C421" s="2">
        <v>3.1250004689782702E-5</v>
      </c>
      <c r="E421" s="26">
        <v>3.1300000000000002E-5</v>
      </c>
    </row>
    <row r="422" spans="1:5">
      <c r="A422" s="1">
        <v>421</v>
      </c>
      <c r="B422" s="1" t="s">
        <v>4</v>
      </c>
      <c r="C422" s="2">
        <v>3.1250018494486901E-5</v>
      </c>
      <c r="E422" s="26">
        <v>3.1300000000000002E-5</v>
      </c>
    </row>
    <row r="423" spans="1:5">
      <c r="A423" s="1">
        <v>422</v>
      </c>
      <c r="B423" s="1" t="s">
        <v>4</v>
      </c>
      <c r="C423" s="2">
        <v>3.1250010761637303E-5</v>
      </c>
      <c r="E423" s="26">
        <v>3.1300000000000002E-5</v>
      </c>
    </row>
    <row r="424" spans="1:5">
      <c r="A424" s="1">
        <v>423</v>
      </c>
      <c r="B424" s="1" t="s">
        <v>4</v>
      </c>
      <c r="C424" s="2">
        <v>3.1250005255627402E-5</v>
      </c>
      <c r="E424" s="26">
        <v>3.1300000000000002E-5</v>
      </c>
    </row>
    <row r="425" spans="1:5">
      <c r="A425" s="1">
        <v>424</v>
      </c>
      <c r="B425" s="1" t="s">
        <v>4</v>
      </c>
      <c r="C425" s="2">
        <v>3.1250000479773597E-5</v>
      </c>
      <c r="E425" s="26">
        <v>3.1300000000000002E-5</v>
      </c>
    </row>
    <row r="426" spans="1:5">
      <c r="A426" s="1">
        <v>425</v>
      </c>
      <c r="B426" s="1" t="s">
        <v>4</v>
      </c>
      <c r="C426" s="2">
        <v>3.1249986689388497E-5</v>
      </c>
      <c r="E426" s="26">
        <v>3.1199999999999999E-5</v>
      </c>
    </row>
    <row r="427" spans="1:5">
      <c r="A427" s="1">
        <v>426</v>
      </c>
      <c r="B427" s="1" t="s">
        <v>4</v>
      </c>
      <c r="C427" s="2">
        <v>3.1250004265968201E-5</v>
      </c>
      <c r="E427" s="26">
        <v>3.1199999999999999E-5</v>
      </c>
    </row>
    <row r="428" spans="1:5">
      <c r="A428" s="1">
        <v>427</v>
      </c>
      <c r="B428" s="1" t="s">
        <v>4</v>
      </c>
      <c r="C428" s="2">
        <v>3.1250010536474498E-5</v>
      </c>
      <c r="E428" s="26">
        <v>3.1300000000000002E-5</v>
      </c>
    </row>
    <row r="429" spans="1:5">
      <c r="A429" s="1">
        <v>428</v>
      </c>
      <c r="B429" s="1" t="s">
        <v>4</v>
      </c>
      <c r="C429" s="2">
        <v>3.12500218257556E-5</v>
      </c>
      <c r="E429" s="26">
        <v>3.1300000000000002E-5</v>
      </c>
    </row>
    <row r="430" spans="1:5">
      <c r="A430" s="1">
        <v>429</v>
      </c>
      <c r="B430" s="1" t="s">
        <v>4</v>
      </c>
      <c r="C430" s="2">
        <v>3.1250015455689897E-5</v>
      </c>
      <c r="E430" s="26">
        <v>3.1300000000000002E-5</v>
      </c>
    </row>
    <row r="431" spans="1:5">
      <c r="A431" s="1">
        <v>430</v>
      </c>
      <c r="B431" s="1" t="s">
        <v>4</v>
      </c>
      <c r="C431" s="2">
        <v>3.1249999506072301E-5</v>
      </c>
      <c r="E431" s="26">
        <v>3.1300000000000002E-5</v>
      </c>
    </row>
    <row r="432" spans="1:5">
      <c r="A432" s="1">
        <v>431</v>
      </c>
      <c r="B432" s="1" t="s">
        <v>4</v>
      </c>
      <c r="C432" s="2">
        <v>3.1250012462834903E-5</v>
      </c>
      <c r="E432" s="26">
        <v>3.1199999999999999E-5</v>
      </c>
    </row>
    <row r="433" spans="1:5">
      <c r="A433" s="1">
        <v>432</v>
      </c>
      <c r="B433" s="1" t="s">
        <v>4</v>
      </c>
      <c r="C433" s="2">
        <v>3.12500117892106E-5</v>
      </c>
      <c r="E433" s="26">
        <v>3.1300000000000002E-5</v>
      </c>
    </row>
    <row r="434" spans="1:5">
      <c r="A434" s="1">
        <v>433</v>
      </c>
      <c r="B434" s="1" t="s">
        <v>4</v>
      </c>
      <c r="C434" s="2">
        <v>3.1250001727632598E-5</v>
      </c>
      <c r="E434" s="26">
        <v>3.1300000000000002E-5</v>
      </c>
    </row>
    <row r="435" spans="1:5">
      <c r="A435" s="1">
        <v>434</v>
      </c>
      <c r="B435" s="1" t="s">
        <v>4</v>
      </c>
      <c r="C435" s="2">
        <v>3.1250000626724103E-5</v>
      </c>
      <c r="E435" s="26">
        <v>3.1300000000000002E-5</v>
      </c>
    </row>
    <row r="436" spans="1:5">
      <c r="A436" s="1">
        <v>435</v>
      </c>
      <c r="B436" s="1" t="s">
        <v>4</v>
      </c>
      <c r="C436" s="2">
        <v>3.1250009100295598E-5</v>
      </c>
      <c r="E436" s="26">
        <v>3.1300000000000002E-5</v>
      </c>
    </row>
    <row r="437" spans="1:5">
      <c r="A437" s="1">
        <v>436</v>
      </c>
      <c r="B437" s="1" t="s">
        <v>4</v>
      </c>
      <c r="C437" s="2">
        <v>3.1250003763316502E-5</v>
      </c>
      <c r="E437" s="26">
        <v>3.1300000000000002E-5</v>
      </c>
    </row>
    <row r="438" spans="1:5">
      <c r="A438" s="1">
        <v>437</v>
      </c>
      <c r="B438" s="1" t="s">
        <v>4</v>
      </c>
      <c r="C438" s="2">
        <v>3.1250007373242798E-5</v>
      </c>
      <c r="E438" s="26">
        <v>3.1300000000000002E-5</v>
      </c>
    </row>
    <row r="439" spans="1:5">
      <c r="A439" s="1">
        <v>438</v>
      </c>
      <c r="B439" s="1" t="s">
        <v>4</v>
      </c>
      <c r="C439" s="2">
        <v>3.1250009947471897E-5</v>
      </c>
      <c r="E439" s="26">
        <v>3.1300000000000002E-5</v>
      </c>
    </row>
    <row r="440" spans="1:5">
      <c r="A440" s="1">
        <v>439</v>
      </c>
      <c r="B440" s="1" t="s">
        <v>4</v>
      </c>
      <c r="C440" s="2">
        <v>3.12500002237965E-5</v>
      </c>
      <c r="E440" s="26">
        <v>3.1300000000000002E-5</v>
      </c>
    </row>
    <row r="441" spans="1:5">
      <c r="A441" s="1">
        <v>440</v>
      </c>
      <c r="B441" s="1" t="s">
        <v>4</v>
      </c>
      <c r="C441" s="2">
        <v>3.1250011180130702E-5</v>
      </c>
      <c r="E441" s="26">
        <v>3.1300000000000002E-5</v>
      </c>
    </row>
    <row r="442" spans="1:5">
      <c r="A442" s="1">
        <v>441</v>
      </c>
      <c r="B442" s="1" t="s">
        <v>4</v>
      </c>
      <c r="C442" s="2">
        <v>3.1250010390459903E-5</v>
      </c>
      <c r="E442" s="26">
        <v>3.1300000000000002E-5</v>
      </c>
    </row>
    <row r="443" spans="1:5">
      <c r="A443" s="1">
        <v>442</v>
      </c>
      <c r="B443" s="1" t="s">
        <v>4</v>
      </c>
      <c r="C443" s="2">
        <v>3.1249997962418397E-5</v>
      </c>
      <c r="E443" s="26">
        <v>3.1300000000000002E-5</v>
      </c>
    </row>
    <row r="444" spans="1:5">
      <c r="A444" s="1">
        <v>443</v>
      </c>
      <c r="B444" s="1" t="s">
        <v>4</v>
      </c>
      <c r="C444" s="2">
        <v>3.1250008745319499E-5</v>
      </c>
      <c r="E444" s="26">
        <v>3.1300000000000002E-5</v>
      </c>
    </row>
    <row r="445" spans="1:5">
      <c r="A445" s="1">
        <v>444</v>
      </c>
      <c r="B445" s="1" t="s">
        <v>4</v>
      </c>
      <c r="C445" s="2">
        <v>3.1250023658471599E-5</v>
      </c>
      <c r="E445" s="26">
        <v>3.1300000000000002E-5</v>
      </c>
    </row>
    <row r="446" spans="1:5">
      <c r="A446" s="1">
        <v>445</v>
      </c>
      <c r="B446" s="1" t="s">
        <v>4</v>
      </c>
      <c r="C446" s="2">
        <v>3.1250007100069401E-5</v>
      </c>
      <c r="E446" s="26">
        <v>3.1300000000000002E-5</v>
      </c>
    </row>
    <row r="447" spans="1:5">
      <c r="A447" s="1">
        <v>446</v>
      </c>
      <c r="B447" s="1" t="s">
        <v>4</v>
      </c>
      <c r="C447" s="2">
        <v>3.12500163124524E-5</v>
      </c>
      <c r="E447" s="26">
        <v>3.1199999999999999E-5</v>
      </c>
    </row>
    <row r="448" spans="1:5">
      <c r="A448" s="1">
        <v>447</v>
      </c>
      <c r="B448" s="1" t="s">
        <v>4</v>
      </c>
      <c r="C448" s="2">
        <v>3.1250008853073697E-5</v>
      </c>
      <c r="E448" s="26">
        <v>3.1199999999999999E-5</v>
      </c>
    </row>
    <row r="449" spans="1:5">
      <c r="A449" s="1">
        <v>448</v>
      </c>
      <c r="B449" s="1" t="s">
        <v>4</v>
      </c>
      <c r="C449" s="2">
        <v>3.12499987250484E-5</v>
      </c>
      <c r="E449" s="26">
        <v>3.1199999999999999E-5</v>
      </c>
    </row>
    <row r="450" spans="1:5">
      <c r="A450" s="1">
        <v>449</v>
      </c>
      <c r="B450" s="1" t="s">
        <v>4</v>
      </c>
      <c r="C450" s="2">
        <v>3.1249999423420201E-5</v>
      </c>
      <c r="E450" s="26">
        <v>3.1300000000000002E-5</v>
      </c>
    </row>
    <row r="451" spans="1:5">
      <c r="A451" s="1">
        <v>450</v>
      </c>
      <c r="B451" s="1" t="s">
        <v>4</v>
      </c>
      <c r="C451" s="2">
        <v>3.1250011199303902E-5</v>
      </c>
      <c r="E451" s="26">
        <v>3.1300000000000002E-5</v>
      </c>
    </row>
    <row r="452" spans="1:5">
      <c r="A452" s="1">
        <v>451</v>
      </c>
      <c r="B452" s="1" t="s">
        <v>4</v>
      </c>
      <c r="C452" s="2">
        <v>3.1250002786687297E-5</v>
      </c>
      <c r="E452" s="26">
        <v>3.1300000000000002E-5</v>
      </c>
    </row>
    <row r="453" spans="1:5">
      <c r="A453" s="1">
        <v>452</v>
      </c>
      <c r="B453" s="1" t="s">
        <v>180</v>
      </c>
      <c r="C453" s="2">
        <v>3.1250005452204498E-5</v>
      </c>
      <c r="E453" s="26">
        <v>3.1300000000000002E-5</v>
      </c>
    </row>
    <row r="454" spans="1:5">
      <c r="A454" s="1">
        <v>453</v>
      </c>
      <c r="B454" s="1" t="s">
        <v>4</v>
      </c>
      <c r="C454" s="2">
        <v>3.1250007531896101E-5</v>
      </c>
      <c r="E454" s="26">
        <v>3.1199999999999999E-5</v>
      </c>
    </row>
    <row r="455" spans="1:5">
      <c r="A455" s="1">
        <v>454</v>
      </c>
      <c r="B455" s="1" t="s">
        <v>4</v>
      </c>
      <c r="C455" s="2">
        <v>3.1250006111083299E-5</v>
      </c>
      <c r="E455" s="26">
        <v>3.1300000000000002E-5</v>
      </c>
    </row>
    <row r="456" spans="1:5">
      <c r="A456" s="1">
        <v>455</v>
      </c>
      <c r="B456" s="1" t="s">
        <v>4</v>
      </c>
      <c r="C456" s="2">
        <v>3.1249999937841098E-5</v>
      </c>
      <c r="E456" s="26">
        <v>3.1300000000000002E-5</v>
      </c>
    </row>
    <row r="457" spans="1:5">
      <c r="A457" s="1">
        <v>456</v>
      </c>
      <c r="B457" s="1" t="s">
        <v>4</v>
      </c>
      <c r="C457" s="2">
        <v>3.1250007303677398E-5</v>
      </c>
      <c r="E457" s="26">
        <v>3.1199999999999999E-5</v>
      </c>
    </row>
    <row r="458" spans="1:5">
      <c r="A458" s="1">
        <v>457</v>
      </c>
      <c r="B458" s="1" t="s">
        <v>4</v>
      </c>
      <c r="C458" s="2">
        <v>3.1250005488744801E-5</v>
      </c>
      <c r="E458" s="26">
        <v>3.1199999999999999E-5</v>
      </c>
    </row>
    <row r="459" spans="1:5">
      <c r="A459" s="1">
        <v>458</v>
      </c>
      <c r="B459" s="1" t="s">
        <v>180</v>
      </c>
      <c r="C459" s="2">
        <v>3.1250001508345702E-5</v>
      </c>
      <c r="E459" s="26">
        <v>3.1300000000000002E-5</v>
      </c>
    </row>
    <row r="460" spans="1:5">
      <c r="A460" s="1">
        <v>459</v>
      </c>
      <c r="B460" s="1" t="s">
        <v>4</v>
      </c>
      <c r="C460" s="2">
        <v>3.12500027789143E-5</v>
      </c>
      <c r="E460" s="26">
        <v>3.1199999999999999E-5</v>
      </c>
    </row>
    <row r="461" spans="1:5">
      <c r="A461" s="1">
        <v>460</v>
      </c>
      <c r="B461" s="1" t="s">
        <v>4</v>
      </c>
      <c r="C461" s="2">
        <v>3.1250008157204899E-5</v>
      </c>
      <c r="E461" s="26">
        <v>3.1300000000000002E-5</v>
      </c>
    </row>
    <row r="462" spans="1:5">
      <c r="A462" s="1">
        <v>461</v>
      </c>
      <c r="B462" s="1" t="s">
        <v>4</v>
      </c>
      <c r="C462" s="2">
        <v>3.1250005778428497E-5</v>
      </c>
      <c r="E462" s="26">
        <v>3.1300000000000002E-5</v>
      </c>
    </row>
    <row r="463" spans="1:5">
      <c r="A463" s="1">
        <v>462</v>
      </c>
      <c r="B463" s="1" t="s">
        <v>4</v>
      </c>
      <c r="C463" s="2">
        <v>3.1250003014865098E-5</v>
      </c>
      <c r="E463" s="26">
        <v>3.1300000000000002E-5</v>
      </c>
    </row>
    <row r="464" spans="1:5">
      <c r="A464" s="1">
        <v>463</v>
      </c>
      <c r="B464" s="1" t="s">
        <v>4</v>
      </c>
      <c r="C464" s="2">
        <v>3.1250013011442097E-5</v>
      </c>
      <c r="E464" s="26">
        <v>3.1199999999999999E-5</v>
      </c>
    </row>
    <row r="465" spans="1:5">
      <c r="A465" s="1">
        <v>464</v>
      </c>
      <c r="B465" s="1" t="s">
        <v>4</v>
      </c>
      <c r="C465" s="2">
        <v>3.1250000770344001E-5</v>
      </c>
      <c r="E465" s="26">
        <v>3.1199999999999999E-5</v>
      </c>
    </row>
    <row r="466" spans="1:5">
      <c r="A466" s="1">
        <v>465</v>
      </c>
      <c r="B466" s="1" t="s">
        <v>4</v>
      </c>
      <c r="C466" s="2">
        <v>3.1250007242091503E-5</v>
      </c>
      <c r="E466" s="26">
        <v>3.1300000000000002E-5</v>
      </c>
    </row>
    <row r="467" spans="1:5">
      <c r="A467" s="1">
        <v>466</v>
      </c>
      <c r="B467" s="1" t="s">
        <v>4</v>
      </c>
      <c r="C467" s="2">
        <v>3.1250018380960898E-5</v>
      </c>
      <c r="E467" s="26">
        <v>3.1300000000000002E-5</v>
      </c>
    </row>
    <row r="468" spans="1:5">
      <c r="A468" s="1">
        <v>467</v>
      </c>
      <c r="B468" s="1" t="s">
        <v>4</v>
      </c>
      <c r="C468" s="2">
        <v>3.12500089454076E-5</v>
      </c>
      <c r="E468" s="26">
        <v>3.1300000000000002E-5</v>
      </c>
    </row>
    <row r="469" spans="1:5">
      <c r="A469" s="1">
        <v>468</v>
      </c>
      <c r="B469" s="1" t="s">
        <v>4</v>
      </c>
      <c r="C469" s="2">
        <v>3.1250018953375498E-5</v>
      </c>
      <c r="E469" s="26">
        <v>3.1300000000000002E-5</v>
      </c>
    </row>
    <row r="470" spans="1:5">
      <c r="A470" s="1">
        <v>469</v>
      </c>
      <c r="B470" s="1" t="s">
        <v>4</v>
      </c>
      <c r="C470" s="2">
        <v>3.1250011973486798E-5</v>
      </c>
      <c r="E470" s="26">
        <v>3.1300000000000002E-5</v>
      </c>
    </row>
    <row r="471" spans="1:5">
      <c r="A471" s="1">
        <v>470</v>
      </c>
      <c r="B471" s="1" t="s">
        <v>4</v>
      </c>
      <c r="C471" s="2">
        <v>3.1250000654441298E-5</v>
      </c>
      <c r="E471" s="26">
        <v>3.1300000000000002E-5</v>
      </c>
    </row>
    <row r="472" spans="1:5">
      <c r="A472" s="1">
        <v>471</v>
      </c>
      <c r="B472" s="1" t="s">
        <v>4</v>
      </c>
      <c r="C472" s="2">
        <v>3.1249994930964301E-5</v>
      </c>
      <c r="E472" s="26">
        <v>3.1199999999999999E-5</v>
      </c>
    </row>
    <row r="473" spans="1:5">
      <c r="A473" s="1">
        <v>472</v>
      </c>
      <c r="B473" s="1" t="s">
        <v>4</v>
      </c>
      <c r="C473" s="2">
        <v>3.1249997642781502E-5</v>
      </c>
      <c r="E473" s="26">
        <v>3.1300000000000002E-5</v>
      </c>
    </row>
    <row r="474" spans="1:5">
      <c r="A474" s="1">
        <v>473</v>
      </c>
      <c r="B474" s="1" t="s">
        <v>4</v>
      </c>
      <c r="C474" s="2">
        <v>3.12499992169126E-5</v>
      </c>
      <c r="E474" s="26">
        <v>3.1300000000000002E-5</v>
      </c>
    </row>
    <row r="475" spans="1:5">
      <c r="A475" s="1">
        <v>474</v>
      </c>
      <c r="B475" s="1" t="s">
        <v>4</v>
      </c>
      <c r="C475" s="2">
        <v>3.1250014525856999E-5</v>
      </c>
      <c r="E475" s="26">
        <v>3.1300000000000002E-5</v>
      </c>
    </row>
    <row r="476" spans="1:5">
      <c r="A476" s="1">
        <v>475</v>
      </c>
      <c r="B476" s="1" t="s">
        <v>4</v>
      </c>
      <c r="C476" s="2">
        <v>3.1250009721250098E-5</v>
      </c>
      <c r="E476" s="26">
        <v>3.1300000000000002E-5</v>
      </c>
    </row>
    <row r="477" spans="1:5">
      <c r="A477" s="1">
        <v>476</v>
      </c>
      <c r="B477" s="1" t="s">
        <v>4</v>
      </c>
      <c r="C477" s="2">
        <v>3.1250003800387299E-5</v>
      </c>
      <c r="E477" s="26">
        <v>3.1300000000000002E-5</v>
      </c>
    </row>
    <row r="478" spans="1:5">
      <c r="A478" s="1">
        <v>477</v>
      </c>
      <c r="B478" s="1" t="s">
        <v>4</v>
      </c>
      <c r="C478" s="2">
        <v>3.1250015347579003E-5</v>
      </c>
      <c r="E478" s="26">
        <v>3.1300000000000002E-5</v>
      </c>
    </row>
    <row r="479" spans="1:5">
      <c r="A479" s="1">
        <v>478</v>
      </c>
      <c r="B479" s="1" t="s">
        <v>4</v>
      </c>
      <c r="C479" s="2">
        <v>3.12499947265964E-5</v>
      </c>
      <c r="E479" s="26">
        <v>3.1300000000000002E-5</v>
      </c>
    </row>
    <row r="480" spans="1:5">
      <c r="A480" s="1">
        <v>479</v>
      </c>
      <c r="B480" s="1" t="s">
        <v>4</v>
      </c>
      <c r="C480" s="2">
        <v>3.1250003217395399E-5</v>
      </c>
      <c r="E480" s="26">
        <v>3.1300000000000002E-5</v>
      </c>
    </row>
    <row r="481" spans="1:5">
      <c r="A481" s="1">
        <v>480</v>
      </c>
      <c r="B481" s="1" t="s">
        <v>4</v>
      </c>
      <c r="C481" s="2">
        <v>3.1250000866305001E-5</v>
      </c>
      <c r="E481" s="26">
        <v>3.1300000000000002E-5</v>
      </c>
    </row>
    <row r="482" spans="1:5">
      <c r="A482" s="1">
        <v>481</v>
      </c>
      <c r="B482" s="1" t="s">
        <v>4</v>
      </c>
      <c r="C482" s="2">
        <v>3.1249995167744603E-5</v>
      </c>
      <c r="E482" s="26">
        <v>3.1199999999999999E-5</v>
      </c>
    </row>
    <row r="483" spans="1:5">
      <c r="A483" s="1">
        <v>482</v>
      </c>
      <c r="B483" s="1" t="s">
        <v>4</v>
      </c>
      <c r="C483" s="2">
        <v>3.1249994827580101E-5</v>
      </c>
      <c r="E483" s="26">
        <v>3.1300000000000002E-5</v>
      </c>
    </row>
    <row r="484" spans="1:5">
      <c r="A484" s="1">
        <v>483</v>
      </c>
      <c r="B484" s="1" t="s">
        <v>180</v>
      </c>
      <c r="C484" s="2">
        <v>3.1250000501593098E-5</v>
      </c>
      <c r="E484" s="26">
        <v>3.1199999999999999E-5</v>
      </c>
    </row>
    <row r="485" spans="1:5">
      <c r="A485" s="1">
        <v>484</v>
      </c>
      <c r="B485" s="1" t="s">
        <v>4</v>
      </c>
      <c r="C485" s="2">
        <v>3.1250005907157502E-5</v>
      </c>
      <c r="E485" s="26">
        <v>3.1199999999999999E-5</v>
      </c>
    </row>
    <row r="486" spans="1:5">
      <c r="A486" s="1">
        <v>485</v>
      </c>
      <c r="B486" s="1" t="s">
        <v>4</v>
      </c>
      <c r="C486" s="2">
        <v>3.1249995659860303E-5</v>
      </c>
      <c r="E486" s="26">
        <v>3.1300000000000002E-5</v>
      </c>
    </row>
    <row r="487" spans="1:5">
      <c r="A487" s="1">
        <v>486</v>
      </c>
      <c r="B487" s="1" t="s">
        <v>4</v>
      </c>
      <c r="C487" s="2">
        <v>3.1250000244580398E-5</v>
      </c>
      <c r="E487" s="26">
        <v>3.1300000000000002E-5</v>
      </c>
    </row>
    <row r="488" spans="1:5">
      <c r="A488" s="1">
        <v>487</v>
      </c>
      <c r="B488" s="1" t="s">
        <v>4</v>
      </c>
      <c r="C488" s="2">
        <v>3.1250005238335902E-5</v>
      </c>
      <c r="E488" s="26">
        <v>3.1300000000000002E-5</v>
      </c>
    </row>
    <row r="489" spans="1:5">
      <c r="A489" s="1">
        <v>488</v>
      </c>
      <c r="B489" s="1" t="s">
        <v>4</v>
      </c>
      <c r="C489" s="2">
        <v>3.1250005951708602E-5</v>
      </c>
      <c r="E489" s="26">
        <v>3.1300000000000002E-5</v>
      </c>
    </row>
    <row r="490" spans="1:5">
      <c r="A490" s="1">
        <v>489</v>
      </c>
      <c r="B490" s="1" t="s">
        <v>4</v>
      </c>
      <c r="C490" s="2">
        <v>3.1249999196674699E-5</v>
      </c>
      <c r="E490" s="26">
        <v>3.1300000000000002E-5</v>
      </c>
    </row>
    <row r="491" spans="1:5">
      <c r="A491" s="1">
        <v>490</v>
      </c>
      <c r="B491" s="1" t="s">
        <v>4</v>
      </c>
      <c r="C491" s="2">
        <v>3.1249999478483699E-5</v>
      </c>
      <c r="E491" s="26">
        <v>3.1199999999999999E-5</v>
      </c>
    </row>
    <row r="492" spans="1:5">
      <c r="A492" s="1">
        <v>491</v>
      </c>
      <c r="B492" s="1" t="s">
        <v>4</v>
      </c>
      <c r="C492" s="2">
        <v>3.1250002190341103E-5</v>
      </c>
      <c r="E492" s="26">
        <v>3.1300000000000002E-5</v>
      </c>
    </row>
    <row r="493" spans="1:5">
      <c r="A493" s="1">
        <v>492</v>
      </c>
      <c r="B493" s="1" t="s">
        <v>4</v>
      </c>
      <c r="C493" s="2">
        <v>3.1250019300932198E-5</v>
      </c>
      <c r="E493" s="26">
        <v>3.1300000000000002E-5</v>
      </c>
    </row>
    <row r="494" spans="1:5">
      <c r="A494" s="1">
        <v>493</v>
      </c>
      <c r="B494" s="1" t="s">
        <v>180</v>
      </c>
      <c r="C494" s="2">
        <v>3.1250002174924399E-5</v>
      </c>
      <c r="E494" s="26">
        <v>3.1300000000000002E-5</v>
      </c>
    </row>
    <row r="495" spans="1:5">
      <c r="A495" s="1">
        <v>494</v>
      </c>
      <c r="B495" s="1" t="s">
        <v>4</v>
      </c>
      <c r="C495" s="2">
        <v>3.12500029688941E-5</v>
      </c>
      <c r="E495" s="26">
        <v>3.1300000000000002E-5</v>
      </c>
    </row>
    <row r="496" spans="1:5">
      <c r="A496" s="1">
        <v>495</v>
      </c>
      <c r="B496" s="1" t="s">
        <v>4</v>
      </c>
      <c r="C496" s="2">
        <v>3.1250007826974299E-5</v>
      </c>
      <c r="E496" s="26">
        <v>3.1300000000000002E-5</v>
      </c>
    </row>
    <row r="497" spans="1:5">
      <c r="A497" s="1">
        <v>496</v>
      </c>
      <c r="B497" s="1" t="s">
        <v>4</v>
      </c>
      <c r="C497" s="2">
        <v>3.1250005709244201E-5</v>
      </c>
      <c r="E497" s="26">
        <v>3.1300000000000002E-5</v>
      </c>
    </row>
    <row r="498" spans="1:5">
      <c r="A498" s="1">
        <v>497</v>
      </c>
      <c r="B498" s="1" t="s">
        <v>4</v>
      </c>
      <c r="C498" s="2">
        <v>3.12500010533005E-5</v>
      </c>
      <c r="E498" s="26">
        <v>3.1300000000000002E-5</v>
      </c>
    </row>
    <row r="499" spans="1:5">
      <c r="A499" s="1">
        <v>498</v>
      </c>
      <c r="B499" s="1" t="s">
        <v>180</v>
      </c>
      <c r="C499" s="2">
        <v>3.12499984177613E-5</v>
      </c>
      <c r="E499" s="26">
        <v>3.1300000000000002E-5</v>
      </c>
    </row>
    <row r="500" spans="1:5">
      <c r="A500" s="1">
        <v>499</v>
      </c>
      <c r="B500" s="1" t="s">
        <v>4</v>
      </c>
      <c r="C500" s="2">
        <v>3.1249997775012601E-5</v>
      </c>
      <c r="E500" s="26">
        <v>3.1300000000000002E-5</v>
      </c>
    </row>
    <row r="501" spans="1:5">
      <c r="A501" s="1">
        <v>500</v>
      </c>
      <c r="B501" s="1" t="s">
        <v>4</v>
      </c>
      <c r="C501" s="2">
        <v>3.1250003289065899E-5</v>
      </c>
      <c r="E501" s="26">
        <v>3.1300000000000002E-5</v>
      </c>
    </row>
    <row r="502" spans="1:5">
      <c r="A502" s="1">
        <v>501</v>
      </c>
      <c r="B502" s="1" t="s">
        <v>4</v>
      </c>
      <c r="C502" s="2">
        <v>3.1250004643658302E-5</v>
      </c>
      <c r="E502" s="26">
        <v>3.1300000000000002E-5</v>
      </c>
    </row>
    <row r="503" spans="1:5">
      <c r="A503" s="1">
        <v>502</v>
      </c>
      <c r="B503" s="1" t="s">
        <v>4</v>
      </c>
      <c r="C503" s="2">
        <v>3.1250009187677502E-5</v>
      </c>
      <c r="E503" s="26">
        <v>3.1300000000000002E-5</v>
      </c>
    </row>
    <row r="504" spans="1:5">
      <c r="A504" s="1">
        <v>503</v>
      </c>
      <c r="B504" s="1" t="s">
        <v>4</v>
      </c>
      <c r="C504" s="2">
        <v>3.1250001546879501E-5</v>
      </c>
      <c r="E504" s="26">
        <v>3.1199999999999999E-5</v>
      </c>
    </row>
    <row r="505" spans="1:5">
      <c r="A505" s="1">
        <v>504</v>
      </c>
      <c r="B505" s="1" t="s">
        <v>180</v>
      </c>
      <c r="C505" s="2">
        <v>3.1249998702198101E-5</v>
      </c>
      <c r="E505" s="26">
        <v>3.1300000000000002E-5</v>
      </c>
    </row>
    <row r="506" spans="1:5">
      <c r="A506" s="1">
        <v>505</v>
      </c>
      <c r="B506" s="1" t="s">
        <v>4</v>
      </c>
      <c r="C506" s="2">
        <v>3.1250003476317799E-5</v>
      </c>
      <c r="E506" s="26">
        <v>3.1300000000000002E-5</v>
      </c>
    </row>
    <row r="507" spans="1:5">
      <c r="A507" s="1">
        <v>506</v>
      </c>
      <c r="B507" s="1" t="s">
        <v>180</v>
      </c>
      <c r="C507" s="2">
        <v>3.1250005297858602E-5</v>
      </c>
      <c r="E507" s="26">
        <v>3.1300000000000002E-5</v>
      </c>
    </row>
    <row r="508" spans="1:5">
      <c r="A508" s="1">
        <v>507</v>
      </c>
      <c r="B508" s="1" t="s">
        <v>180</v>
      </c>
      <c r="C508" s="2">
        <v>3.12499903369988E-5</v>
      </c>
      <c r="E508" s="26">
        <v>3.1199999999999999E-5</v>
      </c>
    </row>
    <row r="509" spans="1:5">
      <c r="A509" s="1">
        <v>508</v>
      </c>
      <c r="B509" s="1" t="s">
        <v>4</v>
      </c>
      <c r="C509" s="2">
        <v>3.1250005218046197E-5</v>
      </c>
      <c r="E509" s="26">
        <v>3.1199999999999999E-5</v>
      </c>
    </row>
    <row r="510" spans="1:5">
      <c r="A510" s="1">
        <v>509</v>
      </c>
      <c r="B510" s="1" t="s">
        <v>4</v>
      </c>
      <c r="C510" s="2">
        <v>3.1250002503848902E-5</v>
      </c>
      <c r="E510" s="26">
        <v>3.1300000000000002E-5</v>
      </c>
    </row>
    <row r="511" spans="1:5">
      <c r="A511" s="1">
        <v>510</v>
      </c>
      <c r="B511" s="1" t="s">
        <v>4</v>
      </c>
      <c r="C511" s="2">
        <v>3.12500077506729E-5</v>
      </c>
      <c r="E511" s="26">
        <v>3.1300000000000002E-5</v>
      </c>
    </row>
    <row r="512" spans="1:5">
      <c r="A512" s="1">
        <v>511</v>
      </c>
      <c r="B512" s="1" t="s">
        <v>4</v>
      </c>
      <c r="C512" s="2">
        <v>3.1250002923766197E-5</v>
      </c>
      <c r="E512" s="26">
        <v>3.1300000000000002E-5</v>
      </c>
    </row>
    <row r="513" spans="1:5">
      <c r="A513" s="1">
        <v>512</v>
      </c>
      <c r="B513" s="1" t="s">
        <v>180</v>
      </c>
      <c r="C513" s="2">
        <v>3.1249999087414903E-5</v>
      </c>
      <c r="E513" s="26">
        <v>3.1300000000000002E-5</v>
      </c>
    </row>
    <row r="514" spans="1:5">
      <c r="A514" s="1">
        <v>513</v>
      </c>
      <c r="B514" s="1" t="s">
        <v>4</v>
      </c>
      <c r="C514" s="2">
        <v>3.1249998838887501E-5</v>
      </c>
      <c r="E514" s="26">
        <v>3.1300000000000002E-5</v>
      </c>
    </row>
    <row r="515" spans="1:5">
      <c r="A515" s="1">
        <v>514</v>
      </c>
      <c r="B515" s="1" t="s">
        <v>4</v>
      </c>
      <c r="C515" s="2">
        <v>3.1250002036818699E-5</v>
      </c>
      <c r="E515" s="26">
        <v>3.1300000000000002E-5</v>
      </c>
    </row>
    <row r="516" spans="1:5">
      <c r="A516" s="1">
        <v>515</v>
      </c>
      <c r="B516" s="1" t="s">
        <v>180</v>
      </c>
      <c r="C516" s="2">
        <v>3.1250005064751103E-5</v>
      </c>
      <c r="E516" s="26">
        <v>3.1300000000000002E-5</v>
      </c>
    </row>
    <row r="517" spans="1:5">
      <c r="A517" s="1">
        <v>516</v>
      </c>
      <c r="B517" s="1" t="s">
        <v>4</v>
      </c>
      <c r="C517" s="2">
        <v>3.1249997515516597E-5</v>
      </c>
      <c r="E517" s="26">
        <v>3.1199999999999999E-5</v>
      </c>
    </row>
    <row r="518" spans="1:5">
      <c r="A518" s="1">
        <v>517</v>
      </c>
      <c r="B518" s="1" t="s">
        <v>4</v>
      </c>
      <c r="C518" s="2">
        <v>3.1249997852002001E-5</v>
      </c>
      <c r="E518" s="26">
        <v>3.1199999999999999E-5</v>
      </c>
    </row>
    <row r="519" spans="1:5">
      <c r="A519" s="1">
        <v>518</v>
      </c>
      <c r="B519" s="1" t="s">
        <v>4</v>
      </c>
      <c r="C519" s="2">
        <v>3.12500025699613E-5</v>
      </c>
      <c r="E519" s="26">
        <v>3.1199999999999999E-5</v>
      </c>
    </row>
    <row r="520" spans="1:5">
      <c r="A520" s="1">
        <v>519</v>
      </c>
      <c r="B520" s="1" t="s">
        <v>4</v>
      </c>
      <c r="C520" s="2">
        <v>3.1250006325777E-5</v>
      </c>
      <c r="E520" s="26">
        <v>3.1300000000000002E-5</v>
      </c>
    </row>
    <row r="521" spans="1:5">
      <c r="A521" s="1">
        <v>520</v>
      </c>
      <c r="B521" s="1" t="s">
        <v>4</v>
      </c>
      <c r="C521" s="2">
        <v>3.1250005987596202E-5</v>
      </c>
      <c r="E521" s="26">
        <v>3.1300000000000002E-5</v>
      </c>
    </row>
    <row r="522" spans="1:5">
      <c r="A522" s="1">
        <v>521</v>
      </c>
      <c r="B522" s="1" t="s">
        <v>4</v>
      </c>
      <c r="C522" s="2">
        <v>3.12500021804182E-5</v>
      </c>
      <c r="E522" s="26">
        <v>3.1300000000000002E-5</v>
      </c>
    </row>
    <row r="523" spans="1:5">
      <c r="A523" s="1">
        <v>522</v>
      </c>
      <c r="B523" s="1" t="s">
        <v>180</v>
      </c>
      <c r="C523" s="2">
        <v>3.1250002041000202E-5</v>
      </c>
      <c r="E523" s="26">
        <v>3.1199999999999999E-5</v>
      </c>
    </row>
    <row r="524" spans="1:5">
      <c r="A524" s="1">
        <v>523</v>
      </c>
      <c r="B524" s="1" t="s">
        <v>4</v>
      </c>
      <c r="C524" s="2">
        <v>3.1250005342657998E-5</v>
      </c>
      <c r="E524" s="26">
        <v>3.1199999999999999E-5</v>
      </c>
    </row>
    <row r="525" spans="1:5">
      <c r="A525" s="1">
        <v>524</v>
      </c>
      <c r="B525" s="1" t="s">
        <v>4</v>
      </c>
      <c r="C525" s="2">
        <v>3.1249997334510799E-5</v>
      </c>
      <c r="E525" s="26">
        <v>3.1300000000000002E-5</v>
      </c>
    </row>
    <row r="526" spans="1:5">
      <c r="A526" s="1">
        <v>525</v>
      </c>
      <c r="B526" s="1" t="s">
        <v>180</v>
      </c>
      <c r="C526" s="2">
        <v>3.1249996899641103E-5</v>
      </c>
      <c r="E526" s="26">
        <v>3.1300000000000002E-5</v>
      </c>
    </row>
    <row r="527" spans="1:5">
      <c r="A527" s="1">
        <v>526</v>
      </c>
      <c r="B527" s="1" t="s">
        <v>4</v>
      </c>
      <c r="C527" s="2">
        <v>3.1250010919904501E-5</v>
      </c>
      <c r="E527" s="26">
        <v>3.1300000000000002E-5</v>
      </c>
    </row>
    <row r="528" spans="1:5">
      <c r="A528" s="1">
        <v>527</v>
      </c>
      <c r="B528" s="1" t="s">
        <v>4</v>
      </c>
      <c r="C528" s="2">
        <v>3.1250002629278503E-5</v>
      </c>
      <c r="E528" s="26">
        <v>3.1300000000000002E-5</v>
      </c>
    </row>
    <row r="529" spans="1:5">
      <c r="A529" s="1">
        <v>528</v>
      </c>
      <c r="B529" s="1" t="s">
        <v>4</v>
      </c>
      <c r="C529" s="2">
        <v>3.1250002066245403E-5</v>
      </c>
      <c r="E529" s="26">
        <v>3.1300000000000002E-5</v>
      </c>
    </row>
    <row r="530" spans="1:5">
      <c r="A530" s="1">
        <v>529</v>
      </c>
      <c r="B530" s="1" t="s">
        <v>4</v>
      </c>
      <c r="C530" s="2">
        <v>3.1250007627971497E-5</v>
      </c>
      <c r="E530" s="26">
        <v>3.1300000000000002E-5</v>
      </c>
    </row>
    <row r="531" spans="1:5">
      <c r="A531" s="1">
        <v>530</v>
      </c>
      <c r="B531" s="1" t="s">
        <v>4</v>
      </c>
      <c r="C531" s="2">
        <v>3.1250006473973702E-5</v>
      </c>
      <c r="E531" s="26">
        <v>3.1300000000000002E-5</v>
      </c>
    </row>
    <row r="532" spans="1:5">
      <c r="A532" s="1">
        <v>531</v>
      </c>
      <c r="B532" s="1" t="s">
        <v>180</v>
      </c>
      <c r="C532" s="2">
        <v>3.1249999105386299E-5</v>
      </c>
      <c r="E532" s="26">
        <v>3.1300000000000002E-5</v>
      </c>
    </row>
    <row r="533" spans="1:5">
      <c r="A533" s="1">
        <v>532</v>
      </c>
      <c r="B533" s="1" t="s">
        <v>4</v>
      </c>
      <c r="C533" s="2">
        <v>3.1250002382201499E-5</v>
      </c>
      <c r="E533" s="26">
        <v>3.1300000000000002E-5</v>
      </c>
    </row>
    <row r="534" spans="1:5">
      <c r="A534" s="1">
        <v>533</v>
      </c>
      <c r="B534" s="1" t="s">
        <v>4</v>
      </c>
      <c r="C534" s="2">
        <v>3.1250011777153201E-5</v>
      </c>
      <c r="E534" s="26">
        <v>3.1300000000000002E-5</v>
      </c>
    </row>
    <row r="535" spans="1:5">
      <c r="A535" s="1">
        <v>534</v>
      </c>
      <c r="B535" s="1" t="s">
        <v>4</v>
      </c>
      <c r="C535" s="2">
        <v>3.1250009143323997E-5</v>
      </c>
      <c r="E535" s="26">
        <v>3.1300000000000002E-5</v>
      </c>
    </row>
    <row r="536" spans="1:5">
      <c r="A536" s="1">
        <v>535</v>
      </c>
      <c r="B536" s="1" t="s">
        <v>180</v>
      </c>
      <c r="C536" s="2">
        <v>3.12500034599975E-5</v>
      </c>
      <c r="E536" s="26">
        <v>3.1199999999999999E-5</v>
      </c>
    </row>
    <row r="537" spans="1:5">
      <c r="A537" s="1">
        <v>536</v>
      </c>
      <c r="B537" s="1" t="s">
        <v>180</v>
      </c>
      <c r="C537" s="2">
        <v>3.1250002586967797E-5</v>
      </c>
      <c r="E537" s="26">
        <v>3.1300000000000002E-5</v>
      </c>
    </row>
    <row r="538" spans="1:5">
      <c r="A538" s="1">
        <v>537</v>
      </c>
      <c r="B538" s="1" t="s">
        <v>4</v>
      </c>
      <c r="C538" s="2">
        <v>3.1250001558788398E-5</v>
      </c>
      <c r="E538" s="26">
        <v>3.1300000000000002E-5</v>
      </c>
    </row>
    <row r="539" spans="1:5">
      <c r="A539" s="1">
        <v>538</v>
      </c>
      <c r="B539" s="1" t="s">
        <v>4</v>
      </c>
      <c r="C539" s="2">
        <v>3.1250000139744601E-5</v>
      </c>
      <c r="E539" s="26">
        <v>3.1300000000000002E-5</v>
      </c>
    </row>
    <row r="540" spans="1:5">
      <c r="A540" s="1">
        <v>539</v>
      </c>
      <c r="B540" s="1" t="s">
        <v>4</v>
      </c>
      <c r="C540" s="2">
        <v>3.1250003126674599E-5</v>
      </c>
      <c r="E540" s="26">
        <v>3.1300000000000002E-5</v>
      </c>
    </row>
    <row r="541" spans="1:5">
      <c r="A541" s="1">
        <v>540</v>
      </c>
      <c r="B541" s="1" t="s">
        <v>4</v>
      </c>
      <c r="C541" s="2">
        <v>3.1250000672653401E-5</v>
      </c>
      <c r="E541" s="26">
        <v>3.1300000000000002E-5</v>
      </c>
    </row>
    <row r="542" spans="1:5">
      <c r="A542" s="1">
        <v>541</v>
      </c>
      <c r="B542" s="1" t="s">
        <v>4</v>
      </c>
      <c r="C542" s="2">
        <v>3.1249997678950601E-5</v>
      </c>
      <c r="E542" s="26">
        <v>3.1199999999999999E-5</v>
      </c>
    </row>
    <row r="543" spans="1:5">
      <c r="A543" s="1">
        <v>542</v>
      </c>
      <c r="B543" s="1" t="s">
        <v>4</v>
      </c>
      <c r="C543" s="2">
        <v>3.1250005148015397E-5</v>
      </c>
      <c r="E543" s="26">
        <v>3.1300000000000002E-5</v>
      </c>
    </row>
    <row r="544" spans="1:5">
      <c r="A544" s="1">
        <v>543</v>
      </c>
      <c r="B544" s="1" t="s">
        <v>4</v>
      </c>
      <c r="C544" s="2">
        <v>3.1250013244233002E-5</v>
      </c>
      <c r="E544" s="26">
        <v>3.1199999999999999E-5</v>
      </c>
    </row>
    <row r="545" spans="1:5">
      <c r="A545" s="1">
        <v>544</v>
      </c>
      <c r="B545" s="1" t="s">
        <v>4</v>
      </c>
      <c r="C545" s="2">
        <v>3.1250008630969299E-5</v>
      </c>
      <c r="E545" s="26">
        <v>3.1300000000000002E-5</v>
      </c>
    </row>
    <row r="546" spans="1:5">
      <c r="A546" s="1">
        <v>545</v>
      </c>
      <c r="B546" s="1" t="s">
        <v>180</v>
      </c>
      <c r="C546" s="2">
        <v>3.1250003929519999E-5</v>
      </c>
      <c r="E546" s="26">
        <v>3.1300000000000002E-5</v>
      </c>
    </row>
    <row r="547" spans="1:5">
      <c r="A547" s="1">
        <v>546</v>
      </c>
      <c r="B547" s="1" t="s">
        <v>180</v>
      </c>
      <c r="C547" s="2">
        <v>3.1249998339033999E-5</v>
      </c>
      <c r="E547" s="26">
        <v>3.1300000000000002E-5</v>
      </c>
    </row>
    <row r="548" spans="1:5">
      <c r="A548" s="1">
        <v>547</v>
      </c>
      <c r="B548" s="1" t="s">
        <v>180</v>
      </c>
      <c r="C548" s="2">
        <v>3.1249999856355498E-5</v>
      </c>
      <c r="E548" s="26">
        <v>3.1300000000000002E-5</v>
      </c>
    </row>
    <row r="549" spans="1:5">
      <c r="A549" s="1">
        <v>548</v>
      </c>
      <c r="B549" s="1" t="s">
        <v>4</v>
      </c>
      <c r="C549" s="2">
        <v>3.1249996424336499E-5</v>
      </c>
      <c r="E549" s="26">
        <v>3.1300000000000002E-5</v>
      </c>
    </row>
    <row r="550" spans="1:5">
      <c r="A550" s="1">
        <v>549</v>
      </c>
      <c r="B550" s="1" t="s">
        <v>4</v>
      </c>
      <c r="C550" s="2">
        <v>3.1249996287532398E-5</v>
      </c>
      <c r="E550" s="26">
        <v>3.1300000000000002E-5</v>
      </c>
    </row>
    <row r="551" spans="1:5">
      <c r="A551" s="1">
        <v>550</v>
      </c>
      <c r="B551" s="1" t="s">
        <v>4</v>
      </c>
      <c r="C551" s="2">
        <v>3.1250000968529402E-5</v>
      </c>
      <c r="E551" s="26">
        <v>3.1300000000000002E-5</v>
      </c>
    </row>
    <row r="552" spans="1:5">
      <c r="A552" s="1">
        <v>551</v>
      </c>
      <c r="B552" s="1" t="s">
        <v>4</v>
      </c>
      <c r="C552" s="2">
        <v>3.1250007251310298E-5</v>
      </c>
      <c r="E552" s="26">
        <v>3.1300000000000002E-5</v>
      </c>
    </row>
    <row r="553" spans="1:5">
      <c r="A553" s="1">
        <v>552</v>
      </c>
      <c r="B553" s="1" t="s">
        <v>180</v>
      </c>
      <c r="C553" s="2">
        <v>3.1249999220030901E-5</v>
      </c>
      <c r="E553" s="26">
        <v>3.1300000000000002E-5</v>
      </c>
    </row>
    <row r="554" spans="1:5">
      <c r="A554" s="1">
        <v>553</v>
      </c>
      <c r="B554" s="1" t="s">
        <v>4</v>
      </c>
      <c r="C554" s="2">
        <v>3.1250006339438801E-5</v>
      </c>
      <c r="E554" s="26">
        <v>3.1199999999999999E-5</v>
      </c>
    </row>
    <row r="555" spans="1:5">
      <c r="A555" s="1">
        <v>554</v>
      </c>
      <c r="B555" s="1" t="s">
        <v>4</v>
      </c>
      <c r="C555" s="2">
        <v>3.1250005859750403E-5</v>
      </c>
      <c r="E555" s="26">
        <v>3.1300000000000002E-5</v>
      </c>
    </row>
    <row r="556" spans="1:5">
      <c r="A556" s="1">
        <v>555</v>
      </c>
      <c r="B556" s="1" t="s">
        <v>4</v>
      </c>
      <c r="C556" s="2">
        <v>3.1250015674566897E-5</v>
      </c>
      <c r="E556" s="26">
        <v>3.1199999999999999E-5</v>
      </c>
    </row>
    <row r="557" spans="1:5">
      <c r="A557" s="1">
        <v>556</v>
      </c>
      <c r="B557" s="1" t="s">
        <v>4</v>
      </c>
      <c r="C557" s="2">
        <v>3.1250006644643E-5</v>
      </c>
      <c r="E557" s="26">
        <v>3.1300000000000002E-5</v>
      </c>
    </row>
    <row r="558" spans="1:5">
      <c r="A558" s="1">
        <v>557</v>
      </c>
      <c r="B558" s="1" t="s">
        <v>4</v>
      </c>
      <c r="C558" s="2">
        <v>3.1250004423614999E-5</v>
      </c>
      <c r="E558" s="26">
        <v>3.1300000000000002E-5</v>
      </c>
    </row>
    <row r="559" spans="1:5">
      <c r="A559" s="1">
        <v>558</v>
      </c>
      <c r="B559" s="1" t="s">
        <v>4</v>
      </c>
      <c r="C559" s="2">
        <v>3.1249998956100598E-5</v>
      </c>
      <c r="E559" s="26">
        <v>3.1300000000000002E-5</v>
      </c>
    </row>
    <row r="560" spans="1:5">
      <c r="A560" s="1">
        <v>559</v>
      </c>
      <c r="B560" s="1" t="s">
        <v>4</v>
      </c>
      <c r="C560" s="2">
        <v>3.1249998579444399E-5</v>
      </c>
      <c r="E560" s="26">
        <v>3.1300000000000002E-5</v>
      </c>
    </row>
    <row r="561" spans="1:5">
      <c r="A561" s="1">
        <v>560</v>
      </c>
      <c r="B561" s="1" t="s">
        <v>180</v>
      </c>
      <c r="C561" s="2">
        <v>3.1250001271965498E-5</v>
      </c>
      <c r="E561" s="26">
        <v>3.1300000000000002E-5</v>
      </c>
    </row>
    <row r="562" spans="1:5">
      <c r="A562" s="1">
        <v>561</v>
      </c>
      <c r="B562" s="1" t="s">
        <v>4</v>
      </c>
      <c r="C562" s="2">
        <v>3.12499967384396E-5</v>
      </c>
      <c r="E562" s="26">
        <v>3.1300000000000002E-5</v>
      </c>
    </row>
    <row r="563" spans="1:5">
      <c r="A563" s="1">
        <v>562</v>
      </c>
      <c r="B563" s="1" t="s">
        <v>180</v>
      </c>
      <c r="C563" s="2">
        <v>3.12500116877184E-5</v>
      </c>
      <c r="E563" s="26">
        <v>3.1300000000000002E-5</v>
      </c>
    </row>
    <row r="564" spans="1:5">
      <c r="A564" s="1">
        <v>563</v>
      </c>
      <c r="B564" s="1" t="s">
        <v>180</v>
      </c>
      <c r="C564" s="2">
        <v>3.1250004393493897E-5</v>
      </c>
      <c r="E564" s="26">
        <v>3.1300000000000002E-5</v>
      </c>
    </row>
    <row r="565" spans="1:5">
      <c r="A565" s="1">
        <v>564</v>
      </c>
      <c r="B565" s="1" t="s">
        <v>4</v>
      </c>
      <c r="C565" s="2">
        <v>3.1250000104196302E-5</v>
      </c>
      <c r="E565" s="26">
        <v>3.1300000000000002E-5</v>
      </c>
    </row>
    <row r="566" spans="1:5">
      <c r="A566" s="1">
        <v>565</v>
      </c>
      <c r="B566" s="1" t="s">
        <v>4</v>
      </c>
      <c r="C566" s="2">
        <v>3.12500099492029E-5</v>
      </c>
      <c r="E566" s="26">
        <v>3.1300000000000002E-5</v>
      </c>
    </row>
    <row r="567" spans="1:5">
      <c r="A567" s="1">
        <v>566</v>
      </c>
      <c r="B567" s="1" t="s">
        <v>4</v>
      </c>
      <c r="C567" s="2">
        <v>3.1250007014250401E-5</v>
      </c>
      <c r="E567" s="26">
        <v>3.1300000000000002E-5</v>
      </c>
    </row>
    <row r="568" spans="1:5">
      <c r="A568" s="1">
        <v>567</v>
      </c>
      <c r="B568" s="1" t="s">
        <v>180</v>
      </c>
      <c r="C568" s="2">
        <v>3.12499976797345E-5</v>
      </c>
      <c r="E568" s="26">
        <v>3.1300000000000002E-5</v>
      </c>
    </row>
    <row r="569" spans="1:5">
      <c r="A569" s="1">
        <v>568</v>
      </c>
      <c r="B569" s="1" t="s">
        <v>4</v>
      </c>
      <c r="C569" s="2">
        <v>3.1249999694378797E-5</v>
      </c>
      <c r="E569" s="26">
        <v>3.1199999999999999E-5</v>
      </c>
    </row>
    <row r="570" spans="1:5">
      <c r="A570" s="1">
        <v>569</v>
      </c>
      <c r="B570" s="1" t="s">
        <v>4</v>
      </c>
      <c r="C570" s="2">
        <v>3.1249999213715301E-5</v>
      </c>
      <c r="E570" s="26">
        <v>3.1300000000000002E-5</v>
      </c>
    </row>
    <row r="571" spans="1:5">
      <c r="A571" s="1">
        <v>570</v>
      </c>
      <c r="B571" s="1" t="s">
        <v>4</v>
      </c>
      <c r="C571" s="2">
        <v>3.1250001001485401E-5</v>
      </c>
      <c r="E571" s="26">
        <v>3.1300000000000002E-5</v>
      </c>
    </row>
    <row r="572" spans="1:5">
      <c r="A572" s="1">
        <v>571</v>
      </c>
      <c r="B572" s="1" t="s">
        <v>4</v>
      </c>
      <c r="C572" s="2">
        <v>3.1250003224632001E-5</v>
      </c>
      <c r="E572" s="26">
        <v>3.1300000000000002E-5</v>
      </c>
    </row>
    <row r="573" spans="1:5">
      <c r="A573" s="1">
        <v>572</v>
      </c>
      <c r="B573" s="1" t="s">
        <v>4</v>
      </c>
      <c r="C573" s="2">
        <v>3.1250003954175502E-5</v>
      </c>
      <c r="E573" s="26">
        <v>3.1300000000000002E-5</v>
      </c>
    </row>
    <row r="574" spans="1:5">
      <c r="A574" s="1">
        <v>573</v>
      </c>
      <c r="B574" s="1" t="s">
        <v>4</v>
      </c>
      <c r="C574" s="2">
        <v>3.1250016243805902E-5</v>
      </c>
      <c r="E574" s="26">
        <v>3.1300000000000002E-5</v>
      </c>
    </row>
    <row r="575" spans="1:5">
      <c r="A575" s="1">
        <v>574</v>
      </c>
      <c r="B575" s="1" t="s">
        <v>4</v>
      </c>
      <c r="C575" s="2">
        <v>3.1250010147163302E-5</v>
      </c>
      <c r="E575" s="26">
        <v>3.1300000000000002E-5</v>
      </c>
    </row>
    <row r="576" spans="1:5">
      <c r="A576" s="1">
        <v>575</v>
      </c>
      <c r="B576" s="1" t="s">
        <v>180</v>
      </c>
      <c r="C576" s="2">
        <v>3.12500113931883E-5</v>
      </c>
      <c r="E576" s="26">
        <v>3.1199999999999999E-5</v>
      </c>
    </row>
    <row r="577" spans="1:5">
      <c r="A577" s="1">
        <v>576</v>
      </c>
      <c r="B577" s="1" t="s">
        <v>180</v>
      </c>
      <c r="C577" s="2">
        <v>3.1249998604577601E-5</v>
      </c>
      <c r="E577" s="26">
        <v>3.1300000000000002E-5</v>
      </c>
    </row>
    <row r="578" spans="1:5">
      <c r="A578" s="1">
        <v>577</v>
      </c>
      <c r="B578" s="1" t="s">
        <v>4</v>
      </c>
      <c r="C578" s="2">
        <v>3.1250003840917202E-5</v>
      </c>
      <c r="E578" s="26">
        <v>3.1199999999999999E-5</v>
      </c>
    </row>
    <row r="579" spans="1:5">
      <c r="A579" s="1">
        <v>578</v>
      </c>
      <c r="B579" s="1" t="s">
        <v>4</v>
      </c>
      <c r="C579" s="2">
        <v>3.1250006469064597E-5</v>
      </c>
      <c r="E579" s="26">
        <v>3.1199999999999999E-5</v>
      </c>
    </row>
    <row r="580" spans="1:5">
      <c r="A580" s="1">
        <v>579</v>
      </c>
      <c r="B580" s="1" t="s">
        <v>4</v>
      </c>
      <c r="C580" s="2">
        <v>3.1250012312958698E-5</v>
      </c>
      <c r="E580" s="26">
        <v>3.1199999999999999E-5</v>
      </c>
    </row>
    <row r="581" spans="1:5">
      <c r="A581" s="1">
        <v>580</v>
      </c>
      <c r="B581" s="1" t="s">
        <v>4</v>
      </c>
      <c r="C581" s="2">
        <v>3.1250006810484198E-5</v>
      </c>
      <c r="E581" s="26">
        <v>3.1300000000000002E-5</v>
      </c>
    </row>
    <row r="582" spans="1:5">
      <c r="A582" s="1">
        <v>581</v>
      </c>
      <c r="B582" s="1" t="s">
        <v>4</v>
      </c>
      <c r="C582" s="2">
        <v>3.1250003922533401E-5</v>
      </c>
      <c r="E582" s="26">
        <v>3.1300000000000002E-5</v>
      </c>
    </row>
    <row r="583" spans="1:5">
      <c r="A583" s="1">
        <v>582</v>
      </c>
      <c r="B583" s="1" t="s">
        <v>180</v>
      </c>
      <c r="C583" s="2">
        <v>3.1249999409372397E-5</v>
      </c>
      <c r="E583" s="26">
        <v>3.1199999999999999E-5</v>
      </c>
    </row>
    <row r="584" spans="1:5">
      <c r="A584" s="1">
        <v>583</v>
      </c>
      <c r="B584" s="1" t="s">
        <v>180</v>
      </c>
      <c r="C584" s="2">
        <v>3.1250000696671799E-5</v>
      </c>
      <c r="E584" s="26">
        <v>3.1199999999999999E-5</v>
      </c>
    </row>
    <row r="585" spans="1:5">
      <c r="A585" s="1">
        <v>584</v>
      </c>
      <c r="B585" s="1" t="s">
        <v>4</v>
      </c>
      <c r="C585" s="2">
        <v>3.1250003740283501E-5</v>
      </c>
      <c r="E585" s="26">
        <v>3.1300000000000002E-5</v>
      </c>
    </row>
    <row r="586" spans="1:5">
      <c r="A586" s="1">
        <v>585</v>
      </c>
      <c r="B586" s="1" t="s">
        <v>180</v>
      </c>
      <c r="C586" s="2">
        <v>3.1249999468853903E-5</v>
      </c>
      <c r="E586" s="26">
        <v>3.1199999999999999E-5</v>
      </c>
    </row>
    <row r="587" spans="1:5">
      <c r="A587" s="1">
        <v>586</v>
      </c>
      <c r="B587" s="1" t="s">
        <v>180</v>
      </c>
      <c r="C587" s="2">
        <v>3.1250002054271501E-5</v>
      </c>
      <c r="E587" s="26">
        <v>3.1300000000000002E-5</v>
      </c>
    </row>
    <row r="588" spans="1:5">
      <c r="A588" s="1">
        <v>587</v>
      </c>
      <c r="B588" s="1" t="s">
        <v>4</v>
      </c>
      <c r="C588" s="2">
        <v>3.1249998666061602E-5</v>
      </c>
      <c r="E588" s="26">
        <v>3.1300000000000002E-5</v>
      </c>
    </row>
    <row r="589" spans="1:5">
      <c r="A589" s="1">
        <v>588</v>
      </c>
      <c r="B589" s="1" t="s">
        <v>180</v>
      </c>
      <c r="C589" s="2">
        <v>3.1250004005667299E-5</v>
      </c>
      <c r="E589" s="26">
        <v>3.1300000000000002E-5</v>
      </c>
    </row>
    <row r="590" spans="1:5">
      <c r="A590" s="1">
        <v>589</v>
      </c>
      <c r="B590" s="1" t="s">
        <v>4</v>
      </c>
      <c r="C590" s="2">
        <v>3.1250002261242301E-5</v>
      </c>
      <c r="E590" s="26">
        <v>3.1300000000000002E-5</v>
      </c>
    </row>
    <row r="591" spans="1:5">
      <c r="A591" s="1">
        <v>590</v>
      </c>
      <c r="B591" s="1" t="s">
        <v>4</v>
      </c>
      <c r="C591" s="2">
        <v>3.1250003776864598E-5</v>
      </c>
      <c r="E591" s="26">
        <v>3.1300000000000002E-5</v>
      </c>
    </row>
    <row r="592" spans="1:5">
      <c r="A592" s="1">
        <v>591</v>
      </c>
      <c r="B592" s="1" t="s">
        <v>180</v>
      </c>
      <c r="C592" s="2">
        <v>3.1250007702056597E-5</v>
      </c>
      <c r="E592" s="26">
        <v>3.1199999999999999E-5</v>
      </c>
    </row>
    <row r="593" spans="1:5">
      <c r="A593" s="1">
        <v>592</v>
      </c>
      <c r="B593" s="1" t="s">
        <v>4</v>
      </c>
      <c r="C593" s="2">
        <v>3.12500070984643E-5</v>
      </c>
      <c r="E593" s="26">
        <v>3.1300000000000002E-5</v>
      </c>
    </row>
    <row r="594" spans="1:5">
      <c r="A594" s="1">
        <v>593</v>
      </c>
      <c r="B594" s="1" t="s">
        <v>4</v>
      </c>
      <c r="C594" s="2">
        <v>3.12500058992936E-5</v>
      </c>
      <c r="E594" s="26">
        <v>3.1199999999999999E-5</v>
      </c>
    </row>
    <row r="595" spans="1:5">
      <c r="A595" s="1">
        <v>594</v>
      </c>
      <c r="B595" s="1" t="s">
        <v>4</v>
      </c>
      <c r="C595" s="2">
        <v>3.1250000742563902E-5</v>
      </c>
      <c r="E595" s="26">
        <v>3.1300000000000002E-5</v>
      </c>
    </row>
    <row r="596" spans="1:5">
      <c r="A596" s="1">
        <v>595</v>
      </c>
      <c r="B596" s="1" t="s">
        <v>4</v>
      </c>
      <c r="C596" s="2">
        <v>3.12499993033957E-5</v>
      </c>
      <c r="E596" s="26">
        <v>3.1199999999999999E-5</v>
      </c>
    </row>
    <row r="597" spans="1:5">
      <c r="A597" s="1">
        <v>596</v>
      </c>
      <c r="B597" s="1" t="s">
        <v>4</v>
      </c>
      <c r="C597" s="2">
        <v>3.1250004814915401E-5</v>
      </c>
      <c r="E597" s="26">
        <v>3.1300000000000002E-5</v>
      </c>
    </row>
    <row r="598" spans="1:5">
      <c r="A598" s="1">
        <v>597</v>
      </c>
      <c r="B598" s="1" t="s">
        <v>180</v>
      </c>
      <c r="C598" s="2">
        <v>3.1250003160560701E-5</v>
      </c>
      <c r="E598" s="26">
        <v>3.1300000000000002E-5</v>
      </c>
    </row>
    <row r="599" spans="1:5">
      <c r="A599" s="1">
        <v>598</v>
      </c>
      <c r="B599" s="1" t="s">
        <v>4</v>
      </c>
      <c r="C599" s="2">
        <v>3.1249997527849498E-5</v>
      </c>
      <c r="E599" s="26">
        <v>3.1199999999999999E-5</v>
      </c>
    </row>
    <row r="600" spans="1:5">
      <c r="A600" s="1">
        <v>599</v>
      </c>
      <c r="B600" s="1" t="s">
        <v>180</v>
      </c>
      <c r="C600" s="2">
        <v>3.1249999424438802E-5</v>
      </c>
      <c r="E600" s="26">
        <v>3.1300000000000002E-5</v>
      </c>
    </row>
    <row r="601" spans="1:5">
      <c r="A601" s="1">
        <v>600</v>
      </c>
      <c r="B601" s="1" t="s">
        <v>4</v>
      </c>
      <c r="C601" s="2">
        <v>3.12500102495742E-5</v>
      </c>
      <c r="E601" s="26">
        <v>3.1199999999999999E-5</v>
      </c>
    </row>
    <row r="602" spans="1:5">
      <c r="A602" s="1">
        <v>601</v>
      </c>
      <c r="B602" s="1" t="s">
        <v>4</v>
      </c>
      <c r="C602" s="2">
        <v>3.1250006558296197E-5</v>
      </c>
      <c r="E602" s="26">
        <v>3.1300000000000002E-5</v>
      </c>
    </row>
    <row r="603" spans="1:5">
      <c r="A603" s="1">
        <v>602</v>
      </c>
      <c r="B603" s="1" t="s">
        <v>4</v>
      </c>
      <c r="C603" s="2">
        <v>3.1250009947287203E-5</v>
      </c>
      <c r="E603" s="26">
        <v>3.1300000000000002E-5</v>
      </c>
    </row>
    <row r="604" spans="1:5">
      <c r="A604" s="1">
        <v>603</v>
      </c>
      <c r="B604" s="1" t="s">
        <v>180</v>
      </c>
      <c r="C604" s="2">
        <v>3.1249999660523202E-5</v>
      </c>
      <c r="E604" s="26">
        <v>3.1300000000000002E-5</v>
      </c>
    </row>
    <row r="605" spans="1:5">
      <c r="A605" s="1">
        <v>604</v>
      </c>
      <c r="B605" s="1" t="s">
        <v>180</v>
      </c>
      <c r="C605" s="2">
        <v>3.1250003644265202E-5</v>
      </c>
      <c r="E605" s="26">
        <v>3.1300000000000002E-5</v>
      </c>
    </row>
    <row r="606" spans="1:5">
      <c r="A606" s="1">
        <v>605</v>
      </c>
      <c r="B606" s="1" t="s">
        <v>4</v>
      </c>
      <c r="C606" s="2">
        <v>3.1250003153595902E-5</v>
      </c>
      <c r="E606" s="26">
        <v>3.1300000000000002E-5</v>
      </c>
    </row>
    <row r="607" spans="1:5">
      <c r="A607" s="1">
        <v>606</v>
      </c>
      <c r="B607" s="1" t="s">
        <v>180</v>
      </c>
      <c r="C607" s="2">
        <v>3.1250003185373203E-5</v>
      </c>
      <c r="E607" s="26">
        <v>3.1300000000000002E-5</v>
      </c>
    </row>
    <row r="608" spans="1:5">
      <c r="A608" s="1">
        <v>607</v>
      </c>
      <c r="B608" s="1" t="s">
        <v>180</v>
      </c>
      <c r="C608" s="2">
        <v>3.12499981531251E-5</v>
      </c>
      <c r="E608" s="26">
        <v>3.1300000000000002E-5</v>
      </c>
    </row>
    <row r="609" spans="1:5">
      <c r="A609" s="1">
        <v>608</v>
      </c>
      <c r="B609" s="1" t="s">
        <v>4</v>
      </c>
      <c r="C609" s="2">
        <v>3.1250005044650801E-5</v>
      </c>
      <c r="E609" s="26">
        <v>3.1300000000000002E-5</v>
      </c>
    </row>
    <row r="610" spans="1:5">
      <c r="A610" s="1">
        <v>609</v>
      </c>
      <c r="B610" s="1" t="s">
        <v>4</v>
      </c>
      <c r="C610" s="2">
        <v>3.1250008975922599E-5</v>
      </c>
      <c r="E610" s="26">
        <v>3.1300000000000002E-5</v>
      </c>
    </row>
    <row r="611" spans="1:5">
      <c r="A611" s="1">
        <v>610</v>
      </c>
      <c r="B611" s="1" t="s">
        <v>180</v>
      </c>
      <c r="C611" s="2">
        <v>3.1249999191673498E-5</v>
      </c>
      <c r="E611" s="26">
        <v>3.1300000000000002E-5</v>
      </c>
    </row>
    <row r="612" spans="1:5">
      <c r="A612" s="1">
        <v>611</v>
      </c>
      <c r="B612" s="1" t="s">
        <v>4</v>
      </c>
      <c r="C612" s="2">
        <v>3.1250001518186598E-5</v>
      </c>
      <c r="E612" s="26">
        <v>3.1300000000000002E-5</v>
      </c>
    </row>
    <row r="613" spans="1:5">
      <c r="A613" s="1">
        <v>612</v>
      </c>
      <c r="B613" s="1" t="s">
        <v>4</v>
      </c>
      <c r="C613" s="2">
        <v>3.1250008641622602E-5</v>
      </c>
      <c r="E613" s="26">
        <v>3.1300000000000002E-5</v>
      </c>
    </row>
    <row r="614" spans="1:5">
      <c r="A614" s="1">
        <v>613</v>
      </c>
      <c r="B614" s="1" t="s">
        <v>180</v>
      </c>
      <c r="C614" s="2">
        <v>3.1249997316438999E-5</v>
      </c>
      <c r="E614" s="26">
        <v>3.1300000000000002E-5</v>
      </c>
    </row>
    <row r="615" spans="1:5">
      <c r="A615" s="1">
        <v>614</v>
      </c>
      <c r="B615" s="1" t="s">
        <v>4</v>
      </c>
      <c r="C615" s="2">
        <v>3.1250005925332498E-5</v>
      </c>
      <c r="E615" s="26">
        <v>3.1300000000000002E-5</v>
      </c>
    </row>
    <row r="616" spans="1:5">
      <c r="A616" s="1">
        <v>615</v>
      </c>
      <c r="B616" s="1" t="s">
        <v>4</v>
      </c>
      <c r="C616" s="2">
        <v>3.1249997389030102E-5</v>
      </c>
      <c r="E616" s="26">
        <v>3.1300000000000002E-5</v>
      </c>
    </row>
    <row r="617" spans="1:5">
      <c r="A617" s="1">
        <v>616</v>
      </c>
      <c r="B617" s="1" t="s">
        <v>180</v>
      </c>
      <c r="C617" s="2">
        <v>3.1250000851414602E-5</v>
      </c>
      <c r="E617" s="26">
        <v>3.1300000000000002E-5</v>
      </c>
    </row>
    <row r="618" spans="1:5">
      <c r="A618" s="1">
        <v>617</v>
      </c>
      <c r="B618" s="1" t="s">
        <v>4</v>
      </c>
      <c r="C618" s="2">
        <v>3.1250012403143299E-5</v>
      </c>
      <c r="E618" s="26">
        <v>3.1300000000000002E-5</v>
      </c>
    </row>
    <row r="619" spans="1:5">
      <c r="A619" s="1">
        <v>618</v>
      </c>
      <c r="B619" s="1" t="s">
        <v>4</v>
      </c>
      <c r="C619" s="2">
        <v>3.1249999284817903E-5</v>
      </c>
      <c r="E619" s="26">
        <v>3.1300000000000002E-5</v>
      </c>
    </row>
    <row r="620" spans="1:5">
      <c r="A620" s="1">
        <v>619</v>
      </c>
      <c r="B620" s="1" t="s">
        <v>4</v>
      </c>
      <c r="C620" s="2">
        <v>3.1250004523700798E-5</v>
      </c>
      <c r="E620" s="26">
        <v>3.1300000000000002E-5</v>
      </c>
    </row>
    <row r="621" spans="1:5">
      <c r="A621" s="1">
        <v>620</v>
      </c>
      <c r="B621" s="1" t="s">
        <v>4</v>
      </c>
      <c r="C621" s="2">
        <v>3.1250001314622497E-5</v>
      </c>
      <c r="E621" s="26">
        <v>3.1300000000000002E-5</v>
      </c>
    </row>
    <row r="622" spans="1:5">
      <c r="A622" s="1">
        <v>621</v>
      </c>
      <c r="B622" s="1" t="s">
        <v>180</v>
      </c>
      <c r="C622" s="2">
        <v>3.1250002667608702E-5</v>
      </c>
      <c r="E622" s="26">
        <v>3.1300000000000002E-5</v>
      </c>
    </row>
    <row r="623" spans="1:5">
      <c r="A623" s="1">
        <v>622</v>
      </c>
      <c r="B623" s="1" t="s">
        <v>4</v>
      </c>
      <c r="C623" s="2">
        <v>3.1250013243412003E-5</v>
      </c>
      <c r="E623" s="26">
        <v>3.1300000000000002E-5</v>
      </c>
    </row>
    <row r="624" spans="1:5">
      <c r="A624" s="1">
        <v>623</v>
      </c>
      <c r="B624" s="1" t="s">
        <v>4</v>
      </c>
      <c r="C624" s="2">
        <v>3.1250009595345501E-5</v>
      </c>
      <c r="E624" s="26">
        <v>3.1300000000000002E-5</v>
      </c>
    </row>
    <row r="625" spans="1:5">
      <c r="A625" s="1">
        <v>624</v>
      </c>
      <c r="B625" s="1" t="s">
        <v>180</v>
      </c>
      <c r="C625" s="2">
        <v>3.1250014822035798E-5</v>
      </c>
      <c r="E625" s="26">
        <v>3.1300000000000002E-5</v>
      </c>
    </row>
    <row r="626" spans="1:5">
      <c r="A626" s="1">
        <v>625</v>
      </c>
      <c r="B626" s="1" t="s">
        <v>4</v>
      </c>
      <c r="C626" s="2">
        <v>3.1250016197302499E-5</v>
      </c>
      <c r="E626" s="26">
        <v>3.1199999999999999E-5</v>
      </c>
    </row>
    <row r="627" spans="1:5">
      <c r="A627" s="1">
        <v>626</v>
      </c>
      <c r="B627" s="1" t="s">
        <v>4</v>
      </c>
      <c r="C627" s="2">
        <v>3.1250005971648801E-5</v>
      </c>
      <c r="E627" s="26">
        <v>3.1300000000000002E-5</v>
      </c>
    </row>
    <row r="628" spans="1:5">
      <c r="A628" s="1">
        <v>627</v>
      </c>
      <c r="B628" s="1" t="s">
        <v>4</v>
      </c>
      <c r="C628" s="2">
        <v>3.125000593771E-5</v>
      </c>
      <c r="E628" s="26">
        <v>3.1300000000000002E-5</v>
      </c>
    </row>
    <row r="629" spans="1:5">
      <c r="A629" s="1">
        <v>628</v>
      </c>
      <c r="B629" s="1" t="s">
        <v>4</v>
      </c>
      <c r="C629" s="2">
        <v>3.1250007591449598E-5</v>
      </c>
      <c r="E629" s="26">
        <v>3.1199999999999999E-5</v>
      </c>
    </row>
    <row r="630" spans="1:5">
      <c r="A630" s="1">
        <v>629</v>
      </c>
      <c r="B630" s="1" t="s">
        <v>4</v>
      </c>
      <c r="C630" s="2">
        <v>3.1250005300589802E-5</v>
      </c>
      <c r="E630" s="26">
        <v>3.1300000000000002E-5</v>
      </c>
    </row>
    <row r="631" spans="1:5">
      <c r="A631" s="1">
        <v>630</v>
      </c>
      <c r="B631" s="1" t="s">
        <v>4</v>
      </c>
      <c r="C631" s="2">
        <v>3.1250001311750798E-5</v>
      </c>
      <c r="E631" s="26">
        <v>3.1199999999999999E-5</v>
      </c>
    </row>
    <row r="632" spans="1:5">
      <c r="A632" s="1">
        <v>631</v>
      </c>
      <c r="B632" s="1" t="s">
        <v>4</v>
      </c>
      <c r="C632" s="2">
        <v>3.12500060762147E-5</v>
      </c>
      <c r="E632" s="26">
        <v>3.1300000000000002E-5</v>
      </c>
    </row>
    <row r="633" spans="1:5">
      <c r="A633" s="1">
        <v>632</v>
      </c>
      <c r="B633" s="1" t="s">
        <v>4</v>
      </c>
      <c r="C633" s="2">
        <v>3.1250011852266097E-5</v>
      </c>
      <c r="E633" s="26">
        <v>3.1300000000000002E-5</v>
      </c>
    </row>
    <row r="634" spans="1:5">
      <c r="A634" s="1">
        <v>633</v>
      </c>
      <c r="B634" s="1" t="s">
        <v>4</v>
      </c>
      <c r="C634" s="2">
        <v>3.1249998798481E-5</v>
      </c>
      <c r="E634" s="26">
        <v>3.1300000000000002E-5</v>
      </c>
    </row>
    <row r="635" spans="1:5">
      <c r="A635" s="1">
        <v>634</v>
      </c>
      <c r="B635" s="1" t="s">
        <v>4</v>
      </c>
      <c r="C635" s="2">
        <v>3.1250005745003601E-5</v>
      </c>
      <c r="E635" s="26">
        <v>3.1300000000000002E-5</v>
      </c>
    </row>
    <row r="636" spans="1:5">
      <c r="A636" s="1">
        <v>635</v>
      </c>
      <c r="B636" s="1" t="s">
        <v>180</v>
      </c>
      <c r="C636" s="2">
        <v>3.1250004840255401E-5</v>
      </c>
      <c r="E636" s="26">
        <v>3.1199999999999999E-5</v>
      </c>
    </row>
    <row r="637" spans="1:5">
      <c r="A637" s="1">
        <v>636</v>
      </c>
      <c r="B637" s="1" t="s">
        <v>4</v>
      </c>
      <c r="C637" s="2">
        <v>3.1250005528531802E-5</v>
      </c>
      <c r="E637" s="26">
        <v>3.1300000000000002E-5</v>
      </c>
    </row>
    <row r="638" spans="1:5">
      <c r="A638" s="1">
        <v>637</v>
      </c>
      <c r="B638" s="1" t="s">
        <v>4</v>
      </c>
      <c r="C638" s="2">
        <v>3.1250003933371797E-5</v>
      </c>
      <c r="E638" s="26">
        <v>3.1300000000000002E-5</v>
      </c>
    </row>
    <row r="639" spans="1:5">
      <c r="A639" s="1">
        <v>638</v>
      </c>
      <c r="B639" s="1" t="s">
        <v>4</v>
      </c>
      <c r="C639" s="2">
        <v>3.1250008120471398E-5</v>
      </c>
      <c r="E639" s="26">
        <v>3.1300000000000002E-5</v>
      </c>
    </row>
    <row r="640" spans="1:5">
      <c r="A640" s="1">
        <v>639</v>
      </c>
      <c r="B640" s="1" t="s">
        <v>4</v>
      </c>
      <c r="C640" s="2">
        <v>3.1250004818759501E-5</v>
      </c>
      <c r="E640" s="26">
        <v>3.1300000000000002E-5</v>
      </c>
    </row>
    <row r="641" spans="1:5">
      <c r="A641" s="1">
        <v>640</v>
      </c>
      <c r="B641" s="1" t="s">
        <v>4</v>
      </c>
      <c r="C641" s="2">
        <v>3.1250003971513203E-5</v>
      </c>
      <c r="E641" s="26">
        <v>3.1300000000000002E-5</v>
      </c>
    </row>
    <row r="642" spans="1:5">
      <c r="A642" s="1">
        <v>641</v>
      </c>
      <c r="B642" s="1" t="s">
        <v>180</v>
      </c>
      <c r="C642" s="2">
        <v>3.1250000412387701E-5</v>
      </c>
      <c r="E642" s="26">
        <v>3.1300000000000002E-5</v>
      </c>
    </row>
    <row r="643" spans="1:5">
      <c r="A643" s="1">
        <v>642</v>
      </c>
      <c r="B643" s="1" t="s">
        <v>4</v>
      </c>
      <c r="C643" s="2">
        <v>3.1249999015806798E-5</v>
      </c>
      <c r="E643" s="26">
        <v>3.1300000000000002E-5</v>
      </c>
    </row>
    <row r="644" spans="1:5">
      <c r="A644" s="1">
        <v>643</v>
      </c>
      <c r="B644" s="1" t="s">
        <v>4</v>
      </c>
      <c r="C644" s="2">
        <v>3.1250001580810997E-5</v>
      </c>
      <c r="E644" s="26">
        <v>3.1300000000000002E-5</v>
      </c>
    </row>
    <row r="645" spans="1:5">
      <c r="A645" s="1">
        <v>644</v>
      </c>
      <c r="B645" s="1" t="s">
        <v>4</v>
      </c>
      <c r="C645" s="2">
        <v>3.1249999428062999E-5</v>
      </c>
      <c r="E645" s="26">
        <v>3.1300000000000002E-5</v>
      </c>
    </row>
    <row r="646" spans="1:5">
      <c r="A646" s="1">
        <v>645</v>
      </c>
      <c r="B646" s="1" t="s">
        <v>4</v>
      </c>
      <c r="C646" s="2">
        <v>3.1249992841213098E-5</v>
      </c>
      <c r="E646" s="26">
        <v>3.1300000000000002E-5</v>
      </c>
    </row>
    <row r="647" spans="1:5">
      <c r="A647" s="1">
        <v>646</v>
      </c>
      <c r="B647" s="1" t="s">
        <v>4</v>
      </c>
      <c r="C647" s="2">
        <v>3.1249996187679499E-5</v>
      </c>
      <c r="E647" s="26">
        <v>3.1300000000000002E-5</v>
      </c>
    </row>
    <row r="648" spans="1:5">
      <c r="A648" s="1">
        <v>647</v>
      </c>
      <c r="B648" s="1" t="s">
        <v>4</v>
      </c>
      <c r="C648" s="2">
        <v>3.1250004015020101E-5</v>
      </c>
      <c r="E648" s="26">
        <v>3.1300000000000002E-5</v>
      </c>
    </row>
    <row r="649" spans="1:5">
      <c r="A649" s="1">
        <v>648</v>
      </c>
      <c r="B649" s="1" t="s">
        <v>4</v>
      </c>
      <c r="C649" s="2">
        <v>3.1250007121312702E-5</v>
      </c>
      <c r="E649" s="26">
        <v>3.1199999999999999E-5</v>
      </c>
    </row>
    <row r="650" spans="1:5">
      <c r="A650" s="1">
        <v>649</v>
      </c>
      <c r="B650" s="1" t="s">
        <v>4</v>
      </c>
      <c r="C650" s="2">
        <v>3.1249994058451803E-5</v>
      </c>
      <c r="E650" s="26">
        <v>3.1300000000000002E-5</v>
      </c>
    </row>
    <row r="651" spans="1:5">
      <c r="A651" s="1">
        <v>650</v>
      </c>
      <c r="B651" s="1" t="s">
        <v>4</v>
      </c>
      <c r="C651" s="2">
        <v>3.1249995658875197E-5</v>
      </c>
      <c r="E651" s="26">
        <v>3.1300000000000002E-5</v>
      </c>
    </row>
    <row r="652" spans="1:5">
      <c r="A652" s="1">
        <v>651</v>
      </c>
      <c r="B652" s="1" t="s">
        <v>4</v>
      </c>
      <c r="C652" s="2">
        <v>3.1250000936926102E-5</v>
      </c>
      <c r="E652" s="26">
        <v>3.1300000000000002E-5</v>
      </c>
    </row>
    <row r="653" spans="1:5">
      <c r="A653" s="1">
        <v>652</v>
      </c>
      <c r="B653" s="1" t="s">
        <v>4</v>
      </c>
      <c r="C653" s="2">
        <v>3.1249995413723702E-5</v>
      </c>
      <c r="E653" s="26">
        <v>3.1300000000000002E-5</v>
      </c>
    </row>
    <row r="654" spans="1:5">
      <c r="A654" s="1">
        <v>653</v>
      </c>
      <c r="B654" s="1" t="s">
        <v>4</v>
      </c>
      <c r="C654" s="2">
        <v>3.1250018461432402E-5</v>
      </c>
      <c r="E654" s="26">
        <v>3.1300000000000002E-5</v>
      </c>
    </row>
    <row r="655" spans="1:5">
      <c r="A655" s="1">
        <v>654</v>
      </c>
      <c r="B655" s="1" t="s">
        <v>4</v>
      </c>
      <c r="C655" s="2">
        <v>3.1250007669000703E-5</v>
      </c>
      <c r="E655" s="26">
        <v>3.1300000000000002E-5</v>
      </c>
    </row>
    <row r="656" spans="1:5">
      <c r="A656" s="1">
        <v>655</v>
      </c>
      <c r="B656" s="1" t="s">
        <v>4</v>
      </c>
      <c r="C656" s="2">
        <v>3.1250004660682099E-5</v>
      </c>
      <c r="E656" s="26">
        <v>3.1199999999999999E-5</v>
      </c>
    </row>
    <row r="657" spans="1:5">
      <c r="A657" s="1">
        <v>656</v>
      </c>
      <c r="B657" s="1" t="s">
        <v>4</v>
      </c>
      <c r="C657" s="2">
        <v>3.1250003788805397E-5</v>
      </c>
      <c r="E657" s="26">
        <v>3.1199999999999999E-5</v>
      </c>
    </row>
    <row r="658" spans="1:5">
      <c r="A658" s="1">
        <v>657</v>
      </c>
      <c r="B658" s="1" t="s">
        <v>4</v>
      </c>
      <c r="C658" s="2">
        <v>3.1250001053748899E-5</v>
      </c>
      <c r="E658" s="26">
        <v>3.1300000000000002E-5</v>
      </c>
    </row>
    <row r="659" spans="1:5">
      <c r="A659" s="1">
        <v>658</v>
      </c>
      <c r="B659" s="1" t="s">
        <v>180</v>
      </c>
      <c r="C659" s="2">
        <v>3.1250002124595199E-5</v>
      </c>
      <c r="E659" s="26">
        <v>3.1300000000000002E-5</v>
      </c>
    </row>
    <row r="660" spans="1:5">
      <c r="A660" s="1">
        <v>659</v>
      </c>
      <c r="B660" s="1" t="s">
        <v>4</v>
      </c>
      <c r="C660" s="2">
        <v>3.1249999913377797E-5</v>
      </c>
      <c r="E660" s="26">
        <v>3.1300000000000002E-5</v>
      </c>
    </row>
    <row r="661" spans="1:5">
      <c r="A661" s="1">
        <v>660</v>
      </c>
      <c r="B661" s="1" t="s">
        <v>4</v>
      </c>
      <c r="C661" s="2">
        <v>3.1250011961865201E-5</v>
      </c>
      <c r="E661" s="26">
        <v>3.1300000000000002E-5</v>
      </c>
    </row>
    <row r="662" spans="1:5">
      <c r="A662" s="1">
        <v>661</v>
      </c>
      <c r="B662" s="1" t="s">
        <v>4</v>
      </c>
      <c r="C662" s="2">
        <v>3.1249996230882299E-5</v>
      </c>
      <c r="E662" s="26">
        <v>3.1300000000000002E-5</v>
      </c>
    </row>
    <row r="663" spans="1:5">
      <c r="A663" s="1">
        <v>662</v>
      </c>
      <c r="B663" s="1" t="s">
        <v>180</v>
      </c>
      <c r="C663" s="2">
        <v>3.1249998294019199E-5</v>
      </c>
      <c r="E663" s="26">
        <v>3.1300000000000002E-5</v>
      </c>
    </row>
    <row r="664" spans="1:5">
      <c r="A664" s="1">
        <v>663</v>
      </c>
      <c r="B664" s="1" t="s">
        <v>4</v>
      </c>
      <c r="C664" s="2">
        <v>3.1250004718489001E-5</v>
      </c>
      <c r="E664" s="26">
        <v>3.1199999999999999E-5</v>
      </c>
    </row>
    <row r="665" spans="1:5">
      <c r="A665" s="1">
        <v>664</v>
      </c>
      <c r="B665" s="1" t="s">
        <v>180</v>
      </c>
      <c r="C665" s="2">
        <v>3.12499986249778E-5</v>
      </c>
      <c r="E665" s="26">
        <v>3.1300000000000002E-5</v>
      </c>
    </row>
    <row r="666" spans="1:5">
      <c r="A666" s="1">
        <v>665</v>
      </c>
      <c r="B666" s="1" t="s">
        <v>4</v>
      </c>
      <c r="C666" s="2">
        <v>3.1249997853261898E-5</v>
      </c>
      <c r="E666" s="26">
        <v>3.1199999999999999E-5</v>
      </c>
    </row>
    <row r="667" spans="1:5">
      <c r="A667" s="1">
        <v>666</v>
      </c>
      <c r="B667" s="1" t="s">
        <v>4</v>
      </c>
      <c r="C667" s="2">
        <v>3.1250016134934298E-5</v>
      </c>
      <c r="E667" s="26">
        <v>3.1300000000000002E-5</v>
      </c>
    </row>
    <row r="668" spans="1:5">
      <c r="A668" s="1">
        <v>667</v>
      </c>
      <c r="B668" s="1" t="s">
        <v>4</v>
      </c>
      <c r="C668" s="2">
        <v>3.1250007280836098E-5</v>
      </c>
      <c r="E668" s="26">
        <v>3.1300000000000002E-5</v>
      </c>
    </row>
    <row r="669" spans="1:5">
      <c r="A669" s="1">
        <v>668</v>
      </c>
      <c r="B669" s="1" t="s">
        <v>180</v>
      </c>
      <c r="C669" s="2">
        <v>3.12500055609028E-5</v>
      </c>
      <c r="E669" s="26">
        <v>3.1300000000000002E-5</v>
      </c>
    </row>
    <row r="670" spans="1:5">
      <c r="A670" s="1">
        <v>669</v>
      </c>
      <c r="B670" s="1" t="s">
        <v>4</v>
      </c>
      <c r="C670" s="2">
        <v>3.1249997875862797E-5</v>
      </c>
      <c r="E670" s="26">
        <v>3.1300000000000002E-5</v>
      </c>
    </row>
    <row r="671" spans="1:5">
      <c r="A671" s="1">
        <v>670</v>
      </c>
      <c r="B671" s="1" t="s">
        <v>4</v>
      </c>
      <c r="C671" s="2">
        <v>3.1250007440577499E-5</v>
      </c>
      <c r="E671" s="26">
        <v>3.1199999999999999E-5</v>
      </c>
    </row>
    <row r="672" spans="1:5">
      <c r="A672" s="1">
        <v>671</v>
      </c>
      <c r="B672" s="1" t="s">
        <v>4</v>
      </c>
      <c r="C672" s="2">
        <v>3.1249999194578299E-5</v>
      </c>
      <c r="E672" s="26">
        <v>3.1300000000000002E-5</v>
      </c>
    </row>
    <row r="673" spans="1:5">
      <c r="A673" s="1">
        <v>672</v>
      </c>
      <c r="B673" s="1" t="s">
        <v>180</v>
      </c>
      <c r="C673" s="2">
        <v>3.1249998777993699E-5</v>
      </c>
      <c r="E673" s="26">
        <v>3.1300000000000002E-5</v>
      </c>
    </row>
    <row r="674" spans="1:5">
      <c r="A674" s="1">
        <v>673</v>
      </c>
      <c r="B674" s="1" t="s">
        <v>4</v>
      </c>
      <c r="C674" s="2">
        <v>3.1250006215332903E-5</v>
      </c>
      <c r="E674" s="26">
        <v>3.1300000000000002E-5</v>
      </c>
    </row>
    <row r="675" spans="1:5">
      <c r="A675" s="1">
        <v>674</v>
      </c>
      <c r="B675" s="1" t="s">
        <v>180</v>
      </c>
      <c r="C675" s="2">
        <v>3.1249998996210101E-5</v>
      </c>
      <c r="E675" s="26">
        <v>3.1300000000000002E-5</v>
      </c>
    </row>
    <row r="676" spans="1:5">
      <c r="A676" s="1">
        <v>675</v>
      </c>
      <c r="B676" s="1" t="s">
        <v>180</v>
      </c>
      <c r="C676" s="2">
        <v>3.12500024153526E-5</v>
      </c>
      <c r="E676" s="26">
        <v>3.1300000000000002E-5</v>
      </c>
    </row>
    <row r="677" spans="1:5">
      <c r="A677" s="1">
        <v>676</v>
      </c>
      <c r="B677" s="1" t="s">
        <v>4</v>
      </c>
      <c r="C677" s="2">
        <v>3.12500041970746E-5</v>
      </c>
      <c r="E677" s="26">
        <v>3.1300000000000002E-5</v>
      </c>
    </row>
    <row r="678" spans="1:5">
      <c r="A678" s="1">
        <v>677</v>
      </c>
      <c r="B678" s="1" t="s">
        <v>4</v>
      </c>
      <c r="C678" s="2">
        <v>3.1250002737993501E-5</v>
      </c>
      <c r="E678" s="26">
        <v>3.1199999999999999E-5</v>
      </c>
    </row>
    <row r="679" spans="1:5">
      <c r="A679" s="1">
        <v>678</v>
      </c>
      <c r="B679" s="1" t="s">
        <v>180</v>
      </c>
      <c r="C679" s="2">
        <v>3.1250003577175103E-5</v>
      </c>
      <c r="E679" s="26">
        <v>3.1300000000000002E-5</v>
      </c>
    </row>
    <row r="680" spans="1:5">
      <c r="A680" s="1">
        <v>679</v>
      </c>
      <c r="B680" s="1" t="s">
        <v>4</v>
      </c>
      <c r="C680" s="2">
        <v>3.1250018004496102E-5</v>
      </c>
      <c r="E680" s="26">
        <v>3.1300000000000002E-5</v>
      </c>
    </row>
    <row r="681" spans="1:5">
      <c r="A681" s="1">
        <v>680</v>
      </c>
      <c r="B681" s="1" t="s">
        <v>4</v>
      </c>
      <c r="C681" s="2">
        <v>3.1250003409028601E-5</v>
      </c>
      <c r="E681" s="26">
        <v>3.1300000000000002E-5</v>
      </c>
    </row>
    <row r="682" spans="1:5">
      <c r="A682" s="1">
        <v>681</v>
      </c>
      <c r="B682" s="1" t="s">
        <v>4</v>
      </c>
      <c r="C682" s="2">
        <v>3.1250014551792497E-5</v>
      </c>
      <c r="E682" s="26">
        <v>3.1300000000000002E-5</v>
      </c>
    </row>
    <row r="683" spans="1:5">
      <c r="A683" s="1">
        <v>682</v>
      </c>
      <c r="B683" s="1" t="s">
        <v>4</v>
      </c>
      <c r="C683" s="2">
        <v>3.12500030555577E-5</v>
      </c>
      <c r="E683" s="26">
        <v>3.1300000000000002E-5</v>
      </c>
    </row>
    <row r="684" spans="1:5">
      <c r="A684" s="1">
        <v>683</v>
      </c>
      <c r="B684" s="1" t="s">
        <v>4</v>
      </c>
      <c r="C684" s="2">
        <v>3.1250000236478101E-5</v>
      </c>
      <c r="E684" s="26">
        <v>3.1300000000000002E-5</v>
      </c>
    </row>
    <row r="685" spans="1:5">
      <c r="A685" s="1">
        <v>684</v>
      </c>
      <c r="B685" s="1" t="s">
        <v>180</v>
      </c>
      <c r="C685" s="2">
        <v>3.1250000937108302E-5</v>
      </c>
      <c r="E685" s="26">
        <v>3.1300000000000002E-5</v>
      </c>
    </row>
    <row r="686" spans="1:5">
      <c r="A686" s="1">
        <v>685</v>
      </c>
      <c r="B686" s="1" t="s">
        <v>4</v>
      </c>
      <c r="C686" s="2">
        <v>3.12500107859891E-5</v>
      </c>
      <c r="E686" s="26">
        <v>3.1300000000000002E-5</v>
      </c>
    </row>
    <row r="687" spans="1:5">
      <c r="A687" s="1">
        <v>686</v>
      </c>
      <c r="B687" s="1" t="s">
        <v>180</v>
      </c>
      <c r="C687" s="2">
        <v>3.1250002023988298E-5</v>
      </c>
      <c r="E687" s="26">
        <v>3.1199999999999999E-5</v>
      </c>
    </row>
    <row r="688" spans="1:5">
      <c r="A688" s="1">
        <v>687</v>
      </c>
      <c r="B688" s="1" t="s">
        <v>4</v>
      </c>
      <c r="C688" s="2">
        <v>3.1250009557818899E-5</v>
      </c>
      <c r="E688" s="26">
        <v>3.1199999999999999E-5</v>
      </c>
    </row>
    <row r="689" spans="1:5">
      <c r="A689" s="1">
        <v>688</v>
      </c>
      <c r="B689" s="1" t="s">
        <v>180</v>
      </c>
      <c r="C689" s="2">
        <v>3.1249997130556203E-5</v>
      </c>
      <c r="E689" s="26">
        <v>3.1300000000000002E-5</v>
      </c>
    </row>
    <row r="690" spans="1:5">
      <c r="A690" s="1">
        <v>689</v>
      </c>
      <c r="B690" s="1" t="s">
        <v>4</v>
      </c>
      <c r="C690" s="2">
        <v>3.12500083596379E-5</v>
      </c>
      <c r="E690" s="26">
        <v>3.1300000000000002E-5</v>
      </c>
    </row>
    <row r="691" spans="1:5">
      <c r="A691" s="1">
        <v>690</v>
      </c>
      <c r="B691" s="1" t="s">
        <v>4</v>
      </c>
      <c r="C691" s="2">
        <v>3.1250000723249403E-5</v>
      </c>
      <c r="E691" s="26">
        <v>3.1300000000000002E-5</v>
      </c>
    </row>
    <row r="692" spans="1:5">
      <c r="A692" s="1">
        <v>691</v>
      </c>
      <c r="B692" s="1" t="s">
        <v>4</v>
      </c>
      <c r="C692" s="2">
        <v>3.1250010569107798E-5</v>
      </c>
      <c r="E692" s="26">
        <v>3.1300000000000002E-5</v>
      </c>
    </row>
    <row r="693" spans="1:5">
      <c r="A693" s="1">
        <v>692</v>
      </c>
      <c r="B693" s="1" t="s">
        <v>180</v>
      </c>
      <c r="C693" s="2">
        <v>3.1249999721074003E-5</v>
      </c>
      <c r="E693" s="26">
        <v>3.1300000000000002E-5</v>
      </c>
    </row>
    <row r="694" spans="1:5">
      <c r="A694" s="1">
        <v>693</v>
      </c>
      <c r="B694" s="1" t="s">
        <v>180</v>
      </c>
      <c r="C694" s="2">
        <v>3.1250002301200497E-5</v>
      </c>
      <c r="E694" s="26">
        <v>3.1300000000000002E-5</v>
      </c>
    </row>
    <row r="695" spans="1:5">
      <c r="A695" s="1">
        <v>694</v>
      </c>
      <c r="B695" s="1" t="s">
        <v>4</v>
      </c>
      <c r="C695" s="2">
        <v>3.1250004114517003E-5</v>
      </c>
      <c r="E695" s="26">
        <v>3.1300000000000002E-5</v>
      </c>
    </row>
    <row r="696" spans="1:5">
      <c r="A696" s="1">
        <v>695</v>
      </c>
      <c r="B696" s="1" t="s">
        <v>180</v>
      </c>
      <c r="C696" s="2">
        <v>3.1250004973655501E-5</v>
      </c>
      <c r="E696" s="26">
        <v>3.1300000000000002E-5</v>
      </c>
    </row>
    <row r="697" spans="1:5">
      <c r="A697" s="1">
        <v>696</v>
      </c>
      <c r="B697" s="1" t="s">
        <v>4</v>
      </c>
      <c r="C697" s="2">
        <v>3.1250011144552499E-5</v>
      </c>
      <c r="E697" s="26">
        <v>3.1300000000000002E-5</v>
      </c>
    </row>
    <row r="698" spans="1:5">
      <c r="A698" s="1">
        <v>697</v>
      </c>
      <c r="B698" s="1" t="s">
        <v>4</v>
      </c>
      <c r="C698" s="2">
        <v>3.1250014338503198E-5</v>
      </c>
      <c r="E698" s="26">
        <v>3.1300000000000002E-5</v>
      </c>
    </row>
    <row r="699" spans="1:5">
      <c r="A699" s="1">
        <v>698</v>
      </c>
      <c r="B699" s="1" t="s">
        <v>4</v>
      </c>
      <c r="C699" s="2">
        <v>3.1250003861180697E-5</v>
      </c>
      <c r="E699" s="26">
        <v>3.1300000000000002E-5</v>
      </c>
    </row>
    <row r="700" spans="1:5">
      <c r="A700" s="1">
        <v>699</v>
      </c>
      <c r="B700" s="1" t="s">
        <v>4</v>
      </c>
      <c r="C700" s="2">
        <v>3.1250010284534699E-5</v>
      </c>
      <c r="E700" s="26">
        <v>3.1300000000000002E-5</v>
      </c>
    </row>
    <row r="701" spans="1:5">
      <c r="A701" s="1">
        <v>700</v>
      </c>
      <c r="B701" s="1" t="s">
        <v>180</v>
      </c>
      <c r="C701" s="2">
        <v>3.1250001522052098E-5</v>
      </c>
      <c r="E701" s="26">
        <v>3.1199999999999999E-5</v>
      </c>
    </row>
    <row r="702" spans="1:5">
      <c r="A702" s="1">
        <v>701</v>
      </c>
      <c r="B702" s="1" t="s">
        <v>4</v>
      </c>
      <c r="C702" s="2">
        <v>3.1250006784094602E-5</v>
      </c>
      <c r="E702" s="26">
        <v>3.1300000000000002E-5</v>
      </c>
    </row>
    <row r="703" spans="1:5">
      <c r="A703" s="1">
        <v>702</v>
      </c>
      <c r="B703" s="1" t="s">
        <v>180</v>
      </c>
      <c r="C703" s="2">
        <v>3.1250011786256501E-5</v>
      </c>
      <c r="E703" s="26">
        <v>3.1300000000000002E-5</v>
      </c>
    </row>
    <row r="704" spans="1:5">
      <c r="A704" s="1">
        <v>703</v>
      </c>
      <c r="B704" s="1" t="s">
        <v>4</v>
      </c>
      <c r="C704" s="2">
        <v>3.1250002989955303E-5</v>
      </c>
      <c r="E704" s="26">
        <v>3.1300000000000002E-5</v>
      </c>
    </row>
    <row r="705" spans="1:5">
      <c r="A705" s="1">
        <v>704</v>
      </c>
      <c r="B705" s="1" t="s">
        <v>180</v>
      </c>
      <c r="C705" s="2">
        <v>3.1249994979007603E-5</v>
      </c>
      <c r="E705" s="26">
        <v>3.1199999999999999E-5</v>
      </c>
    </row>
    <row r="706" spans="1:5">
      <c r="A706" s="1">
        <v>705</v>
      </c>
      <c r="B706" s="1" t="s">
        <v>4</v>
      </c>
      <c r="C706" s="2">
        <v>3.1250003672105603E-5</v>
      </c>
      <c r="E706" s="26">
        <v>3.1300000000000002E-5</v>
      </c>
    </row>
    <row r="707" spans="1:5">
      <c r="A707" s="1">
        <v>706</v>
      </c>
      <c r="B707" s="1" t="s">
        <v>4</v>
      </c>
      <c r="C707" s="2">
        <v>3.1250021516214599E-5</v>
      </c>
      <c r="E707" s="26">
        <v>3.1300000000000002E-5</v>
      </c>
    </row>
    <row r="708" spans="1:5">
      <c r="A708" s="1">
        <v>707</v>
      </c>
      <c r="B708" s="1" t="s">
        <v>4</v>
      </c>
      <c r="C708" s="2">
        <v>3.12500063421386E-5</v>
      </c>
      <c r="E708" s="26">
        <v>3.1300000000000002E-5</v>
      </c>
    </row>
    <row r="709" spans="1:5">
      <c r="A709" s="1">
        <v>708</v>
      </c>
      <c r="B709" s="1" t="s">
        <v>4</v>
      </c>
      <c r="C709" s="2">
        <v>3.1250007463688502E-5</v>
      </c>
      <c r="E709" s="26">
        <v>3.1300000000000002E-5</v>
      </c>
    </row>
    <row r="710" spans="1:5">
      <c r="A710" s="1">
        <v>709</v>
      </c>
      <c r="B710" s="1" t="s">
        <v>4</v>
      </c>
      <c r="C710" s="2">
        <v>3.12499933121022E-5</v>
      </c>
      <c r="E710" s="26">
        <v>3.1300000000000002E-5</v>
      </c>
    </row>
    <row r="711" spans="1:5">
      <c r="A711" s="1">
        <v>710</v>
      </c>
      <c r="B711" s="1" t="s">
        <v>4</v>
      </c>
      <c r="C711" s="2">
        <v>3.1250018887008399E-5</v>
      </c>
      <c r="E711" s="26">
        <v>3.1300000000000002E-5</v>
      </c>
    </row>
    <row r="712" spans="1:5">
      <c r="A712" s="1">
        <v>711</v>
      </c>
      <c r="B712" s="1" t="s">
        <v>4</v>
      </c>
      <c r="C712" s="2">
        <v>3.1250010991639098E-5</v>
      </c>
      <c r="E712" s="26">
        <v>3.1300000000000002E-5</v>
      </c>
    </row>
    <row r="713" spans="1:5">
      <c r="A713" s="1">
        <v>712</v>
      </c>
      <c r="B713" s="1" t="s">
        <v>4</v>
      </c>
      <c r="C713" s="2">
        <v>3.1249996739203501E-5</v>
      </c>
      <c r="E713" s="26">
        <v>3.1300000000000002E-5</v>
      </c>
    </row>
    <row r="714" spans="1:5">
      <c r="A714" s="1">
        <v>713</v>
      </c>
      <c r="B714" s="1" t="s">
        <v>180</v>
      </c>
      <c r="C714" s="2">
        <v>3.1250003701417002E-5</v>
      </c>
      <c r="E714" s="26">
        <v>3.1300000000000002E-5</v>
      </c>
    </row>
    <row r="715" spans="1:5">
      <c r="A715" s="1">
        <v>714</v>
      </c>
      <c r="B715" s="1" t="s">
        <v>180</v>
      </c>
      <c r="C715" s="2">
        <v>3.1250003252999297E-5</v>
      </c>
      <c r="E715" s="26">
        <v>3.1300000000000002E-5</v>
      </c>
    </row>
    <row r="716" spans="1:5">
      <c r="A716" s="1">
        <v>715</v>
      </c>
      <c r="B716" s="1" t="s">
        <v>4</v>
      </c>
      <c r="C716" s="2">
        <v>3.12500083428493E-5</v>
      </c>
      <c r="E716" s="26">
        <v>3.1300000000000002E-5</v>
      </c>
    </row>
    <row r="717" spans="1:5">
      <c r="A717" s="1">
        <v>716</v>
      </c>
      <c r="B717" s="1" t="s">
        <v>4</v>
      </c>
      <c r="C717" s="2">
        <v>3.1249998287243199E-5</v>
      </c>
      <c r="E717" s="26">
        <v>3.1300000000000002E-5</v>
      </c>
    </row>
    <row r="718" spans="1:5">
      <c r="A718" s="1">
        <v>717</v>
      </c>
      <c r="B718" s="1" t="s">
        <v>180</v>
      </c>
      <c r="C718" s="2">
        <v>3.1250010311314899E-5</v>
      </c>
      <c r="E718" s="26">
        <v>3.1300000000000002E-5</v>
      </c>
    </row>
    <row r="719" spans="1:5">
      <c r="A719" s="1">
        <v>718</v>
      </c>
      <c r="B719" s="1" t="s">
        <v>180</v>
      </c>
      <c r="C719" s="2">
        <v>3.1250000566446E-5</v>
      </c>
      <c r="E719" s="26">
        <v>3.1300000000000002E-5</v>
      </c>
    </row>
    <row r="720" spans="1:5">
      <c r="A720" s="1">
        <v>719</v>
      </c>
      <c r="B720" s="1" t="s">
        <v>180</v>
      </c>
      <c r="C720" s="2">
        <v>3.1249996306199798E-5</v>
      </c>
      <c r="E720" s="26">
        <v>3.1300000000000002E-5</v>
      </c>
    </row>
    <row r="721" spans="1:5">
      <c r="A721" s="1">
        <v>720</v>
      </c>
      <c r="B721" s="1" t="s">
        <v>4</v>
      </c>
      <c r="C721" s="2">
        <v>3.12500012663833E-5</v>
      </c>
      <c r="E721" s="26">
        <v>3.1300000000000002E-5</v>
      </c>
    </row>
    <row r="722" spans="1:5">
      <c r="A722" s="1">
        <v>721</v>
      </c>
      <c r="B722" s="1" t="s">
        <v>4</v>
      </c>
      <c r="C722" s="2">
        <v>3.1250017474613303E-5</v>
      </c>
    </row>
    <row r="723" spans="1:5">
      <c r="A723" s="1">
        <v>722</v>
      </c>
      <c r="B723" s="1" t="s">
        <v>4</v>
      </c>
      <c r="C723" s="2">
        <v>3.1250000431828199E-5</v>
      </c>
    </row>
    <row r="724" spans="1:5">
      <c r="A724" s="1">
        <v>723</v>
      </c>
      <c r="B724" s="1" t="s">
        <v>4</v>
      </c>
      <c r="C724" s="2">
        <v>3.1250001057685502E-5</v>
      </c>
    </row>
    <row r="725" spans="1:5">
      <c r="A725" s="1">
        <v>724</v>
      </c>
      <c r="B725" s="1" t="s">
        <v>180</v>
      </c>
      <c r="C725" s="2">
        <v>3.1249998101661899E-5</v>
      </c>
    </row>
    <row r="726" spans="1:5">
      <c r="A726" s="1">
        <v>725</v>
      </c>
      <c r="B726" s="1" t="s">
        <v>180</v>
      </c>
      <c r="C726" s="2">
        <v>3.1249996533424802E-5</v>
      </c>
    </row>
    <row r="727" spans="1:5">
      <c r="A727" s="1">
        <v>726</v>
      </c>
      <c r="B727" s="1" t="s">
        <v>4</v>
      </c>
      <c r="C727" s="2">
        <v>3.1249997982105597E-5</v>
      </c>
    </row>
    <row r="728" spans="1:5">
      <c r="A728" s="1">
        <v>727</v>
      </c>
      <c r="B728" s="1" t="s">
        <v>4</v>
      </c>
      <c r="C728" s="2">
        <v>3.1250008270549197E-5</v>
      </c>
    </row>
    <row r="729" spans="1:5">
      <c r="A729" s="1">
        <v>728</v>
      </c>
      <c r="B729" s="1" t="s">
        <v>4</v>
      </c>
      <c r="C729" s="2">
        <v>3.1250003052112803E-5</v>
      </c>
    </row>
    <row r="730" spans="1:5">
      <c r="A730" s="1">
        <v>729</v>
      </c>
      <c r="B730" s="1" t="s">
        <v>4</v>
      </c>
      <c r="C730" s="2">
        <v>3.1250005716029898E-5</v>
      </c>
    </row>
    <row r="731" spans="1:5">
      <c r="A731" s="1">
        <v>730</v>
      </c>
      <c r="B731" s="1" t="s">
        <v>4</v>
      </c>
      <c r="C731" s="2">
        <v>3.12500072082577E-5</v>
      </c>
    </row>
    <row r="732" spans="1:5">
      <c r="A732" s="1">
        <v>731</v>
      </c>
      <c r="B732" s="1" t="s">
        <v>4</v>
      </c>
      <c r="C732" s="2">
        <v>3.1250014283244198E-5</v>
      </c>
    </row>
    <row r="733" spans="1:5">
      <c r="A733" s="1">
        <v>732</v>
      </c>
      <c r="B733" s="1" t="s">
        <v>4</v>
      </c>
      <c r="C733" s="2">
        <v>3.1250002060144902E-5</v>
      </c>
    </row>
    <row r="734" spans="1:5">
      <c r="A734" s="1">
        <v>733</v>
      </c>
      <c r="B734" s="1" t="s">
        <v>180</v>
      </c>
      <c r="C734" s="2">
        <v>3.1250004052779997E-5</v>
      </c>
    </row>
    <row r="735" spans="1:5">
      <c r="A735" s="1">
        <v>734</v>
      </c>
      <c r="B735" s="1" t="s">
        <v>4</v>
      </c>
      <c r="C735" s="2">
        <v>3.1250008192235397E-5</v>
      </c>
    </row>
    <row r="736" spans="1:5">
      <c r="A736" s="1">
        <v>735</v>
      </c>
      <c r="B736" s="1" t="s">
        <v>4</v>
      </c>
      <c r="C736" s="2">
        <v>3.1250015166501499E-5</v>
      </c>
    </row>
    <row r="737" spans="1:3">
      <c r="A737" s="1">
        <v>736</v>
      </c>
      <c r="B737" s="1" t="s">
        <v>4</v>
      </c>
      <c r="C737" s="2">
        <v>3.1250000806577197E-5</v>
      </c>
    </row>
    <row r="738" spans="1:3">
      <c r="A738" s="1">
        <v>737</v>
      </c>
      <c r="B738" s="1" t="s">
        <v>4</v>
      </c>
      <c r="C738" s="2">
        <v>3.1250003648654797E-5</v>
      </c>
    </row>
    <row r="739" spans="1:3">
      <c r="A739" s="1">
        <v>738</v>
      </c>
      <c r="B739" s="1" t="s">
        <v>180</v>
      </c>
      <c r="C739" s="2">
        <v>3.1250001487049498E-5</v>
      </c>
    </row>
    <row r="740" spans="1:3">
      <c r="A740" s="1">
        <v>739</v>
      </c>
      <c r="B740" s="1" t="s">
        <v>4</v>
      </c>
      <c r="C740" s="2">
        <v>3.1250002370101898E-5</v>
      </c>
    </row>
    <row r="741" spans="1:3">
      <c r="A741" s="1">
        <v>740</v>
      </c>
      <c r="B741" s="1" t="s">
        <v>4</v>
      </c>
      <c r="C741" s="2">
        <v>3.12500009574454E-5</v>
      </c>
    </row>
    <row r="742" spans="1:3">
      <c r="A742" s="1">
        <v>741</v>
      </c>
      <c r="B742" s="1" t="s">
        <v>4</v>
      </c>
      <c r="C742" s="2">
        <v>3.1249993422478697E-5</v>
      </c>
    </row>
    <row r="743" spans="1:3">
      <c r="A743" s="1">
        <v>742</v>
      </c>
      <c r="B743" s="1" t="s">
        <v>180</v>
      </c>
      <c r="C743" s="2">
        <v>3.12499981590784E-5</v>
      </c>
    </row>
    <row r="744" spans="1:3">
      <c r="A744" s="1">
        <v>743</v>
      </c>
      <c r="B744" s="1" t="s">
        <v>4</v>
      </c>
      <c r="C744" s="2">
        <v>3.1250003746936098E-5</v>
      </c>
    </row>
    <row r="745" spans="1:3">
      <c r="A745" s="1">
        <v>744</v>
      </c>
      <c r="B745" s="1" t="s">
        <v>4</v>
      </c>
      <c r="C745" s="2">
        <v>3.1250011317920302E-5</v>
      </c>
    </row>
    <row r="746" spans="1:3">
      <c r="A746" s="1">
        <v>745</v>
      </c>
      <c r="B746" s="1" t="s">
        <v>4</v>
      </c>
      <c r="C746" s="2">
        <v>3.1250001387778598E-5</v>
      </c>
    </row>
    <row r="747" spans="1:3">
      <c r="A747" s="1">
        <v>746</v>
      </c>
      <c r="B747" s="1" t="s">
        <v>180</v>
      </c>
      <c r="C747" s="2">
        <v>3.1249999282068102E-5</v>
      </c>
    </row>
    <row r="748" spans="1:3">
      <c r="A748" s="1">
        <v>747</v>
      </c>
      <c r="B748" s="1" t="s">
        <v>4</v>
      </c>
      <c r="C748" s="2">
        <v>3.1250001220831901E-5</v>
      </c>
    </row>
    <row r="749" spans="1:3">
      <c r="A749" s="1">
        <v>748</v>
      </c>
      <c r="B749" s="1" t="s">
        <v>4</v>
      </c>
      <c r="C749" s="2">
        <v>3.1250003107084801E-5</v>
      </c>
    </row>
    <row r="750" spans="1:3">
      <c r="A750" s="1">
        <v>749</v>
      </c>
      <c r="B750" s="1" t="s">
        <v>4</v>
      </c>
      <c r="C750" s="2">
        <v>3.1250008071838297E-5</v>
      </c>
    </row>
    <row r="751" spans="1:3">
      <c r="A751" s="1">
        <v>750</v>
      </c>
      <c r="B751" s="1" t="s">
        <v>4</v>
      </c>
      <c r="C751" s="2">
        <v>3.1249997946791899E-5</v>
      </c>
    </row>
    <row r="752" spans="1:3">
      <c r="A752" s="1">
        <v>751</v>
      </c>
      <c r="B752" s="1" t="s">
        <v>4</v>
      </c>
      <c r="C752" s="2">
        <v>3.1249999000025998E-5</v>
      </c>
    </row>
    <row r="753" spans="1:3">
      <c r="A753" s="1">
        <v>752</v>
      </c>
      <c r="B753" s="1" t="s">
        <v>4</v>
      </c>
      <c r="C753" s="2">
        <v>3.1250006081317803E-5</v>
      </c>
    </row>
    <row r="754" spans="1:3">
      <c r="A754" s="1">
        <v>753</v>
      </c>
      <c r="B754" s="1" t="s">
        <v>4</v>
      </c>
      <c r="C754" s="2">
        <v>3.1250007615760399E-5</v>
      </c>
    </row>
    <row r="755" spans="1:3">
      <c r="A755" s="1">
        <v>754</v>
      </c>
      <c r="B755" s="1" t="s">
        <v>4</v>
      </c>
      <c r="C755" s="2">
        <v>3.1250006008440897E-5</v>
      </c>
    </row>
    <row r="756" spans="1:3">
      <c r="A756" s="1">
        <v>755</v>
      </c>
      <c r="B756" s="1" t="s">
        <v>4</v>
      </c>
      <c r="C756" s="2">
        <v>3.1250007438900598E-5</v>
      </c>
    </row>
    <row r="757" spans="1:3">
      <c r="A757" s="1">
        <v>756</v>
      </c>
      <c r="B757" s="1" t="s">
        <v>4</v>
      </c>
      <c r="C757" s="2">
        <v>3.1250007389933602E-5</v>
      </c>
    </row>
    <row r="758" spans="1:3">
      <c r="A758" s="1">
        <v>757</v>
      </c>
      <c r="B758" s="1" t="s">
        <v>4</v>
      </c>
      <c r="C758" s="2">
        <v>3.12500075936916E-5</v>
      </c>
    </row>
    <row r="759" spans="1:3">
      <c r="A759" s="1">
        <v>758</v>
      </c>
      <c r="B759" s="1" t="s">
        <v>4</v>
      </c>
      <c r="C759" s="2">
        <v>3.1249999848201803E-5</v>
      </c>
    </row>
    <row r="760" spans="1:3">
      <c r="A760" s="1">
        <v>759</v>
      </c>
      <c r="B760" s="1" t="s">
        <v>4</v>
      </c>
      <c r="C760" s="2">
        <v>3.1250001864561898E-5</v>
      </c>
    </row>
    <row r="761" spans="1:3">
      <c r="A761" s="1">
        <v>760</v>
      </c>
      <c r="B761" s="1" t="s">
        <v>4</v>
      </c>
      <c r="C761" s="2">
        <v>3.1249999923809401E-5</v>
      </c>
    </row>
    <row r="762" spans="1:3">
      <c r="A762" s="1">
        <v>761</v>
      </c>
      <c r="B762" s="1" t="s">
        <v>4</v>
      </c>
      <c r="C762" s="2">
        <v>3.12500011818771E-5</v>
      </c>
    </row>
    <row r="763" spans="1:3">
      <c r="A763" s="1">
        <v>762</v>
      </c>
      <c r="B763" s="1" t="s">
        <v>180</v>
      </c>
      <c r="C763" s="2">
        <v>3.1249998663020401E-5</v>
      </c>
    </row>
    <row r="764" spans="1:3">
      <c r="A764" s="1">
        <v>763</v>
      </c>
      <c r="B764" s="1" t="s">
        <v>4</v>
      </c>
      <c r="C764" s="2">
        <v>3.1250007835624701E-5</v>
      </c>
    </row>
    <row r="765" spans="1:3">
      <c r="A765" s="1">
        <v>764</v>
      </c>
      <c r="B765" s="1" t="s">
        <v>180</v>
      </c>
      <c r="C765" s="2">
        <v>3.1250000776587698E-5</v>
      </c>
    </row>
    <row r="766" spans="1:3">
      <c r="A766" s="1">
        <v>765</v>
      </c>
      <c r="B766" s="1" t="s">
        <v>4</v>
      </c>
      <c r="C766" s="2">
        <v>3.12500114655496E-5</v>
      </c>
    </row>
    <row r="767" spans="1:3">
      <c r="A767" s="1">
        <v>766</v>
      </c>
      <c r="B767" s="1" t="s">
        <v>180</v>
      </c>
      <c r="C767" s="2">
        <v>3.1250002435228499E-5</v>
      </c>
    </row>
    <row r="768" spans="1:3">
      <c r="A768" s="1">
        <v>767</v>
      </c>
      <c r="B768" s="1" t="s">
        <v>4</v>
      </c>
      <c r="C768" s="2">
        <v>3.1250001099207897E-5</v>
      </c>
    </row>
    <row r="769" spans="1:3">
      <c r="A769" s="1">
        <v>768</v>
      </c>
      <c r="B769" s="1" t="s">
        <v>180</v>
      </c>
      <c r="C769" s="2">
        <v>3.1250013163758197E-5</v>
      </c>
    </row>
    <row r="770" spans="1:3">
      <c r="A770" s="1">
        <v>769</v>
      </c>
      <c r="B770" s="1" t="s">
        <v>180</v>
      </c>
      <c r="C770" s="2">
        <v>3.1249998280913098E-5</v>
      </c>
    </row>
    <row r="771" spans="1:3">
      <c r="A771" s="1">
        <v>770</v>
      </c>
      <c r="B771" s="1" t="s">
        <v>4</v>
      </c>
      <c r="C771" s="2">
        <v>3.1249992788328603E-5</v>
      </c>
    </row>
    <row r="772" spans="1:3">
      <c r="A772" s="1">
        <v>771</v>
      </c>
      <c r="B772" s="1" t="s">
        <v>4</v>
      </c>
      <c r="C772" s="2">
        <v>3.1250004205912698E-5</v>
      </c>
    </row>
    <row r="773" spans="1:3">
      <c r="A773" s="1">
        <v>772</v>
      </c>
      <c r="B773" s="1" t="s">
        <v>4</v>
      </c>
      <c r="C773" s="2">
        <v>3.1250006099413001E-5</v>
      </c>
    </row>
    <row r="774" spans="1:3">
      <c r="A774" s="1">
        <v>773</v>
      </c>
      <c r="B774" s="1" t="s">
        <v>180</v>
      </c>
      <c r="C774" s="2">
        <v>3.1250002601268397E-5</v>
      </c>
    </row>
    <row r="775" spans="1:3">
      <c r="A775" s="1">
        <v>774</v>
      </c>
      <c r="B775" s="1" t="s">
        <v>180</v>
      </c>
      <c r="C775" s="2">
        <v>3.12500009454489E-5</v>
      </c>
    </row>
    <row r="776" spans="1:3">
      <c r="A776" s="1">
        <v>775</v>
      </c>
      <c r="B776" s="1" t="s">
        <v>180</v>
      </c>
      <c r="C776" s="2">
        <v>3.12500043344882E-5</v>
      </c>
    </row>
    <row r="777" spans="1:3">
      <c r="A777" s="1">
        <v>776</v>
      </c>
      <c r="B777" s="1" t="s">
        <v>180</v>
      </c>
      <c r="C777" s="2">
        <v>3.1250003148749701E-5</v>
      </c>
    </row>
    <row r="778" spans="1:3">
      <c r="A778" s="1">
        <v>777</v>
      </c>
      <c r="B778" s="1" t="s">
        <v>4</v>
      </c>
      <c r="C778" s="2">
        <v>3.1250004732406199E-5</v>
      </c>
    </row>
    <row r="779" spans="1:3">
      <c r="A779" s="1">
        <v>778</v>
      </c>
      <c r="B779" s="1" t="s">
        <v>180</v>
      </c>
      <c r="C779" s="2">
        <v>3.1249996639813699E-5</v>
      </c>
    </row>
    <row r="780" spans="1:3">
      <c r="A780" s="1">
        <v>779</v>
      </c>
      <c r="B780" s="1" t="s">
        <v>4</v>
      </c>
      <c r="C780" s="2">
        <v>3.1250003157377701E-5</v>
      </c>
    </row>
    <row r="781" spans="1:3">
      <c r="A781" s="1">
        <v>780</v>
      </c>
      <c r="B781" s="1" t="s">
        <v>180</v>
      </c>
      <c r="C781" s="2">
        <v>3.12500041660698E-5</v>
      </c>
    </row>
    <row r="782" spans="1:3">
      <c r="A782" s="1">
        <v>781</v>
      </c>
      <c r="B782" s="1" t="s">
        <v>4</v>
      </c>
      <c r="C782" s="2">
        <v>3.1250007404976501E-5</v>
      </c>
    </row>
    <row r="783" spans="1:3">
      <c r="A783" s="1">
        <v>782</v>
      </c>
      <c r="B783" s="1" t="s">
        <v>4</v>
      </c>
      <c r="C783" s="2">
        <v>3.12500048514031E-5</v>
      </c>
    </row>
    <row r="784" spans="1:3">
      <c r="A784" s="1">
        <v>783</v>
      </c>
      <c r="B784" s="1" t="s">
        <v>4</v>
      </c>
      <c r="C784" s="2">
        <v>3.1249996986694101E-5</v>
      </c>
    </row>
    <row r="785" spans="1:3">
      <c r="A785" s="1">
        <v>784</v>
      </c>
      <c r="B785" s="1" t="s">
        <v>180</v>
      </c>
      <c r="C785" s="2">
        <v>3.1250003501591202E-5</v>
      </c>
    </row>
    <row r="786" spans="1:3">
      <c r="A786" s="1">
        <v>785</v>
      </c>
      <c r="B786" s="1" t="s">
        <v>4</v>
      </c>
      <c r="C786" s="2">
        <v>3.1250004670408897E-5</v>
      </c>
    </row>
    <row r="787" spans="1:3">
      <c r="A787" s="1">
        <v>786</v>
      </c>
      <c r="B787" s="1" t="s">
        <v>4</v>
      </c>
      <c r="C787" s="2">
        <v>3.1250001363055502E-5</v>
      </c>
    </row>
    <row r="788" spans="1:3">
      <c r="A788" s="1">
        <v>787</v>
      </c>
      <c r="B788" s="1" t="s">
        <v>4</v>
      </c>
      <c r="C788" s="2">
        <v>3.1250004670193899E-5</v>
      </c>
    </row>
    <row r="789" spans="1:3">
      <c r="A789" s="1">
        <v>788</v>
      </c>
      <c r="B789" s="1" t="s">
        <v>180</v>
      </c>
      <c r="C789" s="2">
        <v>3.1250004655002601E-5</v>
      </c>
    </row>
    <row r="790" spans="1:3">
      <c r="A790" s="1">
        <v>789</v>
      </c>
      <c r="B790" s="1" t="s">
        <v>180</v>
      </c>
      <c r="C790" s="2">
        <v>3.1250004409337499E-5</v>
      </c>
    </row>
    <row r="791" spans="1:3">
      <c r="A791" s="1">
        <v>790</v>
      </c>
      <c r="B791" s="1" t="s">
        <v>180</v>
      </c>
      <c r="C791" s="2">
        <v>3.1250002336623503E-5</v>
      </c>
    </row>
    <row r="792" spans="1:3">
      <c r="A792" s="1">
        <v>791</v>
      </c>
      <c r="B792" s="1" t="s">
        <v>4</v>
      </c>
      <c r="C792" s="2">
        <v>3.1250002029903698E-5</v>
      </c>
    </row>
    <row r="793" spans="1:3">
      <c r="A793" s="1">
        <v>792</v>
      </c>
      <c r="B793" s="1" t="s">
        <v>180</v>
      </c>
      <c r="C793" s="2">
        <v>3.1250004777739999E-5</v>
      </c>
    </row>
    <row r="794" spans="1:3">
      <c r="A794" s="1">
        <v>793</v>
      </c>
      <c r="B794" s="1" t="s">
        <v>4</v>
      </c>
      <c r="C794" s="2">
        <v>3.1250007324994399E-5</v>
      </c>
    </row>
    <row r="795" spans="1:3">
      <c r="A795" s="1">
        <v>794</v>
      </c>
      <c r="B795" s="1" t="s">
        <v>4</v>
      </c>
      <c r="C795" s="2">
        <v>3.12500036943115E-5</v>
      </c>
    </row>
    <row r="796" spans="1:3">
      <c r="A796" s="1">
        <v>795</v>
      </c>
      <c r="B796" s="1" t="s">
        <v>180</v>
      </c>
      <c r="C796" s="2">
        <v>3.1250000750592101E-5</v>
      </c>
    </row>
    <row r="797" spans="1:3">
      <c r="A797" s="1">
        <v>796</v>
      </c>
      <c r="B797" s="1" t="s">
        <v>4</v>
      </c>
      <c r="C797" s="2">
        <v>3.1250003886515601E-5</v>
      </c>
    </row>
    <row r="798" spans="1:3">
      <c r="A798" s="1">
        <v>797</v>
      </c>
      <c r="B798" s="1" t="s">
        <v>4</v>
      </c>
      <c r="C798" s="2">
        <v>3.1250002844576599E-5</v>
      </c>
    </row>
    <row r="799" spans="1:3">
      <c r="A799" s="1">
        <v>798</v>
      </c>
      <c r="B799" s="1" t="s">
        <v>4</v>
      </c>
      <c r="C799" s="2">
        <v>3.1249999140336403E-5</v>
      </c>
    </row>
    <row r="800" spans="1:3">
      <c r="A800" s="1">
        <v>799</v>
      </c>
      <c r="B800" s="1" t="s">
        <v>4</v>
      </c>
      <c r="C800" s="2">
        <v>3.1249999083327298E-5</v>
      </c>
    </row>
    <row r="801" spans="1:3">
      <c r="A801" s="1">
        <v>800</v>
      </c>
      <c r="B801" s="1" t="s">
        <v>4</v>
      </c>
      <c r="C801" s="2">
        <v>3.1250009193706703E-5</v>
      </c>
    </row>
    <row r="802" spans="1:3">
      <c r="A802" s="1">
        <v>801</v>
      </c>
      <c r="B802" s="1" t="s">
        <v>180</v>
      </c>
      <c r="C802" s="2">
        <v>3.1250002861937101E-5</v>
      </c>
    </row>
    <row r="803" spans="1:3">
      <c r="A803" s="1">
        <v>802</v>
      </c>
      <c r="B803" s="1" t="s">
        <v>180</v>
      </c>
      <c r="C803" s="2">
        <v>3.1250005210113103E-5</v>
      </c>
    </row>
    <row r="804" spans="1:3">
      <c r="A804" s="1">
        <v>803</v>
      </c>
      <c r="B804" s="1" t="s">
        <v>180</v>
      </c>
      <c r="C804" s="2">
        <v>3.1250004275096099E-5</v>
      </c>
    </row>
    <row r="805" spans="1:3">
      <c r="A805" s="1">
        <v>804</v>
      </c>
      <c r="B805" s="1" t="s">
        <v>4</v>
      </c>
      <c r="C805" s="2">
        <v>3.1250001860890403E-5</v>
      </c>
    </row>
    <row r="806" spans="1:3">
      <c r="A806" s="1">
        <v>805</v>
      </c>
      <c r="B806" s="1" t="s">
        <v>180</v>
      </c>
      <c r="C806" s="2">
        <v>3.1250001771008301E-5</v>
      </c>
    </row>
    <row r="807" spans="1:3">
      <c r="A807" s="1">
        <v>806</v>
      </c>
      <c r="B807" s="1" t="s">
        <v>180</v>
      </c>
      <c r="C807" s="2">
        <v>3.12500025972666E-5</v>
      </c>
    </row>
    <row r="808" spans="1:3">
      <c r="A808" s="1">
        <v>807</v>
      </c>
      <c r="B808" s="1" t="s">
        <v>4</v>
      </c>
      <c r="C808" s="2">
        <v>3.1250007656476202E-5</v>
      </c>
    </row>
    <row r="809" spans="1:3">
      <c r="A809" s="1">
        <v>808</v>
      </c>
      <c r="B809" s="1" t="s">
        <v>4</v>
      </c>
      <c r="C809" s="2">
        <v>3.1250008588054002E-5</v>
      </c>
    </row>
    <row r="810" spans="1:3">
      <c r="A810" s="1">
        <v>809</v>
      </c>
      <c r="B810" s="1" t="s">
        <v>4</v>
      </c>
      <c r="C810" s="2">
        <v>3.12500010764546E-5</v>
      </c>
    </row>
    <row r="811" spans="1:3">
      <c r="A811" s="1">
        <v>810</v>
      </c>
      <c r="B811" s="1" t="s">
        <v>4</v>
      </c>
      <c r="C811" s="2">
        <v>3.1250010369069102E-5</v>
      </c>
    </row>
    <row r="812" spans="1:3">
      <c r="A812" s="1">
        <v>811</v>
      </c>
      <c r="B812" s="1" t="s">
        <v>180</v>
      </c>
      <c r="C812" s="2">
        <v>3.1250003079177803E-5</v>
      </c>
    </row>
    <row r="813" spans="1:3">
      <c r="A813" s="1">
        <v>812</v>
      </c>
      <c r="B813" s="1" t="s">
        <v>180</v>
      </c>
      <c r="C813" s="2">
        <v>3.1250002905968598E-5</v>
      </c>
    </row>
    <row r="814" spans="1:3">
      <c r="A814" s="1">
        <v>813</v>
      </c>
      <c r="B814" s="1" t="s">
        <v>4</v>
      </c>
      <c r="C814" s="2">
        <v>3.1250009795153899E-5</v>
      </c>
    </row>
    <row r="815" spans="1:3">
      <c r="A815" s="1">
        <v>814</v>
      </c>
      <c r="B815" s="1" t="s">
        <v>180</v>
      </c>
      <c r="C815" s="2">
        <v>3.1250000250369997E-5</v>
      </c>
    </row>
    <row r="816" spans="1:3">
      <c r="A816" s="1">
        <v>815</v>
      </c>
      <c r="B816" s="1" t="s">
        <v>4</v>
      </c>
      <c r="C816" s="2">
        <v>3.1250003276489601E-5</v>
      </c>
    </row>
    <row r="817" spans="1:3">
      <c r="A817" s="1">
        <v>816</v>
      </c>
      <c r="B817" s="1" t="s">
        <v>180</v>
      </c>
      <c r="C817" s="2">
        <v>3.1249994622897002E-5</v>
      </c>
    </row>
    <row r="818" spans="1:3">
      <c r="A818" s="1">
        <v>817</v>
      </c>
      <c r="B818" s="1" t="s">
        <v>4</v>
      </c>
      <c r="C818" s="2">
        <v>3.1250006704905803E-5</v>
      </c>
    </row>
    <row r="819" spans="1:3">
      <c r="A819" s="1">
        <v>818</v>
      </c>
      <c r="B819" s="1" t="s">
        <v>180</v>
      </c>
      <c r="C819" s="2">
        <v>3.1250000003784198E-5</v>
      </c>
    </row>
    <row r="820" spans="1:3">
      <c r="A820" s="1">
        <v>819</v>
      </c>
      <c r="B820" s="1" t="s">
        <v>4</v>
      </c>
      <c r="C820" s="2">
        <v>3.1250008035076003E-5</v>
      </c>
    </row>
    <row r="821" spans="1:3">
      <c r="A821" s="1">
        <v>820</v>
      </c>
      <c r="B821" s="1" t="s">
        <v>4</v>
      </c>
      <c r="C821" s="2">
        <v>3.12500098587158E-5</v>
      </c>
    </row>
    <row r="822" spans="1:3">
      <c r="A822" s="1">
        <v>821</v>
      </c>
      <c r="B822" s="1" t="s">
        <v>4</v>
      </c>
      <c r="C822" s="2">
        <v>3.12500041890846E-5</v>
      </c>
    </row>
    <row r="823" spans="1:3">
      <c r="A823" s="1">
        <v>822</v>
      </c>
      <c r="B823" s="1" t="s">
        <v>4</v>
      </c>
      <c r="C823" s="2">
        <v>3.1249994297364202E-5</v>
      </c>
    </row>
    <row r="824" spans="1:3">
      <c r="A824" s="1">
        <v>823</v>
      </c>
      <c r="B824" s="1" t="s">
        <v>4</v>
      </c>
      <c r="C824" s="2">
        <v>3.12500144437354E-5</v>
      </c>
    </row>
    <row r="825" spans="1:3">
      <c r="A825" s="1">
        <v>824</v>
      </c>
      <c r="B825" s="1" t="s">
        <v>4</v>
      </c>
      <c r="C825" s="2">
        <v>3.1250001379710298E-5</v>
      </c>
    </row>
    <row r="826" spans="1:3">
      <c r="A826" s="1">
        <v>825</v>
      </c>
      <c r="B826" s="1" t="s">
        <v>4</v>
      </c>
      <c r="C826" s="2">
        <v>3.1250004620069498E-5</v>
      </c>
    </row>
    <row r="827" spans="1:3">
      <c r="A827" s="1">
        <v>826</v>
      </c>
      <c r="B827" s="1" t="s">
        <v>180</v>
      </c>
      <c r="C827" s="2">
        <v>3.1249999101990198E-5</v>
      </c>
    </row>
    <row r="828" spans="1:3">
      <c r="A828" s="1">
        <v>827</v>
      </c>
      <c r="B828" s="1" t="s">
        <v>4</v>
      </c>
      <c r="C828" s="2">
        <v>3.1249998979648398E-5</v>
      </c>
    </row>
    <row r="829" spans="1:3">
      <c r="A829" s="1">
        <v>828</v>
      </c>
      <c r="B829" s="1" t="s">
        <v>4</v>
      </c>
      <c r="C829" s="2">
        <v>3.1250010927348003E-5</v>
      </c>
    </row>
    <row r="830" spans="1:3">
      <c r="A830" s="1">
        <v>829</v>
      </c>
      <c r="B830" s="1" t="s">
        <v>4</v>
      </c>
      <c r="C830" s="2">
        <v>3.1250009993011302E-5</v>
      </c>
    </row>
    <row r="831" spans="1:3">
      <c r="A831" s="1">
        <v>830</v>
      </c>
      <c r="B831" s="1" t="s">
        <v>4</v>
      </c>
      <c r="C831" s="2">
        <v>3.12500055133638E-5</v>
      </c>
    </row>
    <row r="832" spans="1:3">
      <c r="A832" s="1">
        <v>831</v>
      </c>
      <c r="B832" s="1" t="s">
        <v>180</v>
      </c>
      <c r="C832" s="2">
        <v>3.12500001041092E-5</v>
      </c>
    </row>
    <row r="833" spans="1:3">
      <c r="A833" s="1">
        <v>832</v>
      </c>
      <c r="B833" s="1" t="s">
        <v>4</v>
      </c>
      <c r="C833" s="2">
        <v>3.1250011712704998E-5</v>
      </c>
    </row>
    <row r="834" spans="1:3">
      <c r="A834" s="1">
        <v>833</v>
      </c>
      <c r="B834" s="1" t="s">
        <v>4</v>
      </c>
      <c r="C834" s="2">
        <v>3.1250002808386398E-5</v>
      </c>
    </row>
    <row r="835" spans="1:3">
      <c r="A835" s="1">
        <v>834</v>
      </c>
      <c r="B835" s="1" t="s">
        <v>180</v>
      </c>
      <c r="C835" s="2">
        <v>3.1250001761344997E-5</v>
      </c>
    </row>
    <row r="836" spans="1:3">
      <c r="A836" s="1">
        <v>835</v>
      </c>
      <c r="B836" s="1" t="s">
        <v>4</v>
      </c>
      <c r="C836" s="2">
        <v>3.12500110442668E-5</v>
      </c>
    </row>
    <row r="837" spans="1:3">
      <c r="A837" s="1">
        <v>836</v>
      </c>
      <c r="B837" s="1" t="s">
        <v>180</v>
      </c>
      <c r="C837" s="2">
        <v>3.1250014360197799E-5</v>
      </c>
    </row>
    <row r="838" spans="1:3">
      <c r="A838" s="1">
        <v>837</v>
      </c>
      <c r="B838" s="1" t="s">
        <v>4</v>
      </c>
      <c r="C838" s="2">
        <v>3.1250008522737699E-5</v>
      </c>
    </row>
    <row r="839" spans="1:3">
      <c r="A839" s="1">
        <v>838</v>
      </c>
      <c r="B839" s="1" t="s">
        <v>4</v>
      </c>
      <c r="C839" s="2">
        <v>3.1250001851696897E-5</v>
      </c>
    </row>
    <row r="840" spans="1:3">
      <c r="A840" s="1">
        <v>839</v>
      </c>
      <c r="B840" s="1" t="s">
        <v>4</v>
      </c>
      <c r="C840" s="2">
        <v>3.1250005833910802E-5</v>
      </c>
    </row>
    <row r="841" spans="1:3">
      <c r="A841" s="1">
        <v>840</v>
      </c>
      <c r="B841" s="1" t="s">
        <v>4</v>
      </c>
      <c r="C841" s="2">
        <v>3.1250002817966903E-5</v>
      </c>
    </row>
    <row r="842" spans="1:3">
      <c r="A842" s="1">
        <v>841</v>
      </c>
      <c r="B842" s="1" t="s">
        <v>180</v>
      </c>
      <c r="C842" s="2">
        <v>3.1249999706114899E-5</v>
      </c>
    </row>
    <row r="843" spans="1:3">
      <c r="A843" s="1">
        <v>842</v>
      </c>
      <c r="B843" s="1" t="s">
        <v>4</v>
      </c>
      <c r="C843" s="2">
        <v>3.1250000171155998E-5</v>
      </c>
    </row>
    <row r="844" spans="1:3">
      <c r="A844" s="1">
        <v>843</v>
      </c>
      <c r="B844" s="1" t="s">
        <v>4</v>
      </c>
      <c r="C844" s="2">
        <v>3.1250004590203299E-5</v>
      </c>
    </row>
    <row r="845" spans="1:3">
      <c r="A845" s="1">
        <v>844</v>
      </c>
      <c r="B845" s="1" t="s">
        <v>180</v>
      </c>
      <c r="C845" s="2">
        <v>3.12500011121827E-5</v>
      </c>
    </row>
    <row r="846" spans="1:3">
      <c r="A846" s="1">
        <v>845</v>
      </c>
      <c r="B846" s="1" t="s">
        <v>180</v>
      </c>
      <c r="C846" s="2">
        <v>3.12499986979681E-5</v>
      </c>
    </row>
    <row r="847" spans="1:3">
      <c r="A847" s="1">
        <v>846</v>
      </c>
      <c r="B847" s="1" t="s">
        <v>180</v>
      </c>
      <c r="C847" s="2">
        <v>3.1250001763777798E-5</v>
      </c>
    </row>
    <row r="848" spans="1:3">
      <c r="A848" s="1">
        <v>847</v>
      </c>
      <c r="B848" s="1" t="s">
        <v>4</v>
      </c>
      <c r="C848" s="2">
        <v>3.12500028941977E-5</v>
      </c>
    </row>
    <row r="849" spans="1:3">
      <c r="A849" s="1">
        <v>848</v>
      </c>
      <c r="B849" s="1" t="s">
        <v>4</v>
      </c>
      <c r="C849" s="2">
        <v>3.1250011017835503E-5</v>
      </c>
    </row>
    <row r="850" spans="1:3">
      <c r="A850" s="1">
        <v>849</v>
      </c>
      <c r="B850" s="1" t="s">
        <v>180</v>
      </c>
      <c r="C850" s="2">
        <v>3.1249998853531901E-5</v>
      </c>
    </row>
    <row r="851" spans="1:3">
      <c r="A851" s="1">
        <v>850</v>
      </c>
      <c r="B851" s="1" t="s">
        <v>180</v>
      </c>
      <c r="C851" s="2">
        <v>3.1250003634553E-5</v>
      </c>
    </row>
    <row r="852" spans="1:3">
      <c r="A852" s="1">
        <v>851</v>
      </c>
      <c r="B852" s="1" t="s">
        <v>4</v>
      </c>
      <c r="C852" s="2">
        <v>3.1250003336894597E-5</v>
      </c>
    </row>
    <row r="853" spans="1:3">
      <c r="A853" s="1">
        <v>852</v>
      </c>
      <c r="B853" s="1" t="s">
        <v>4</v>
      </c>
      <c r="C853" s="2">
        <v>3.1250009071430897E-5</v>
      </c>
    </row>
  </sheetData>
  <autoFilter ref="A1:C853" xr:uid="{2078CD45-D6FB-0A46-B690-AF5D5752077F}"/>
  <sortState xmlns:xlrd2="http://schemas.microsoft.com/office/spreadsheetml/2017/richdata2" ref="Q15:Q16">
    <sortCondition ref="Q15"/>
  </sortState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EE95-1654-E348-804C-A95F9F144B46}">
  <dimension ref="A1:U853"/>
  <sheetViews>
    <sheetView topLeftCell="C31" zoomScale="75" workbookViewId="0">
      <selection activeCell="L4" sqref="L4"/>
    </sheetView>
  </sheetViews>
  <sheetFormatPr baseColWidth="10" defaultRowHeight="16"/>
  <cols>
    <col min="12" max="12" width="20.1640625" customWidth="1"/>
    <col min="19" max="19" width="13.33203125" bestFit="1" customWidth="1"/>
  </cols>
  <sheetData>
    <row r="1" spans="1:21">
      <c r="A1" s="3" t="s">
        <v>2334</v>
      </c>
      <c r="B1" s="3" t="s">
        <v>1727</v>
      </c>
      <c r="C1" s="3" t="s">
        <v>2331</v>
      </c>
      <c r="G1" t="s">
        <v>2422</v>
      </c>
      <c r="H1" t="s">
        <v>2423</v>
      </c>
    </row>
    <row r="2" spans="1:21">
      <c r="A2" s="1">
        <v>1</v>
      </c>
      <c r="B2" s="1" t="s">
        <v>4</v>
      </c>
      <c r="C2" s="2">
        <v>2.79823816733228E-5</v>
      </c>
      <c r="G2" s="26">
        <v>2.8E-5</v>
      </c>
      <c r="H2" s="26">
        <v>4.8799999999999999E-6</v>
      </c>
    </row>
    <row r="3" spans="1:21">
      <c r="A3" s="1">
        <v>2</v>
      </c>
      <c r="B3" s="1" t="s">
        <v>4</v>
      </c>
      <c r="C3" s="2">
        <v>2.8429201080689499E-5</v>
      </c>
      <c r="G3" s="26">
        <v>2.8399999999999999E-5</v>
      </c>
      <c r="H3" s="26">
        <v>3.4800000000000001E-6</v>
      </c>
      <c r="K3" t="s">
        <v>2422</v>
      </c>
      <c r="N3" t="s">
        <v>2437</v>
      </c>
      <c r="R3" t="s">
        <v>2423</v>
      </c>
      <c r="U3" t="s">
        <v>2437</v>
      </c>
    </row>
    <row r="4" spans="1:21">
      <c r="A4" s="1">
        <v>3</v>
      </c>
      <c r="B4" s="1" t="s">
        <v>4</v>
      </c>
      <c r="C4" s="2">
        <v>2.0558035593955601E-5</v>
      </c>
      <c r="G4" s="26">
        <v>2.0599999999999999E-5</v>
      </c>
      <c r="H4" s="26">
        <v>3.9700000000000001E-6</v>
      </c>
      <c r="K4" s="13" t="s">
        <v>2425</v>
      </c>
      <c r="L4" s="26">
        <f>MAX(G2:G721)</f>
        <v>3.1199999999999999E-5</v>
      </c>
      <c r="M4">
        <v>1</v>
      </c>
      <c r="N4" s="26">
        <v>1.49E-7</v>
      </c>
      <c r="R4" s="13" t="s">
        <v>2425</v>
      </c>
      <c r="S4" s="26">
        <f>MAX(H2:H133)</f>
        <v>3.1199999999999999E-5</v>
      </c>
      <c r="T4">
        <v>1</v>
      </c>
      <c r="U4" s="26">
        <v>5.1599999999999999E-8</v>
      </c>
    </row>
    <row r="5" spans="1:21">
      <c r="A5" s="1">
        <v>4</v>
      </c>
      <c r="B5" s="1" t="s">
        <v>4</v>
      </c>
      <c r="C5" s="2">
        <v>1.8170960749982101E-5</v>
      </c>
      <c r="G5" s="26">
        <v>1.8199999999999999E-5</v>
      </c>
      <c r="H5" s="26">
        <v>7.2500000000000005E-7</v>
      </c>
      <c r="K5" s="13" t="s">
        <v>2427</v>
      </c>
      <c r="L5" s="26">
        <f>MIN(G2:G721)</f>
        <v>1.49E-7</v>
      </c>
      <c r="M5">
        <v>2</v>
      </c>
      <c r="N5" s="26">
        <f>N4+L$9</f>
        <v>1.7832631578947368E-6</v>
      </c>
      <c r="R5" s="13" t="s">
        <v>2427</v>
      </c>
      <c r="S5" s="26">
        <f>MIN(H2:H133)</f>
        <v>5.1599999999999999E-8</v>
      </c>
      <c r="T5">
        <v>2</v>
      </c>
      <c r="U5" s="26">
        <f>U4+S$9</f>
        <v>1.6909894736842106E-6</v>
      </c>
    </row>
    <row r="6" spans="1:21">
      <c r="A6" s="1">
        <v>5</v>
      </c>
      <c r="B6" s="1" t="s">
        <v>4</v>
      </c>
      <c r="C6" s="2">
        <v>3.1151101140115597E-5</v>
      </c>
      <c r="G6" s="26">
        <v>3.1199999999999999E-5</v>
      </c>
      <c r="H6" s="26">
        <v>1.09E-7</v>
      </c>
      <c r="K6" s="13" t="s">
        <v>2429</v>
      </c>
      <c r="L6" s="26">
        <f>AVERAGE(G2:G721)</f>
        <v>2.1917230555555506E-5</v>
      </c>
      <c r="M6">
        <v>3</v>
      </c>
      <c r="N6" s="26">
        <f t="shared" ref="N6:N23" si="0">N5+L$9</f>
        <v>3.4175263157894734E-6</v>
      </c>
      <c r="R6" s="13" t="s">
        <v>2429</v>
      </c>
      <c r="S6" s="26">
        <f>AVERAGE(H2:H133)</f>
        <v>5.1001916666666657E-6</v>
      </c>
      <c r="T6">
        <v>3</v>
      </c>
      <c r="U6" s="26">
        <f t="shared" ref="U6:U23" si="1">U5+S$9</f>
        <v>3.3303789473684211E-6</v>
      </c>
    </row>
    <row r="7" spans="1:21">
      <c r="A7" s="1">
        <v>6</v>
      </c>
      <c r="B7" s="1" t="s">
        <v>4</v>
      </c>
      <c r="C7" s="2">
        <v>2.6765574452641399E-5</v>
      </c>
      <c r="G7" s="26">
        <v>2.6800000000000001E-5</v>
      </c>
      <c r="H7" s="26">
        <v>1.99E-6</v>
      </c>
      <c r="K7" s="13" t="s">
        <v>2431</v>
      </c>
      <c r="L7">
        <f>_xlfn.STDEV.S(G2:G721)</f>
        <v>9.1351252785594564E-6</v>
      </c>
      <c r="M7">
        <v>4</v>
      </c>
      <c r="N7" s="26">
        <f t="shared" si="0"/>
        <v>5.0517894736842102E-6</v>
      </c>
      <c r="R7" s="13" t="s">
        <v>2431</v>
      </c>
      <c r="S7">
        <f>_xlfn.STDEV.S(H2:H133)</f>
        <v>7.2707344585064604E-6</v>
      </c>
      <c r="T7">
        <v>4</v>
      </c>
      <c r="U7" s="26">
        <f t="shared" si="1"/>
        <v>4.9697684210526312E-6</v>
      </c>
    </row>
    <row r="8" spans="1:21">
      <c r="A8" s="1">
        <v>7</v>
      </c>
      <c r="B8" s="1" t="s">
        <v>4</v>
      </c>
      <c r="C8" s="2">
        <v>2.3754532278150301E-6</v>
      </c>
      <c r="G8" s="26">
        <v>2.3800000000000001E-6</v>
      </c>
      <c r="H8" s="26">
        <v>1.15E-5</v>
      </c>
      <c r="K8" s="13" t="s">
        <v>2435</v>
      </c>
      <c r="L8">
        <v>20</v>
      </c>
      <c r="M8">
        <v>5</v>
      </c>
      <c r="N8" s="26">
        <f t="shared" si="0"/>
        <v>6.6860526315789471E-6</v>
      </c>
      <c r="R8" s="13" t="s">
        <v>2435</v>
      </c>
      <c r="S8">
        <v>20</v>
      </c>
      <c r="T8">
        <v>5</v>
      </c>
      <c r="U8" s="26">
        <f t="shared" si="1"/>
        <v>6.6091578947368417E-6</v>
      </c>
    </row>
    <row r="9" spans="1:21">
      <c r="A9" s="1">
        <v>8</v>
      </c>
      <c r="B9" s="1" t="s">
        <v>4</v>
      </c>
      <c r="C9" s="2">
        <v>1.7038221905999199E-6</v>
      </c>
      <c r="G9" s="26">
        <v>1.7E-6</v>
      </c>
      <c r="H9" s="26">
        <v>1.0499999999999999E-6</v>
      </c>
      <c r="K9" s="13" t="s">
        <v>2433</v>
      </c>
      <c r="L9" s="26">
        <f>(L4-L5)/19</f>
        <v>1.6342631578947368E-6</v>
      </c>
      <c r="M9">
        <v>6</v>
      </c>
      <c r="N9" s="26">
        <f t="shared" si="0"/>
        <v>8.3203157894736839E-6</v>
      </c>
      <c r="R9" s="13" t="s">
        <v>2433</v>
      </c>
      <c r="S9" s="26">
        <f>(S4-S5)/19</f>
        <v>1.6393894736842105E-6</v>
      </c>
      <c r="T9">
        <v>6</v>
      </c>
      <c r="U9" s="26">
        <f t="shared" si="1"/>
        <v>8.2485473684210522E-6</v>
      </c>
    </row>
    <row r="10" spans="1:21">
      <c r="A10" s="1">
        <v>9</v>
      </c>
      <c r="B10" s="1" t="s">
        <v>4</v>
      </c>
      <c r="C10" s="2">
        <v>8.9662590729610095E-6</v>
      </c>
      <c r="G10" s="26">
        <v>8.9700000000000005E-6</v>
      </c>
      <c r="H10" s="26">
        <v>2.9099999999999999E-5</v>
      </c>
      <c r="M10">
        <v>7</v>
      </c>
      <c r="N10" s="26">
        <f t="shared" si="0"/>
        <v>9.9545789473684207E-6</v>
      </c>
      <c r="T10">
        <v>7</v>
      </c>
      <c r="U10" s="26">
        <f t="shared" si="1"/>
        <v>9.8879368421052627E-6</v>
      </c>
    </row>
    <row r="11" spans="1:21">
      <c r="A11" s="1">
        <v>10</v>
      </c>
      <c r="B11" s="1" t="s">
        <v>4</v>
      </c>
      <c r="C11" s="2">
        <v>1.71203031680451E-5</v>
      </c>
      <c r="G11" s="26">
        <v>1.7099999999999999E-5</v>
      </c>
      <c r="H11" s="26">
        <v>2.4600000000000001E-7</v>
      </c>
      <c r="M11">
        <v>8</v>
      </c>
      <c r="N11" s="26">
        <f t="shared" si="0"/>
        <v>1.1588842105263158E-5</v>
      </c>
      <c r="T11">
        <v>8</v>
      </c>
      <c r="U11" s="26">
        <f t="shared" si="1"/>
        <v>1.1527326315789473E-5</v>
      </c>
    </row>
    <row r="12" spans="1:21">
      <c r="A12" s="1">
        <v>11</v>
      </c>
      <c r="B12" s="1" t="s">
        <v>4</v>
      </c>
      <c r="C12" s="2">
        <v>6.4012589456800799E-6</v>
      </c>
      <c r="G12" s="26">
        <v>6.3999999999999997E-6</v>
      </c>
      <c r="H12" s="26">
        <v>3.54E-6</v>
      </c>
      <c r="M12">
        <v>9</v>
      </c>
      <c r="N12" s="26">
        <f t="shared" si="0"/>
        <v>1.3223105263157894E-5</v>
      </c>
      <c r="T12">
        <v>9</v>
      </c>
      <c r="U12" s="26">
        <f t="shared" si="1"/>
        <v>1.3166715789473684E-5</v>
      </c>
    </row>
    <row r="13" spans="1:21">
      <c r="A13" s="1">
        <v>12</v>
      </c>
      <c r="B13" s="1" t="s">
        <v>4</v>
      </c>
      <c r="C13" s="2">
        <v>2.4443450443438299E-5</v>
      </c>
      <c r="G13" s="26">
        <v>2.44E-5</v>
      </c>
      <c r="H13" s="26">
        <v>5.5099999999999998E-6</v>
      </c>
      <c r="M13">
        <v>10</v>
      </c>
      <c r="N13" s="26">
        <f t="shared" si="0"/>
        <v>1.4857368421052631E-5</v>
      </c>
      <c r="T13">
        <v>10</v>
      </c>
      <c r="U13" s="26">
        <f t="shared" si="1"/>
        <v>1.4806105263157894E-5</v>
      </c>
    </row>
    <row r="14" spans="1:21">
      <c r="A14" s="1">
        <v>13</v>
      </c>
      <c r="B14" s="1" t="s">
        <v>4</v>
      </c>
      <c r="C14" s="2">
        <v>2.4586191895520099E-5</v>
      </c>
      <c r="G14" s="26">
        <v>2.4600000000000002E-5</v>
      </c>
      <c r="H14" s="26">
        <v>4.3100000000000002E-6</v>
      </c>
      <c r="M14">
        <v>11</v>
      </c>
      <c r="N14" s="26">
        <f t="shared" si="0"/>
        <v>1.6491631578947366E-5</v>
      </c>
      <c r="T14">
        <v>11</v>
      </c>
      <c r="U14" s="26">
        <f t="shared" si="1"/>
        <v>1.6445494736842106E-5</v>
      </c>
    </row>
    <row r="15" spans="1:21">
      <c r="A15" s="1">
        <v>14</v>
      </c>
      <c r="B15" s="1" t="s">
        <v>4</v>
      </c>
      <c r="C15" s="2">
        <v>2.25069022340522E-5</v>
      </c>
      <c r="G15" s="26">
        <v>2.2500000000000001E-5</v>
      </c>
      <c r="H15" s="26">
        <v>1.77E-6</v>
      </c>
      <c r="M15">
        <v>12</v>
      </c>
      <c r="N15" s="26">
        <f t="shared" si="0"/>
        <v>1.8125894736842105E-5</v>
      </c>
      <c r="T15">
        <v>12</v>
      </c>
      <c r="U15" s="26">
        <f t="shared" si="1"/>
        <v>1.8084884210526315E-5</v>
      </c>
    </row>
    <row r="16" spans="1:21">
      <c r="A16" s="1">
        <v>15</v>
      </c>
      <c r="B16" s="1" t="s">
        <v>4</v>
      </c>
      <c r="C16" s="2">
        <v>2.8956627490769399E-5</v>
      </c>
      <c r="G16" s="26">
        <v>2.9E-5</v>
      </c>
      <c r="H16" s="26">
        <v>1.1399999999999999E-5</v>
      </c>
      <c r="M16">
        <v>13</v>
      </c>
      <c r="N16" s="26">
        <f t="shared" si="0"/>
        <v>1.9760157894736843E-5</v>
      </c>
      <c r="T16">
        <v>13</v>
      </c>
      <c r="U16" s="26">
        <f t="shared" si="1"/>
        <v>1.9724273684210524E-5</v>
      </c>
    </row>
    <row r="17" spans="1:21">
      <c r="A17" s="1">
        <v>16</v>
      </c>
      <c r="B17" s="1" t="s">
        <v>4</v>
      </c>
      <c r="C17" s="2">
        <v>1.32811617673115E-5</v>
      </c>
      <c r="G17" s="26">
        <v>1.33E-5</v>
      </c>
      <c r="H17" s="26">
        <v>1.7099999999999999E-6</v>
      </c>
      <c r="M17">
        <v>14</v>
      </c>
      <c r="N17" s="26">
        <f t="shared" si="0"/>
        <v>2.1394421052631582E-5</v>
      </c>
      <c r="T17">
        <v>14</v>
      </c>
      <c r="U17" s="26">
        <f t="shared" si="1"/>
        <v>2.1363663157894733E-5</v>
      </c>
    </row>
    <row r="18" spans="1:21">
      <c r="A18" s="1">
        <v>17</v>
      </c>
      <c r="B18" s="1" t="s">
        <v>4</v>
      </c>
      <c r="C18" s="2">
        <v>2.83107966774932E-5</v>
      </c>
      <c r="G18" s="26">
        <v>2.83E-5</v>
      </c>
      <c r="H18" s="26">
        <v>3.0899999999999999E-5</v>
      </c>
      <c r="M18">
        <v>15</v>
      </c>
      <c r="N18" s="26">
        <f t="shared" si="0"/>
        <v>2.302868421052632E-5</v>
      </c>
      <c r="T18">
        <v>15</v>
      </c>
      <c r="U18" s="26">
        <f t="shared" si="1"/>
        <v>2.3003052631578942E-5</v>
      </c>
    </row>
    <row r="19" spans="1:21">
      <c r="A19" s="1">
        <v>18</v>
      </c>
      <c r="B19" s="1" t="s">
        <v>4</v>
      </c>
      <c r="C19" s="2">
        <v>2.5028258601513699E-5</v>
      </c>
      <c r="G19" s="26">
        <v>2.5000000000000001E-5</v>
      </c>
      <c r="H19" s="26">
        <v>2.43E-6</v>
      </c>
      <c r="M19">
        <v>16</v>
      </c>
      <c r="N19" s="26">
        <f t="shared" si="0"/>
        <v>2.4662947368421059E-5</v>
      </c>
      <c r="T19">
        <v>16</v>
      </c>
      <c r="U19" s="26">
        <f t="shared" si="1"/>
        <v>2.4642442105263151E-5</v>
      </c>
    </row>
    <row r="20" spans="1:21">
      <c r="A20" s="1">
        <v>19</v>
      </c>
      <c r="B20" s="1" t="s">
        <v>4</v>
      </c>
      <c r="C20" s="2">
        <v>1.77372661651715E-5</v>
      </c>
      <c r="G20" s="26">
        <v>1.77E-5</v>
      </c>
      <c r="H20" s="26">
        <v>1.1000000000000001E-6</v>
      </c>
      <c r="M20">
        <v>17</v>
      </c>
      <c r="N20" s="26">
        <f t="shared" si="0"/>
        <v>2.6297210526315797E-5</v>
      </c>
      <c r="T20">
        <v>17</v>
      </c>
      <c r="U20" s="26">
        <f t="shared" si="1"/>
        <v>2.6281831578947359E-5</v>
      </c>
    </row>
    <row r="21" spans="1:21">
      <c r="A21" s="1">
        <v>20</v>
      </c>
      <c r="B21" s="1" t="s">
        <v>4</v>
      </c>
      <c r="C21" s="2">
        <v>2.8657899731398299E-5</v>
      </c>
      <c r="G21" s="26">
        <v>2.87E-5</v>
      </c>
      <c r="H21" s="26">
        <v>2.6600000000000003E-7</v>
      </c>
      <c r="M21">
        <v>18</v>
      </c>
      <c r="N21" s="26">
        <f t="shared" si="0"/>
        <v>2.7931473684210536E-5</v>
      </c>
      <c r="T21">
        <v>18</v>
      </c>
      <c r="U21" s="26">
        <f t="shared" si="1"/>
        <v>2.7921221052631568E-5</v>
      </c>
    </row>
    <row r="22" spans="1:21">
      <c r="A22" s="1">
        <v>21</v>
      </c>
      <c r="B22" s="1" t="s">
        <v>4</v>
      </c>
      <c r="C22" s="2">
        <v>3.1137365485689602E-5</v>
      </c>
      <c r="G22" s="26">
        <v>3.1099999999999997E-5</v>
      </c>
      <c r="H22" s="26">
        <v>1.1400000000000001E-6</v>
      </c>
      <c r="M22">
        <v>19</v>
      </c>
      <c r="N22" s="26">
        <f t="shared" si="0"/>
        <v>2.9565736842105274E-5</v>
      </c>
      <c r="T22">
        <v>19</v>
      </c>
      <c r="U22" s="26">
        <f t="shared" si="1"/>
        <v>2.9560610526315777E-5</v>
      </c>
    </row>
    <row r="23" spans="1:21">
      <c r="A23" s="1">
        <v>22</v>
      </c>
      <c r="B23" s="1" t="s">
        <v>4</v>
      </c>
      <c r="C23" s="2">
        <v>3.0316602347732001E-5</v>
      </c>
      <c r="G23" s="26">
        <v>3.0300000000000001E-5</v>
      </c>
      <c r="H23" s="26">
        <v>4.0500000000000002E-6</v>
      </c>
      <c r="M23">
        <v>20</v>
      </c>
      <c r="N23" s="26">
        <f t="shared" si="0"/>
        <v>3.1200000000000013E-5</v>
      </c>
      <c r="T23">
        <v>20</v>
      </c>
      <c r="U23" s="26">
        <f t="shared" si="1"/>
        <v>3.1199999999999986E-5</v>
      </c>
    </row>
    <row r="24" spans="1:21">
      <c r="A24" s="1">
        <v>23</v>
      </c>
      <c r="B24" s="1" t="s">
        <v>4</v>
      </c>
      <c r="C24" s="2">
        <v>2.9330910616516202E-5</v>
      </c>
      <c r="G24" s="26">
        <v>2.9300000000000001E-5</v>
      </c>
      <c r="H24" s="26">
        <v>3.7900000000000001E-6</v>
      </c>
    </row>
    <row r="25" spans="1:21">
      <c r="A25" s="1">
        <v>24</v>
      </c>
      <c r="B25" s="1" t="s">
        <v>4</v>
      </c>
      <c r="C25" s="2">
        <v>1.8712507865415399E-5</v>
      </c>
      <c r="G25" s="26">
        <v>1.8700000000000001E-5</v>
      </c>
      <c r="H25" s="26">
        <v>1.3200000000000001E-5</v>
      </c>
    </row>
    <row r="26" spans="1:21" ht="17" thickBot="1">
      <c r="A26" s="1">
        <v>25</v>
      </c>
      <c r="B26" s="1" t="s">
        <v>4</v>
      </c>
      <c r="C26" s="2">
        <v>3.0488460540173299E-5</v>
      </c>
      <c r="G26" s="26">
        <v>3.0499999999999999E-5</v>
      </c>
      <c r="H26" s="26">
        <v>9.2399999999999994E-8</v>
      </c>
    </row>
    <row r="27" spans="1:21">
      <c r="A27" s="1">
        <v>26</v>
      </c>
      <c r="B27" s="1" t="s">
        <v>4</v>
      </c>
      <c r="C27" s="2">
        <v>1.00185405307432E-5</v>
      </c>
      <c r="G27" s="26">
        <v>1.0000000000000001E-5</v>
      </c>
      <c r="H27" s="26">
        <v>4.2500000000000001E-7</v>
      </c>
      <c r="K27" s="28" t="s">
        <v>2438</v>
      </c>
      <c r="L27" s="28" t="s">
        <v>2440</v>
      </c>
      <c r="M27" t="s">
        <v>2443</v>
      </c>
      <c r="S27" s="28" t="s">
        <v>2438</v>
      </c>
      <c r="T27" s="28" t="s">
        <v>2440</v>
      </c>
      <c r="U27" t="s">
        <v>2444</v>
      </c>
    </row>
    <row r="28" spans="1:21">
      <c r="A28" s="1">
        <v>27</v>
      </c>
      <c r="B28" s="1" t="s">
        <v>4</v>
      </c>
      <c r="C28" s="2">
        <v>1.12420171714199E-5</v>
      </c>
      <c r="G28" s="26">
        <v>1.1199999999999999E-5</v>
      </c>
      <c r="H28" s="26">
        <v>1.11E-5</v>
      </c>
      <c r="K28" s="26">
        <v>1.49E-7</v>
      </c>
      <c r="L28">
        <v>1</v>
      </c>
      <c r="M28">
        <f>_xlfn.NORM.DIST(K28,L$6,L$7,0)</f>
        <v>2553.7094277321767</v>
      </c>
      <c r="S28" s="26">
        <v>5.1599999999999999E-8</v>
      </c>
      <c r="T28">
        <v>1</v>
      </c>
      <c r="U28">
        <f>_xlfn.NORM.DIST(S28,S$6,S$7,0)</f>
        <v>43115.538745452832</v>
      </c>
    </row>
    <row r="29" spans="1:21">
      <c r="A29" s="1">
        <v>28</v>
      </c>
      <c r="B29" s="1" t="s">
        <v>4</v>
      </c>
      <c r="C29" s="2">
        <v>1.9031921230566499E-5</v>
      </c>
      <c r="G29" s="26">
        <v>1.9000000000000001E-5</v>
      </c>
      <c r="H29" s="26">
        <v>9.7600000000000006E-7</v>
      </c>
      <c r="K29" s="26">
        <v>1.7832631578947368E-6</v>
      </c>
      <c r="L29">
        <v>26</v>
      </c>
      <c r="M29">
        <f t="shared" ref="M29:M47" si="2">_xlfn.NORM.DIST(K29,L$6,L$7,0)</f>
        <v>3849.1230459414055</v>
      </c>
      <c r="S29" s="26">
        <v>1.6909894736842106E-6</v>
      </c>
      <c r="T29">
        <v>50</v>
      </c>
      <c r="U29">
        <f t="shared" ref="U29:U47" si="3">_xlfn.NORM.DIST(S29,S$6,S$7,0)</f>
        <v>49157.466277930893</v>
      </c>
    </row>
    <row r="30" spans="1:21">
      <c r="A30" s="1">
        <v>29</v>
      </c>
      <c r="B30" s="1" t="s">
        <v>4</v>
      </c>
      <c r="C30" s="2">
        <v>3.0102128407947599E-5</v>
      </c>
      <c r="G30" s="26">
        <v>3.01E-5</v>
      </c>
      <c r="H30" s="26">
        <v>5.2000000000000002E-6</v>
      </c>
      <c r="K30" s="26">
        <v>3.4175263157894734E-6</v>
      </c>
      <c r="L30">
        <v>15</v>
      </c>
      <c r="M30">
        <f t="shared" si="2"/>
        <v>5618.9168594009143</v>
      </c>
      <c r="S30" s="26">
        <v>3.3303789473684211E-6</v>
      </c>
      <c r="T30">
        <v>27</v>
      </c>
      <c r="U30">
        <f t="shared" si="3"/>
        <v>53267.893248260974</v>
      </c>
    </row>
    <row r="31" spans="1:21">
      <c r="A31" s="1">
        <v>30</v>
      </c>
      <c r="B31" s="1" t="s">
        <v>4</v>
      </c>
      <c r="C31" s="2">
        <v>2.95555520760197E-5</v>
      </c>
      <c r="G31" s="26">
        <v>2.9600000000000001E-5</v>
      </c>
      <c r="H31" s="26">
        <v>3.5099999999999999E-6</v>
      </c>
      <c r="K31" s="26">
        <v>5.0517894736842102E-6</v>
      </c>
      <c r="L31">
        <v>18</v>
      </c>
      <c r="M31">
        <f t="shared" si="2"/>
        <v>7944.0855873307901</v>
      </c>
      <c r="S31" s="26">
        <v>4.9697684210526312E-6</v>
      </c>
      <c r="T31">
        <v>21</v>
      </c>
      <c r="U31">
        <f t="shared" si="3"/>
        <v>54860.771335562124</v>
      </c>
    </row>
    <row r="32" spans="1:21">
      <c r="A32" s="1">
        <v>31</v>
      </c>
      <c r="B32" s="1" t="s">
        <v>4</v>
      </c>
      <c r="C32" s="2">
        <v>2.8724658922082999E-5</v>
      </c>
      <c r="G32" s="26">
        <v>2.87E-5</v>
      </c>
      <c r="H32" s="26">
        <v>1.38E-5</v>
      </c>
      <c r="K32" s="26">
        <v>6.6860526315789471E-6</v>
      </c>
      <c r="L32">
        <v>15</v>
      </c>
      <c r="M32">
        <f t="shared" si="2"/>
        <v>10877.666002354126</v>
      </c>
      <c r="S32" s="26">
        <v>6.6091578947368417E-6</v>
      </c>
      <c r="T32">
        <v>8</v>
      </c>
      <c r="U32">
        <f t="shared" si="3"/>
        <v>53700.540397690856</v>
      </c>
    </row>
    <row r="33" spans="1:21">
      <c r="A33" s="1">
        <v>32</v>
      </c>
      <c r="B33" s="1" t="s">
        <v>4</v>
      </c>
      <c r="C33" s="2">
        <v>2.0087331891979E-5</v>
      </c>
      <c r="G33" s="26">
        <v>2.0100000000000001E-5</v>
      </c>
      <c r="H33" s="26">
        <v>1.7799999999999999E-6</v>
      </c>
      <c r="K33" s="26">
        <v>8.3203157894736839E-6</v>
      </c>
      <c r="L33">
        <v>16</v>
      </c>
      <c r="M33">
        <f t="shared" si="2"/>
        <v>14425.405224935947</v>
      </c>
      <c r="S33" s="26">
        <v>8.2485473684210522E-6</v>
      </c>
      <c r="T33">
        <v>4</v>
      </c>
      <c r="U33">
        <f t="shared" si="3"/>
        <v>49959.232824607665</v>
      </c>
    </row>
    <row r="34" spans="1:21">
      <c r="A34" s="1">
        <v>33</v>
      </c>
      <c r="B34" s="1" t="s">
        <v>4</v>
      </c>
      <c r="C34" s="2">
        <v>2.75311873241598E-5</v>
      </c>
      <c r="G34" s="26">
        <v>2.7500000000000001E-5</v>
      </c>
      <c r="H34" s="26">
        <v>2.3300000000000001E-6</v>
      </c>
      <c r="K34" s="26">
        <v>9.9545789473684207E-6</v>
      </c>
      <c r="L34">
        <v>14</v>
      </c>
      <c r="M34">
        <f t="shared" si="2"/>
        <v>18527.670592864441</v>
      </c>
      <c r="S34" s="26">
        <v>9.8879368421052627E-6</v>
      </c>
      <c r="T34">
        <v>0</v>
      </c>
      <c r="U34">
        <f t="shared" si="3"/>
        <v>44174.660786353284</v>
      </c>
    </row>
    <row r="35" spans="1:21">
      <c r="A35" s="1">
        <v>34</v>
      </c>
      <c r="B35" s="1" t="s">
        <v>4</v>
      </c>
      <c r="C35" s="2">
        <v>2.8747300770060399E-5</v>
      </c>
      <c r="G35" s="26">
        <v>2.87E-5</v>
      </c>
      <c r="H35" s="26">
        <v>2.08E-6</v>
      </c>
      <c r="K35" s="26">
        <v>1.1588842105263158E-5</v>
      </c>
      <c r="L35">
        <v>25</v>
      </c>
      <c r="M35">
        <f t="shared" si="2"/>
        <v>23046.984856862717</v>
      </c>
      <c r="S35" s="26">
        <v>1.1527326315789473E-5</v>
      </c>
      <c r="T35">
        <v>6</v>
      </c>
      <c r="U35">
        <f t="shared" si="3"/>
        <v>37123.681993843355</v>
      </c>
    </row>
    <row r="36" spans="1:21">
      <c r="A36" s="1">
        <v>35</v>
      </c>
      <c r="B36" s="1" t="s">
        <v>4</v>
      </c>
      <c r="C36" s="2">
        <v>2.8010310658578599E-5</v>
      </c>
      <c r="G36" s="26">
        <v>2.8E-5</v>
      </c>
      <c r="H36" s="26">
        <v>1.84E-6</v>
      </c>
      <c r="K36" s="26">
        <v>1.3223105263157894E-5</v>
      </c>
      <c r="L36">
        <v>15</v>
      </c>
      <c r="M36">
        <f t="shared" si="2"/>
        <v>27765.654104643054</v>
      </c>
      <c r="S36" s="26">
        <v>1.3166715789473684E-5</v>
      </c>
      <c r="T36">
        <v>1</v>
      </c>
      <c r="U36">
        <f t="shared" si="3"/>
        <v>29651.674379360258</v>
      </c>
    </row>
    <row r="37" spans="1:21">
      <c r="A37" s="1">
        <v>36</v>
      </c>
      <c r="B37" s="1" t="s">
        <v>4</v>
      </c>
      <c r="C37" s="2">
        <v>2.2596803491893302E-5</v>
      </c>
      <c r="G37" s="26">
        <v>2.26E-5</v>
      </c>
      <c r="H37" s="26">
        <v>1.0499999999999999E-5</v>
      </c>
      <c r="K37" s="26">
        <v>1.4857368421052631E-5</v>
      </c>
      <c r="L37">
        <v>21</v>
      </c>
      <c r="M37">
        <f t="shared" si="2"/>
        <v>32396.806242908024</v>
      </c>
      <c r="S37" s="26">
        <v>1.4806105263157894E-5</v>
      </c>
      <c r="T37">
        <v>4</v>
      </c>
      <c r="U37">
        <f t="shared" si="3"/>
        <v>22509.59902063241</v>
      </c>
    </row>
    <row r="38" spans="1:21">
      <c r="A38" s="1">
        <v>37</v>
      </c>
      <c r="B38" s="1" t="s">
        <v>4</v>
      </c>
      <c r="C38" s="2">
        <v>1.4499754312213101E-5</v>
      </c>
      <c r="G38" s="26">
        <v>1.45E-5</v>
      </c>
      <c r="H38" s="26">
        <v>7.5600000000000005E-7</v>
      </c>
      <c r="K38" s="26">
        <v>1.6491631578947366E-5</v>
      </c>
      <c r="L38">
        <v>26</v>
      </c>
      <c r="M38">
        <f t="shared" si="2"/>
        <v>36609.768678637847</v>
      </c>
      <c r="S38" s="26">
        <v>1.6445494736842106E-5</v>
      </c>
      <c r="T38">
        <v>0</v>
      </c>
      <c r="U38">
        <f t="shared" si="3"/>
        <v>16240.771386482538</v>
      </c>
    </row>
    <row r="39" spans="1:21">
      <c r="A39" s="1">
        <v>38</v>
      </c>
      <c r="B39" s="1" t="s">
        <v>4</v>
      </c>
      <c r="C39" s="2">
        <v>2.76139993489523E-5</v>
      </c>
      <c r="G39" s="26">
        <v>2.76E-5</v>
      </c>
      <c r="H39" s="26">
        <v>1.5E-6</v>
      </c>
      <c r="K39" s="26">
        <v>1.8125894736842105E-5</v>
      </c>
      <c r="L39">
        <v>22</v>
      </c>
      <c r="M39">
        <f t="shared" si="2"/>
        <v>40067.502055988145</v>
      </c>
      <c r="S39" s="26">
        <v>1.8084884210526315E-5</v>
      </c>
      <c r="T39">
        <v>0</v>
      </c>
      <c r="U39">
        <f t="shared" si="3"/>
        <v>11136.940652438456</v>
      </c>
    </row>
    <row r="40" spans="1:21">
      <c r="A40" s="1">
        <v>39</v>
      </c>
      <c r="B40" s="1" t="s">
        <v>4</v>
      </c>
      <c r="C40" s="2">
        <v>3.0828442811943902E-5</v>
      </c>
      <c r="G40" s="26">
        <v>3.0800000000000003E-5</v>
      </c>
      <c r="H40" s="26">
        <v>1.3599999999999999E-6</v>
      </c>
      <c r="K40" s="26">
        <v>1.9760157894736843E-5</v>
      </c>
      <c r="L40">
        <v>15</v>
      </c>
      <c r="M40">
        <f t="shared" si="2"/>
        <v>42470.565904313182</v>
      </c>
      <c r="S40" s="26">
        <v>1.9724273684210524E-5</v>
      </c>
      <c r="T40">
        <v>0</v>
      </c>
      <c r="U40">
        <f t="shared" si="3"/>
        <v>7258.4771773559278</v>
      </c>
    </row>
    <row r="41" spans="1:21">
      <c r="A41" s="1">
        <v>40</v>
      </c>
      <c r="B41" s="1" t="s">
        <v>4</v>
      </c>
      <c r="C41" s="2">
        <v>2.87805487697724E-5</v>
      </c>
      <c r="G41" s="26">
        <v>2.8799999999999999E-5</v>
      </c>
      <c r="H41" s="26">
        <v>1.31E-6</v>
      </c>
      <c r="K41" s="26">
        <v>2.1394421052631582E-5</v>
      </c>
      <c r="L41">
        <v>30</v>
      </c>
      <c r="M41">
        <f t="shared" si="2"/>
        <v>43599.782687019746</v>
      </c>
      <c r="S41" s="26">
        <v>2.1363663157894733E-5</v>
      </c>
      <c r="T41">
        <v>1</v>
      </c>
      <c r="U41">
        <f t="shared" si="3"/>
        <v>4496.1985771217132</v>
      </c>
    </row>
    <row r="42" spans="1:21">
      <c r="A42" s="1">
        <v>41</v>
      </c>
      <c r="B42" s="1" t="s">
        <v>4</v>
      </c>
      <c r="C42" s="2">
        <v>2.7737770964355801E-5</v>
      </c>
      <c r="G42" s="26">
        <v>2.7699999999999999E-5</v>
      </c>
      <c r="H42" s="26">
        <v>5.1599999999999999E-8</v>
      </c>
      <c r="K42" s="26">
        <v>2.302868421052632E-5</v>
      </c>
      <c r="L42">
        <v>41</v>
      </c>
      <c r="M42">
        <f t="shared" si="2"/>
        <v>43349.201117086639</v>
      </c>
      <c r="S42" s="26">
        <v>2.3003052631578942E-5</v>
      </c>
      <c r="T42">
        <v>0</v>
      </c>
      <c r="U42">
        <f t="shared" si="3"/>
        <v>2647.0723400939805</v>
      </c>
    </row>
    <row r="43" spans="1:21">
      <c r="A43" s="1">
        <v>42</v>
      </c>
      <c r="B43" s="1" t="s">
        <v>4</v>
      </c>
      <c r="C43" s="2">
        <v>3.0901500270045097E-5</v>
      </c>
      <c r="G43" s="26">
        <v>3.0899999999999999E-5</v>
      </c>
      <c r="H43" s="26">
        <v>1.8E-7</v>
      </c>
      <c r="K43" s="26">
        <v>2.4662947368421059E-5</v>
      </c>
      <c r="L43">
        <v>43</v>
      </c>
      <c r="M43">
        <f t="shared" si="2"/>
        <v>41742.491628648109</v>
      </c>
      <c r="S43" s="26">
        <v>2.4642442105263151E-5</v>
      </c>
      <c r="T43">
        <v>2</v>
      </c>
      <c r="U43">
        <f t="shared" si="3"/>
        <v>1481.1754124218203</v>
      </c>
    </row>
    <row r="44" spans="1:21">
      <c r="A44" s="1">
        <v>43</v>
      </c>
      <c r="B44" s="1" t="s">
        <v>4</v>
      </c>
      <c r="C44" s="2">
        <v>9.7821711447280592E-6</v>
      </c>
      <c r="G44" s="26">
        <v>9.7799999999999995E-6</v>
      </c>
      <c r="H44" s="26">
        <v>2.4700000000000001E-6</v>
      </c>
      <c r="K44" s="26">
        <v>2.6297210526315797E-5</v>
      </c>
      <c r="L44">
        <v>57</v>
      </c>
      <c r="M44">
        <f t="shared" si="2"/>
        <v>38929.258896745334</v>
      </c>
      <c r="S44" s="26">
        <v>2.6281831578947359E-5</v>
      </c>
      <c r="T44">
        <v>0</v>
      </c>
      <c r="U44">
        <f t="shared" si="3"/>
        <v>787.71213537820472</v>
      </c>
    </row>
    <row r="45" spans="1:21">
      <c r="A45" s="1">
        <v>44</v>
      </c>
      <c r="B45" s="1" t="s">
        <v>4</v>
      </c>
      <c r="C45" s="2">
        <v>1.35155146067704E-5</v>
      </c>
      <c r="G45" s="26">
        <v>1.3499999999999999E-5</v>
      </c>
      <c r="H45" s="26">
        <v>2.3200000000000001E-5</v>
      </c>
      <c r="K45" s="26">
        <v>2.7931473684210536E-5</v>
      </c>
      <c r="L45">
        <v>60</v>
      </c>
      <c r="M45">
        <f t="shared" si="2"/>
        <v>35162.067249461135</v>
      </c>
      <c r="S45" s="26">
        <v>2.7921221052631568E-5</v>
      </c>
      <c r="T45">
        <v>1</v>
      </c>
      <c r="U45">
        <f t="shared" si="3"/>
        <v>398.15203171931307</v>
      </c>
    </row>
    <row r="46" spans="1:21">
      <c r="A46" s="1">
        <v>45</v>
      </c>
      <c r="B46" s="1" t="s">
        <v>4</v>
      </c>
      <c r="C46" s="2">
        <v>1.58295337474513E-5</v>
      </c>
      <c r="G46" s="26">
        <v>1.5800000000000001E-5</v>
      </c>
      <c r="H46" s="26">
        <v>2.26E-6</v>
      </c>
      <c r="K46" s="26">
        <v>2.9565736842105274E-5</v>
      </c>
      <c r="L46">
        <v>78</v>
      </c>
      <c r="M46">
        <f t="shared" si="2"/>
        <v>30759.067220826404</v>
      </c>
      <c r="S46" s="26">
        <v>2.9560610526315777E-5</v>
      </c>
      <c r="T46">
        <v>2</v>
      </c>
      <c r="U46">
        <f t="shared" si="3"/>
        <v>191.27168958198556</v>
      </c>
    </row>
    <row r="47" spans="1:21">
      <c r="A47" s="1">
        <v>46</v>
      </c>
      <c r="B47" s="1" t="s">
        <v>4</v>
      </c>
      <c r="C47" s="2">
        <v>2.76488844427466E-5</v>
      </c>
      <c r="G47" s="26">
        <v>2.76E-5</v>
      </c>
      <c r="H47" s="26">
        <v>2.2800000000000002E-6</v>
      </c>
      <c r="K47" s="26">
        <v>3.1200000000000013E-5</v>
      </c>
      <c r="L47">
        <v>182</v>
      </c>
      <c r="M47">
        <f t="shared" si="2"/>
        <v>26059.88044901425</v>
      </c>
      <c r="S47" s="26">
        <v>3.1199999999999986E-5</v>
      </c>
      <c r="T47">
        <v>3</v>
      </c>
      <c r="U47">
        <f t="shared" si="3"/>
        <v>87.3318801524658</v>
      </c>
    </row>
    <row r="48" spans="1:21" ht="17" thickBot="1">
      <c r="A48" s="1">
        <v>47</v>
      </c>
      <c r="B48" s="1" t="s">
        <v>4</v>
      </c>
      <c r="C48" s="2">
        <v>2.1021326284978502E-5</v>
      </c>
      <c r="G48" s="26">
        <v>2.0999999999999999E-5</v>
      </c>
      <c r="H48" s="26">
        <v>1.38E-5</v>
      </c>
      <c r="K48" s="27" t="s">
        <v>2439</v>
      </c>
      <c r="L48" s="27">
        <v>0</v>
      </c>
      <c r="S48" s="27" t="s">
        <v>2439</v>
      </c>
      <c r="T48" s="27">
        <v>1</v>
      </c>
    </row>
    <row r="49" spans="1:14">
      <c r="A49" s="1">
        <v>48</v>
      </c>
      <c r="B49" s="1" t="s">
        <v>4</v>
      </c>
      <c r="C49" s="2">
        <v>3.0991252776512499E-5</v>
      </c>
      <c r="G49" s="26">
        <v>3.1000000000000001E-5</v>
      </c>
      <c r="H49" s="26">
        <v>3.3299999999999999E-6</v>
      </c>
    </row>
    <row r="50" spans="1:14">
      <c r="A50" s="1">
        <v>49</v>
      </c>
      <c r="B50" s="1" t="s">
        <v>4</v>
      </c>
      <c r="C50" s="2">
        <v>2.6980970075871099E-5</v>
      </c>
      <c r="G50" s="26">
        <v>2.6999999999999999E-5</v>
      </c>
      <c r="H50" s="26">
        <v>7.5600000000000005E-7</v>
      </c>
    </row>
    <row r="51" spans="1:14">
      <c r="A51" s="1">
        <v>50</v>
      </c>
      <c r="B51" s="1" t="s">
        <v>4</v>
      </c>
      <c r="C51" s="2">
        <v>1.5835484585847499E-5</v>
      </c>
      <c r="G51" s="26">
        <v>1.5800000000000001E-5</v>
      </c>
      <c r="H51" s="26">
        <v>3.1199999999999999E-5</v>
      </c>
    </row>
    <row r="52" spans="1:14">
      <c r="A52" s="1">
        <v>51</v>
      </c>
      <c r="B52" s="1" t="s">
        <v>4</v>
      </c>
      <c r="C52" s="2">
        <v>3.1148736425718401E-5</v>
      </c>
      <c r="G52" s="26">
        <v>3.1099999999999997E-5</v>
      </c>
      <c r="H52" s="26">
        <v>2.3499999999999999E-6</v>
      </c>
    </row>
    <row r="53" spans="1:14">
      <c r="A53" s="1">
        <v>52</v>
      </c>
      <c r="B53" s="1" t="s">
        <v>4</v>
      </c>
      <c r="C53" s="2">
        <v>7.9608367061583207E-6</v>
      </c>
      <c r="G53" s="26">
        <v>7.96E-6</v>
      </c>
      <c r="H53" s="26">
        <v>1.39E-6</v>
      </c>
    </row>
    <row r="54" spans="1:14">
      <c r="A54" s="1">
        <v>53</v>
      </c>
      <c r="B54" s="1" t="s">
        <v>4</v>
      </c>
      <c r="C54" s="2">
        <v>3.04858875447684E-5</v>
      </c>
      <c r="G54" s="26">
        <v>3.0499999999999999E-5</v>
      </c>
      <c r="H54" s="26">
        <v>2.4700000000000001E-6</v>
      </c>
    </row>
    <row r="55" spans="1:14">
      <c r="A55" s="1">
        <v>54</v>
      </c>
      <c r="B55" s="1" t="s">
        <v>4</v>
      </c>
      <c r="C55" s="2">
        <v>2.9338077193007201E-5</v>
      </c>
      <c r="G55" s="26">
        <v>2.9300000000000001E-5</v>
      </c>
      <c r="H55" s="26">
        <v>1.11E-5</v>
      </c>
    </row>
    <row r="56" spans="1:14">
      <c r="A56" s="1">
        <v>55</v>
      </c>
      <c r="B56" s="1" t="s">
        <v>4</v>
      </c>
      <c r="C56" s="2">
        <v>1.7871250633993102E-5</v>
      </c>
      <c r="G56" s="26">
        <v>1.7900000000000001E-5</v>
      </c>
      <c r="H56" s="26">
        <v>1.5099999999999999E-6</v>
      </c>
    </row>
    <row r="57" spans="1:14">
      <c r="A57" s="1">
        <v>56</v>
      </c>
      <c r="B57" s="1" t="s">
        <v>4</v>
      </c>
      <c r="C57" s="2">
        <v>2.13820802560058E-5</v>
      </c>
      <c r="G57" s="26">
        <v>2.1399999999999998E-5</v>
      </c>
      <c r="H57" s="26">
        <v>4.2699999999999998E-6</v>
      </c>
    </row>
    <row r="58" spans="1:14">
      <c r="A58" s="1">
        <v>57</v>
      </c>
      <c r="B58" s="1" t="s">
        <v>4</v>
      </c>
      <c r="C58" s="2">
        <v>3.0111918646948601E-5</v>
      </c>
      <c r="G58" s="26">
        <v>3.01E-5</v>
      </c>
      <c r="H58" s="26">
        <v>5.9699999999999996E-6</v>
      </c>
    </row>
    <row r="59" spans="1:14">
      <c r="A59" s="1">
        <v>58</v>
      </c>
      <c r="B59" s="1" t="s">
        <v>4</v>
      </c>
      <c r="C59" s="2">
        <v>2.9767032799196002E-5</v>
      </c>
      <c r="G59" s="26">
        <v>2.9799999999999999E-5</v>
      </c>
      <c r="H59" s="26">
        <v>2.0699999999999998E-5</v>
      </c>
    </row>
    <row r="60" spans="1:14">
      <c r="A60" s="1">
        <v>59</v>
      </c>
      <c r="B60" s="1" t="s">
        <v>4</v>
      </c>
      <c r="C60" s="2">
        <v>2.6972279130659699E-5</v>
      </c>
      <c r="G60" s="26">
        <v>2.6999999999999999E-5</v>
      </c>
      <c r="H60" s="26">
        <v>7.8099999999999998E-6</v>
      </c>
    </row>
    <row r="61" spans="1:14">
      <c r="A61" s="1">
        <v>60</v>
      </c>
      <c r="B61" s="1" t="s">
        <v>180</v>
      </c>
      <c r="C61" s="2">
        <v>4.8764957112918901E-6</v>
      </c>
      <c r="G61" s="26">
        <v>6.8900000000000001E-6</v>
      </c>
      <c r="H61" s="26">
        <v>3.34E-7</v>
      </c>
      <c r="L61" s="24" t="s">
        <v>2422</v>
      </c>
      <c r="M61" s="24">
        <v>1.49E-7</v>
      </c>
      <c r="N61" s="24">
        <v>2553.7094277321767</v>
      </c>
    </row>
    <row r="62" spans="1:14">
      <c r="A62" s="1">
        <v>61</v>
      </c>
      <c r="B62" s="1" t="s">
        <v>4</v>
      </c>
      <c r="C62" s="2">
        <v>6.8860539981820996E-6</v>
      </c>
      <c r="G62" s="26">
        <v>2.76E-5</v>
      </c>
      <c r="H62" s="26">
        <v>2.65E-6</v>
      </c>
      <c r="L62" s="24" t="s">
        <v>2422</v>
      </c>
      <c r="M62" s="24">
        <v>1.7832631578947368E-6</v>
      </c>
      <c r="N62" s="24">
        <v>3849.1230459414055</v>
      </c>
    </row>
    <row r="63" spans="1:14">
      <c r="A63" s="1">
        <v>62</v>
      </c>
      <c r="B63" s="1" t="s">
        <v>4</v>
      </c>
      <c r="C63" s="2">
        <v>2.7583836229338599E-5</v>
      </c>
      <c r="G63" s="26">
        <v>7.0500000000000003E-6</v>
      </c>
      <c r="H63" s="26">
        <v>1.75E-6</v>
      </c>
      <c r="L63" s="24" t="s">
        <v>2422</v>
      </c>
      <c r="M63" s="24">
        <v>3.4175263157894734E-6</v>
      </c>
      <c r="N63" s="24">
        <v>5618.9168594009143</v>
      </c>
    </row>
    <row r="64" spans="1:14">
      <c r="A64" s="1">
        <v>63</v>
      </c>
      <c r="B64" s="1" t="s">
        <v>4</v>
      </c>
      <c r="C64" s="2">
        <v>7.0463757883610502E-6</v>
      </c>
      <c r="G64" s="26">
        <v>3.1000000000000001E-5</v>
      </c>
      <c r="H64" s="26">
        <v>6.13E-8</v>
      </c>
      <c r="L64" s="24" t="s">
        <v>2422</v>
      </c>
      <c r="M64" s="24">
        <v>5.0517894736842102E-6</v>
      </c>
      <c r="N64" s="24">
        <v>7944.0855873307901</v>
      </c>
    </row>
    <row r="65" spans="1:14">
      <c r="A65" s="1">
        <v>64</v>
      </c>
      <c r="B65" s="1" t="s">
        <v>4</v>
      </c>
      <c r="C65" s="2">
        <v>3.1040173844228998E-5</v>
      </c>
      <c r="G65" s="26">
        <v>3.0199999999999999E-5</v>
      </c>
      <c r="H65" s="26">
        <v>1.1799999999999999E-6</v>
      </c>
      <c r="L65" s="24" t="s">
        <v>2422</v>
      </c>
      <c r="M65" s="24">
        <v>6.6860526315789471E-6</v>
      </c>
      <c r="N65" s="24">
        <v>10877.666002354126</v>
      </c>
    </row>
    <row r="66" spans="1:14">
      <c r="A66" s="1">
        <v>65</v>
      </c>
      <c r="B66" s="1" t="s">
        <v>4</v>
      </c>
      <c r="C66" s="2">
        <v>3.0168100257369599E-5</v>
      </c>
      <c r="G66" s="26">
        <v>3.6500000000000002E-6</v>
      </c>
      <c r="H66" s="26">
        <v>3.0300000000000001E-5</v>
      </c>
      <c r="L66" s="24" t="s">
        <v>2422</v>
      </c>
      <c r="M66" s="24">
        <v>8.3203157894736839E-6</v>
      </c>
      <c r="N66" s="24">
        <v>14425.405224935947</v>
      </c>
    </row>
    <row r="67" spans="1:14">
      <c r="A67" s="1">
        <v>66</v>
      </c>
      <c r="B67" s="1" t="s">
        <v>4</v>
      </c>
      <c r="C67" s="2">
        <v>3.65011424860219E-6</v>
      </c>
      <c r="G67" s="26">
        <v>2.6299999999999999E-5</v>
      </c>
      <c r="H67" s="26">
        <v>5.0300000000000001E-6</v>
      </c>
      <c r="L67" s="24" t="s">
        <v>2422</v>
      </c>
      <c r="M67" s="24">
        <v>9.9545789473684207E-6</v>
      </c>
      <c r="N67" s="24">
        <v>18527.670592864441</v>
      </c>
    </row>
    <row r="68" spans="1:14">
      <c r="A68" s="1">
        <v>67</v>
      </c>
      <c r="B68" s="1" t="s">
        <v>180</v>
      </c>
      <c r="C68" s="2">
        <v>3.4796455753448499E-6</v>
      </c>
      <c r="G68" s="26">
        <v>3.0899999999999999E-5</v>
      </c>
      <c r="H68" s="26">
        <v>2.4600000000000001E-7</v>
      </c>
      <c r="L68" s="24" t="s">
        <v>2422</v>
      </c>
      <c r="M68" s="24">
        <v>1.1588842105263158E-5</v>
      </c>
      <c r="N68" s="24">
        <v>23046.984856862717</v>
      </c>
    </row>
    <row r="69" spans="1:14">
      <c r="A69" s="1">
        <v>68</v>
      </c>
      <c r="B69" s="1" t="s">
        <v>4</v>
      </c>
      <c r="C69" s="2">
        <v>2.6323335276105498E-5</v>
      </c>
      <c r="G69" s="26">
        <v>2.8200000000000001E-5</v>
      </c>
      <c r="H69" s="26">
        <v>4.8799999999999999E-6</v>
      </c>
      <c r="L69" s="24" t="s">
        <v>2422</v>
      </c>
      <c r="M69" s="24">
        <v>1.3223105263157894E-5</v>
      </c>
      <c r="N69" s="24">
        <v>27765.654104643054</v>
      </c>
    </row>
    <row r="70" spans="1:14">
      <c r="A70" s="1">
        <v>69</v>
      </c>
      <c r="B70" s="1" t="s">
        <v>4</v>
      </c>
      <c r="C70" s="2">
        <v>3.0850786776487498E-5</v>
      </c>
      <c r="G70" s="26">
        <v>5.0699999999999997E-6</v>
      </c>
      <c r="H70" s="26">
        <v>7.9000000000000006E-8</v>
      </c>
      <c r="L70" s="24" t="s">
        <v>2422</v>
      </c>
      <c r="M70" s="24">
        <v>1.4857368421052631E-5</v>
      </c>
      <c r="N70" s="24">
        <v>32396.806242908024</v>
      </c>
    </row>
    <row r="71" spans="1:14">
      <c r="A71" s="1">
        <v>70</v>
      </c>
      <c r="B71" s="1" t="s">
        <v>4</v>
      </c>
      <c r="C71" s="2">
        <v>2.82230579549486E-5</v>
      </c>
      <c r="G71" s="26">
        <v>2.1800000000000001E-5</v>
      </c>
      <c r="H71" s="26">
        <v>5.7000000000000005E-7</v>
      </c>
      <c r="L71" s="24" t="s">
        <v>2422</v>
      </c>
      <c r="M71" s="24">
        <v>1.6491631578947366E-5</v>
      </c>
      <c r="N71" s="24">
        <v>36609.768678637847</v>
      </c>
    </row>
    <row r="72" spans="1:14">
      <c r="A72" s="1">
        <v>71</v>
      </c>
      <c r="B72" s="1" t="s">
        <v>4</v>
      </c>
      <c r="C72" s="2">
        <v>5.0656149383074298E-6</v>
      </c>
      <c r="G72" s="26">
        <v>2.16E-5</v>
      </c>
      <c r="H72" s="26">
        <v>2.8500000000000002E-5</v>
      </c>
      <c r="L72" s="24" t="s">
        <v>2422</v>
      </c>
      <c r="M72" s="24">
        <v>1.8125894736842105E-5</v>
      </c>
      <c r="N72" s="24">
        <v>40067.502055988145</v>
      </c>
    </row>
    <row r="73" spans="1:14">
      <c r="A73" s="1">
        <v>72</v>
      </c>
      <c r="B73" s="1" t="s">
        <v>4</v>
      </c>
      <c r="C73" s="2">
        <v>2.1784744093778899E-5</v>
      </c>
      <c r="G73" s="26">
        <v>2.69E-5</v>
      </c>
      <c r="H73" s="26">
        <v>3.3100000000000001E-6</v>
      </c>
      <c r="L73" s="24" t="s">
        <v>2422</v>
      </c>
      <c r="M73" s="24">
        <v>1.9760157894736843E-5</v>
      </c>
      <c r="N73" s="24">
        <v>42470.565904313182</v>
      </c>
    </row>
    <row r="74" spans="1:14">
      <c r="A74" s="1">
        <v>73</v>
      </c>
      <c r="B74" s="1" t="s">
        <v>4</v>
      </c>
      <c r="C74" s="2">
        <v>2.1643055649570898E-5</v>
      </c>
      <c r="G74" s="26">
        <v>2.6100000000000001E-5</v>
      </c>
      <c r="H74" s="26">
        <v>1.2999999999999999E-5</v>
      </c>
      <c r="L74" s="24" t="s">
        <v>2422</v>
      </c>
      <c r="M74" s="24">
        <v>2.1394421052631582E-5</v>
      </c>
      <c r="N74" s="24">
        <v>43599.782687019746</v>
      </c>
    </row>
    <row r="75" spans="1:14">
      <c r="A75" s="1">
        <v>74</v>
      </c>
      <c r="B75" s="1" t="s">
        <v>4</v>
      </c>
      <c r="C75" s="2">
        <v>2.6888871670109601E-5</v>
      </c>
      <c r="G75" s="26">
        <v>2.0800000000000001E-5</v>
      </c>
      <c r="H75" s="26">
        <v>2.2299999999999998E-6</v>
      </c>
      <c r="L75" s="24" t="s">
        <v>2422</v>
      </c>
      <c r="M75" s="24">
        <v>2.302868421052632E-5</v>
      </c>
      <c r="N75" s="24">
        <v>43349.201117086639</v>
      </c>
    </row>
    <row r="76" spans="1:14">
      <c r="A76" s="1">
        <v>75</v>
      </c>
      <c r="B76" s="1" t="s">
        <v>4</v>
      </c>
      <c r="C76" s="2">
        <v>2.60798230742028E-5</v>
      </c>
      <c r="G76" s="26">
        <v>1.7799999999999999E-5</v>
      </c>
      <c r="H76" s="26">
        <v>2.0600000000000002E-6</v>
      </c>
      <c r="L76" s="24" t="s">
        <v>2422</v>
      </c>
      <c r="M76" s="24">
        <v>2.4662947368421059E-5</v>
      </c>
      <c r="N76" s="24">
        <v>41742.491628648109</v>
      </c>
    </row>
    <row r="77" spans="1:14">
      <c r="A77" s="1">
        <v>76</v>
      </c>
      <c r="B77" s="1" t="s">
        <v>4</v>
      </c>
      <c r="C77" s="2">
        <v>2.0785163712164198E-5</v>
      </c>
      <c r="G77" s="26">
        <v>1.8499999999999999E-5</v>
      </c>
      <c r="H77" s="26">
        <v>3.3000000000000002E-6</v>
      </c>
      <c r="L77" s="24" t="s">
        <v>2422</v>
      </c>
      <c r="M77" s="24">
        <v>2.6297210526315797E-5</v>
      </c>
      <c r="N77" s="24">
        <v>38929.258896745334</v>
      </c>
    </row>
    <row r="78" spans="1:14">
      <c r="A78" s="1">
        <v>77</v>
      </c>
      <c r="B78" s="1" t="s">
        <v>4</v>
      </c>
      <c r="C78" s="2">
        <v>1.77673040968141E-5</v>
      </c>
      <c r="G78" s="26">
        <v>2.23E-5</v>
      </c>
      <c r="H78" s="26">
        <v>2.67E-7</v>
      </c>
      <c r="L78" s="24" t="s">
        <v>2422</v>
      </c>
      <c r="M78" s="24">
        <v>2.7931473684210536E-5</v>
      </c>
      <c r="N78" s="24">
        <v>35162.067249461135</v>
      </c>
    </row>
    <row r="79" spans="1:14">
      <c r="A79" s="1">
        <v>78</v>
      </c>
      <c r="B79" s="1" t="s">
        <v>4</v>
      </c>
      <c r="C79" s="2">
        <v>1.85260818553087E-5</v>
      </c>
      <c r="G79" s="26">
        <v>3.0800000000000003E-5</v>
      </c>
      <c r="H79" s="26">
        <v>8.1100000000000005E-7</v>
      </c>
      <c r="L79" s="24" t="s">
        <v>2422</v>
      </c>
      <c r="M79" s="24">
        <v>2.9565736842105274E-5</v>
      </c>
      <c r="N79" s="24">
        <v>30759.067220826404</v>
      </c>
    </row>
    <row r="80" spans="1:14">
      <c r="A80" s="1">
        <v>79</v>
      </c>
      <c r="B80" s="1" t="s">
        <v>4</v>
      </c>
      <c r="C80" s="2">
        <v>2.2307566492387899E-5</v>
      </c>
      <c r="G80" s="26">
        <v>3.0899999999999999E-5</v>
      </c>
      <c r="H80" s="26">
        <v>4.78E-6</v>
      </c>
      <c r="L80" s="24" t="s">
        <v>2422</v>
      </c>
      <c r="M80" s="24">
        <v>3.1200000000000013E-5</v>
      </c>
      <c r="N80" s="24">
        <v>26059.88044901425</v>
      </c>
    </row>
    <row r="81" spans="1:14">
      <c r="A81" s="1">
        <v>80</v>
      </c>
      <c r="B81" s="1" t="s">
        <v>4</v>
      </c>
      <c r="C81" s="2">
        <v>3.0830110295561402E-5</v>
      </c>
      <c r="G81" s="26">
        <v>2.5700000000000001E-5</v>
      </c>
      <c r="H81" s="26">
        <v>2.6199999999999999E-6</v>
      </c>
      <c r="L81" s="24" t="s">
        <v>2423</v>
      </c>
      <c r="M81" s="24">
        <v>5.1599999999999999E-8</v>
      </c>
      <c r="N81" s="24">
        <v>43115.538745452832</v>
      </c>
    </row>
    <row r="82" spans="1:14">
      <c r="A82" s="1">
        <v>81</v>
      </c>
      <c r="B82" s="1" t="s">
        <v>4</v>
      </c>
      <c r="C82" s="2">
        <v>3.0934370615602497E-5</v>
      </c>
      <c r="G82" s="26">
        <v>2.8399999999999999E-5</v>
      </c>
      <c r="H82" s="26">
        <v>1.4100000000000001E-6</v>
      </c>
      <c r="L82" s="24" t="s">
        <v>2423</v>
      </c>
      <c r="M82" s="24">
        <v>1.6909894736842106E-6</v>
      </c>
      <c r="N82" s="24">
        <v>49157.466277930893</v>
      </c>
    </row>
    <row r="83" spans="1:14">
      <c r="A83" s="1">
        <v>82</v>
      </c>
      <c r="B83" s="1" t="s">
        <v>4</v>
      </c>
      <c r="C83" s="2">
        <v>2.5735834634140199E-5</v>
      </c>
      <c r="G83" s="26">
        <v>2.4600000000000002E-5</v>
      </c>
      <c r="H83" s="26">
        <v>3.7100000000000001E-6</v>
      </c>
      <c r="L83" s="24" t="s">
        <v>2423</v>
      </c>
      <c r="M83" s="24">
        <v>3.3303789473684211E-6</v>
      </c>
      <c r="N83" s="24">
        <v>53267.893248260974</v>
      </c>
    </row>
    <row r="84" spans="1:14">
      <c r="A84" s="1">
        <v>83</v>
      </c>
      <c r="B84" s="1" t="s">
        <v>4</v>
      </c>
      <c r="C84" s="2">
        <v>2.8439828534692501E-5</v>
      </c>
      <c r="G84" s="26">
        <v>3.04E-5</v>
      </c>
      <c r="H84" s="26">
        <v>1.11E-5</v>
      </c>
      <c r="L84" s="24" t="s">
        <v>2423</v>
      </c>
      <c r="M84" s="24">
        <v>4.9697684210526312E-6</v>
      </c>
      <c r="N84" s="24">
        <v>54860.771335562124</v>
      </c>
    </row>
    <row r="85" spans="1:14">
      <c r="A85" s="1">
        <v>84</v>
      </c>
      <c r="B85" s="1" t="s">
        <v>4</v>
      </c>
      <c r="C85" s="2">
        <v>2.46079946618148E-5</v>
      </c>
      <c r="G85" s="26">
        <v>6.7900000000000002E-6</v>
      </c>
      <c r="H85" s="26">
        <v>2.7E-6</v>
      </c>
      <c r="L85" s="24" t="s">
        <v>2423</v>
      </c>
      <c r="M85" s="24">
        <v>6.6091578947368417E-6</v>
      </c>
      <c r="N85" s="24">
        <v>53700.540397690856</v>
      </c>
    </row>
    <row r="86" spans="1:14">
      <c r="A86" s="1">
        <v>85</v>
      </c>
      <c r="B86" s="1" t="s">
        <v>4</v>
      </c>
      <c r="C86" s="2">
        <v>3.0399101383638499E-5</v>
      </c>
      <c r="G86" s="26">
        <v>3.0199999999999999E-5</v>
      </c>
      <c r="H86" s="26">
        <v>2.44E-5</v>
      </c>
      <c r="L86" s="24" t="s">
        <v>2423</v>
      </c>
      <c r="M86" s="24">
        <v>8.2485473684210522E-6</v>
      </c>
      <c r="N86" s="24">
        <v>49959.232824607665</v>
      </c>
    </row>
    <row r="87" spans="1:14">
      <c r="A87" s="1">
        <v>86</v>
      </c>
      <c r="B87" s="1" t="s">
        <v>4</v>
      </c>
      <c r="C87" s="2">
        <v>6.78582335120393E-6</v>
      </c>
      <c r="G87" s="26">
        <v>2.9899999999999998E-5</v>
      </c>
      <c r="H87" s="26">
        <v>1.5600000000000001E-6</v>
      </c>
      <c r="L87" s="24" t="s">
        <v>2423</v>
      </c>
      <c r="M87" s="24">
        <v>9.8879368421052627E-6</v>
      </c>
      <c r="N87" s="24">
        <v>44174.660786353284</v>
      </c>
    </row>
    <row r="88" spans="1:14">
      <c r="A88" s="1">
        <v>87</v>
      </c>
      <c r="B88" s="1" t="s">
        <v>4</v>
      </c>
      <c r="C88" s="2">
        <v>3.0247498577565999E-5</v>
      </c>
      <c r="G88" s="26">
        <v>3.0800000000000003E-5</v>
      </c>
      <c r="H88" s="26">
        <v>2.6599999999999999E-5</v>
      </c>
      <c r="L88" s="24" t="s">
        <v>2423</v>
      </c>
      <c r="M88" s="24">
        <v>1.1527326315789473E-5</v>
      </c>
      <c r="N88" s="24">
        <v>37123.681993843355</v>
      </c>
    </row>
    <row r="89" spans="1:14">
      <c r="A89" s="1">
        <v>88</v>
      </c>
      <c r="B89" s="1" t="s">
        <v>4</v>
      </c>
      <c r="C89" s="2">
        <v>2.9922205275023998E-5</v>
      </c>
      <c r="G89" s="26">
        <v>2.65E-5</v>
      </c>
      <c r="H89" s="26">
        <v>1.5999999999999999E-6</v>
      </c>
      <c r="L89" s="24" t="s">
        <v>2423</v>
      </c>
      <c r="M89" s="24">
        <v>1.3166715789473684E-5</v>
      </c>
      <c r="N89" s="24">
        <v>29651.674379360258</v>
      </c>
    </row>
    <row r="90" spans="1:14">
      <c r="A90" s="1">
        <v>89</v>
      </c>
      <c r="B90" s="1" t="s">
        <v>4</v>
      </c>
      <c r="C90" s="2">
        <v>3.08209804279887E-5</v>
      </c>
      <c r="G90" s="26">
        <v>6.81E-6</v>
      </c>
      <c r="H90" s="26">
        <v>3.8200000000000001E-7</v>
      </c>
      <c r="L90" s="24" t="s">
        <v>2423</v>
      </c>
      <c r="M90" s="24">
        <v>1.4806105263157894E-5</v>
      </c>
      <c r="N90" s="24">
        <v>22509.59902063241</v>
      </c>
    </row>
    <row r="91" spans="1:14">
      <c r="A91" s="1">
        <v>90</v>
      </c>
      <c r="B91" s="1" t="s">
        <v>4</v>
      </c>
      <c r="C91" s="2">
        <v>2.64551018372145E-5</v>
      </c>
      <c r="G91" s="26">
        <v>2.9099999999999999E-5</v>
      </c>
      <c r="H91" s="26">
        <v>4.6800000000000001E-6</v>
      </c>
      <c r="L91" s="24" t="s">
        <v>2423</v>
      </c>
      <c r="M91" s="24">
        <v>1.6445494736842106E-5</v>
      </c>
      <c r="N91" s="24">
        <v>16240.771386482538</v>
      </c>
    </row>
    <row r="92" spans="1:14">
      <c r="A92" s="1">
        <v>91</v>
      </c>
      <c r="B92" s="1" t="s">
        <v>4</v>
      </c>
      <c r="C92" s="2">
        <v>6.80926643216511E-6</v>
      </c>
      <c r="G92" s="26">
        <v>2.83E-5</v>
      </c>
      <c r="H92" s="26">
        <v>1.17E-7</v>
      </c>
      <c r="L92" s="24" t="s">
        <v>2423</v>
      </c>
      <c r="M92" s="24">
        <v>1.8084884210526315E-5</v>
      </c>
      <c r="N92" s="24">
        <v>11136.940652438456</v>
      </c>
    </row>
    <row r="93" spans="1:14">
      <c r="A93" s="1">
        <v>92</v>
      </c>
      <c r="B93" s="1" t="s">
        <v>4</v>
      </c>
      <c r="C93" s="2">
        <v>2.9105372518518999E-5</v>
      </c>
      <c r="G93" s="26">
        <v>2.9099999999999999E-5</v>
      </c>
      <c r="H93" s="26">
        <v>1.2100000000000001E-6</v>
      </c>
      <c r="L93" s="24" t="s">
        <v>2423</v>
      </c>
      <c r="M93" s="24">
        <v>1.9724273684210524E-5</v>
      </c>
      <c r="N93" s="24">
        <v>7258.4771773559278</v>
      </c>
    </row>
    <row r="94" spans="1:14">
      <c r="A94" s="1">
        <v>93</v>
      </c>
      <c r="B94" s="1" t="s">
        <v>4</v>
      </c>
      <c r="C94" s="2">
        <v>2.8313745410808699E-5</v>
      </c>
      <c r="G94" s="26">
        <v>2.6999999999999999E-5</v>
      </c>
      <c r="H94" s="26">
        <v>1.0100000000000001E-6</v>
      </c>
      <c r="L94" s="24" t="s">
        <v>2423</v>
      </c>
      <c r="M94" s="24">
        <v>2.1363663157894733E-5</v>
      </c>
      <c r="N94" s="24">
        <v>4496.1985771217132</v>
      </c>
    </row>
    <row r="95" spans="1:14">
      <c r="A95" s="1">
        <v>94</v>
      </c>
      <c r="B95" s="1" t="s">
        <v>4</v>
      </c>
      <c r="C95" s="2">
        <v>2.90730049744625E-5</v>
      </c>
      <c r="G95" s="26">
        <v>2.9899999999999998E-5</v>
      </c>
      <c r="H95" s="26">
        <v>2.9299999999999999E-7</v>
      </c>
      <c r="L95" s="24" t="s">
        <v>2423</v>
      </c>
      <c r="M95" s="24">
        <v>2.3003052631578942E-5</v>
      </c>
      <c r="N95" s="24">
        <v>2647.0723400939805</v>
      </c>
    </row>
    <row r="96" spans="1:14">
      <c r="A96" s="1">
        <v>95</v>
      </c>
      <c r="B96" s="1" t="s">
        <v>4</v>
      </c>
      <c r="C96" s="2">
        <v>2.70342559782414E-5</v>
      </c>
      <c r="G96" s="26">
        <v>2.58E-5</v>
      </c>
      <c r="H96" s="26">
        <v>5.4799999999999998E-7</v>
      </c>
      <c r="L96" s="24" t="s">
        <v>2423</v>
      </c>
      <c r="M96" s="24">
        <v>2.4642442105263151E-5</v>
      </c>
      <c r="N96" s="24">
        <v>1481.1754124218203</v>
      </c>
    </row>
    <row r="97" spans="1:14">
      <c r="A97" s="1">
        <v>96</v>
      </c>
      <c r="B97" s="1" t="s">
        <v>4</v>
      </c>
      <c r="C97" s="2">
        <v>2.9916710299165801E-5</v>
      </c>
      <c r="G97" s="26">
        <v>2.8600000000000001E-5</v>
      </c>
      <c r="H97" s="26">
        <v>2.0499999999999999E-6</v>
      </c>
      <c r="L97" s="24" t="s">
        <v>2423</v>
      </c>
      <c r="M97" s="24">
        <v>2.6281831578947359E-5</v>
      </c>
      <c r="N97" s="24">
        <v>787.71213537820472</v>
      </c>
    </row>
    <row r="98" spans="1:14">
      <c r="A98" s="1">
        <v>97</v>
      </c>
      <c r="B98" s="1" t="s">
        <v>4</v>
      </c>
      <c r="C98" s="2">
        <v>2.5795321844896501E-5</v>
      </c>
      <c r="G98" s="26">
        <v>2.8200000000000001E-5</v>
      </c>
      <c r="H98" s="26">
        <v>2.3300000000000001E-6</v>
      </c>
      <c r="L98" s="24" t="s">
        <v>2423</v>
      </c>
      <c r="M98" s="24">
        <v>2.7921221052631568E-5</v>
      </c>
      <c r="N98" s="24">
        <v>398.15203171931307</v>
      </c>
    </row>
    <row r="99" spans="1:14">
      <c r="A99" s="1">
        <v>98</v>
      </c>
      <c r="B99" s="1" t="s">
        <v>4</v>
      </c>
      <c r="C99" s="2">
        <v>2.86432443904643E-5</v>
      </c>
      <c r="G99" s="26">
        <v>2.9799999999999999E-5</v>
      </c>
      <c r="H99" s="26">
        <v>3.7299999999999999E-6</v>
      </c>
      <c r="L99" s="24" t="s">
        <v>2423</v>
      </c>
      <c r="M99" s="24">
        <v>2.9560610526315777E-5</v>
      </c>
      <c r="N99" s="24">
        <v>191.27168958198556</v>
      </c>
    </row>
    <row r="100" spans="1:14">
      <c r="A100" s="1">
        <v>99</v>
      </c>
      <c r="B100" s="1" t="s">
        <v>4</v>
      </c>
      <c r="C100" s="2">
        <v>2.8243424864219798E-5</v>
      </c>
      <c r="G100" s="26">
        <v>1.3499999999999999E-5</v>
      </c>
      <c r="H100" s="26">
        <v>8.1799999999999996E-6</v>
      </c>
      <c r="L100" s="24" t="s">
        <v>2423</v>
      </c>
      <c r="M100" s="24">
        <v>3.1199999999999986E-5</v>
      </c>
      <c r="N100" s="24">
        <v>87.3318801524658</v>
      </c>
    </row>
    <row r="101" spans="1:14">
      <c r="A101" s="1">
        <v>100</v>
      </c>
      <c r="B101" s="1" t="s">
        <v>4</v>
      </c>
      <c r="C101" s="2">
        <v>2.9829824313122001E-5</v>
      </c>
      <c r="G101" s="26">
        <v>2.94E-5</v>
      </c>
      <c r="H101" s="26">
        <v>1.9399999999999999E-7</v>
      </c>
    </row>
    <row r="102" spans="1:14">
      <c r="A102" s="1">
        <v>101</v>
      </c>
      <c r="B102" s="1" t="s">
        <v>4</v>
      </c>
      <c r="C102" s="2">
        <v>1.3524093374164999E-5</v>
      </c>
      <c r="G102" s="26">
        <v>2.1399999999999998E-5</v>
      </c>
      <c r="H102" s="26">
        <v>1.3E-6</v>
      </c>
    </row>
    <row r="103" spans="1:14">
      <c r="A103" s="1">
        <v>102</v>
      </c>
      <c r="B103" s="1" t="s">
        <v>4</v>
      </c>
      <c r="C103" s="2">
        <v>2.9351374820164798E-5</v>
      </c>
      <c r="G103" s="26">
        <v>3.1099999999999997E-5</v>
      </c>
      <c r="H103" s="26">
        <v>5.0000000000000004E-6</v>
      </c>
    </row>
    <row r="104" spans="1:14">
      <c r="A104" s="1">
        <v>103</v>
      </c>
      <c r="B104" s="1" t="s">
        <v>4</v>
      </c>
      <c r="C104" s="2">
        <v>2.1376815484447199E-5</v>
      </c>
      <c r="G104" s="26">
        <v>2.7699999999999999E-5</v>
      </c>
      <c r="H104" s="26">
        <v>1.4E-5</v>
      </c>
    </row>
    <row r="105" spans="1:14">
      <c r="A105" s="1">
        <v>104</v>
      </c>
      <c r="B105" s="1" t="s">
        <v>4</v>
      </c>
      <c r="C105" s="2">
        <v>3.1105387136584401E-5</v>
      </c>
      <c r="G105" s="26">
        <v>1.63E-5</v>
      </c>
      <c r="H105" s="26">
        <v>4.3000000000000001E-7</v>
      </c>
    </row>
    <row r="106" spans="1:14">
      <c r="A106" s="1">
        <v>105</v>
      </c>
      <c r="B106" s="1" t="s">
        <v>4</v>
      </c>
      <c r="C106" s="2">
        <v>2.77405818398543E-5</v>
      </c>
      <c r="G106" s="26">
        <v>2.8E-5</v>
      </c>
      <c r="H106" s="26">
        <v>2.17E-6</v>
      </c>
    </row>
    <row r="107" spans="1:14">
      <c r="A107" s="1">
        <v>106</v>
      </c>
      <c r="B107" s="1" t="s">
        <v>4</v>
      </c>
      <c r="C107" s="2">
        <v>1.62594346745341E-5</v>
      </c>
      <c r="G107" s="26">
        <v>2.39E-6</v>
      </c>
      <c r="H107" s="26">
        <v>1.9199999999999998E-6</v>
      </c>
    </row>
    <row r="108" spans="1:14">
      <c r="A108" s="1">
        <v>107</v>
      </c>
      <c r="B108" s="1" t="s">
        <v>4</v>
      </c>
      <c r="C108" s="2">
        <v>2.8013242409886598E-5</v>
      </c>
      <c r="G108" s="26">
        <v>2.87E-5</v>
      </c>
      <c r="H108" s="26">
        <v>1.59E-6</v>
      </c>
    </row>
    <row r="109" spans="1:14">
      <c r="A109" s="1">
        <v>108</v>
      </c>
      <c r="B109" s="1" t="s">
        <v>4</v>
      </c>
      <c r="C109" s="2">
        <v>2.3946252228799598E-6</v>
      </c>
      <c r="G109" s="26">
        <v>2.65E-5</v>
      </c>
      <c r="H109" s="26">
        <v>3.49E-6</v>
      </c>
    </row>
    <row r="110" spans="1:14">
      <c r="A110" s="1">
        <v>109</v>
      </c>
      <c r="B110" s="1" t="s">
        <v>4</v>
      </c>
      <c r="C110" s="2">
        <v>2.8686992191902399E-5</v>
      </c>
      <c r="G110" s="26">
        <v>3.1099999999999997E-5</v>
      </c>
      <c r="H110" s="26">
        <v>4.2100000000000003E-6</v>
      </c>
    </row>
    <row r="111" spans="1:14">
      <c r="A111" s="1">
        <v>110</v>
      </c>
      <c r="B111" s="1" t="s">
        <v>4</v>
      </c>
      <c r="C111" s="2">
        <v>2.6542703888333698E-5</v>
      </c>
      <c r="G111" s="26">
        <v>1.66E-5</v>
      </c>
      <c r="H111" s="26">
        <v>7.9400000000000004E-7</v>
      </c>
    </row>
    <row r="112" spans="1:14">
      <c r="A112" s="1">
        <v>111</v>
      </c>
      <c r="B112" s="1" t="s">
        <v>4</v>
      </c>
      <c r="C112" s="2">
        <v>3.1130865577496202E-5</v>
      </c>
      <c r="G112" s="26">
        <v>3.1000000000000001E-5</v>
      </c>
      <c r="H112" s="26">
        <v>1.0699999999999999E-6</v>
      </c>
    </row>
    <row r="113" spans="1:8">
      <c r="A113" s="1">
        <v>112</v>
      </c>
      <c r="B113" s="1" t="s">
        <v>4</v>
      </c>
      <c r="C113" s="2">
        <v>1.6616625025234099E-5</v>
      </c>
      <c r="G113" s="26">
        <v>2.1999999999999999E-5</v>
      </c>
      <c r="H113" s="26">
        <v>6.9199999999999998E-6</v>
      </c>
    </row>
    <row r="114" spans="1:8">
      <c r="A114" s="1">
        <v>113</v>
      </c>
      <c r="B114" s="1" t="s">
        <v>4</v>
      </c>
      <c r="C114" s="2">
        <v>3.1046853481433599E-5</v>
      </c>
      <c r="G114" s="26">
        <v>3.1199999999999999E-5</v>
      </c>
      <c r="H114" s="26">
        <v>4.8600000000000001E-6</v>
      </c>
    </row>
    <row r="115" spans="1:8">
      <c r="A115" s="1">
        <v>114</v>
      </c>
      <c r="B115" s="1" t="s">
        <v>4</v>
      </c>
      <c r="C115" s="2">
        <v>2.2046042544831399E-5</v>
      </c>
      <c r="G115" s="26">
        <v>2.4000000000000001E-5</v>
      </c>
      <c r="H115" s="26">
        <v>6.7800000000000003E-6</v>
      </c>
    </row>
    <row r="116" spans="1:8">
      <c r="A116" s="1">
        <v>115</v>
      </c>
      <c r="B116" s="1" t="s">
        <v>4</v>
      </c>
      <c r="C116" s="2">
        <v>3.1178917407202999E-5</v>
      </c>
      <c r="G116" s="26">
        <v>7.5199999999999996E-7</v>
      </c>
      <c r="H116" s="26">
        <v>4.1199999999999998E-7</v>
      </c>
    </row>
    <row r="117" spans="1:8">
      <c r="A117" s="1">
        <v>116</v>
      </c>
      <c r="B117" s="1" t="s">
        <v>4</v>
      </c>
      <c r="C117" s="2">
        <v>2.3983579270685798E-5</v>
      </c>
      <c r="G117" s="26">
        <v>3.1000000000000001E-5</v>
      </c>
      <c r="H117" s="26">
        <v>1.06E-6</v>
      </c>
    </row>
    <row r="118" spans="1:8">
      <c r="A118" s="1">
        <v>117</v>
      </c>
      <c r="B118" s="1" t="s">
        <v>4</v>
      </c>
      <c r="C118" s="2">
        <v>7.5215365364222397E-7</v>
      </c>
      <c r="G118" s="26">
        <v>3.1199999999999999E-5</v>
      </c>
      <c r="H118" s="26">
        <v>4.1400000000000002E-6</v>
      </c>
    </row>
    <row r="119" spans="1:8">
      <c r="A119" s="1">
        <v>118</v>
      </c>
      <c r="B119" s="1" t="s">
        <v>4</v>
      </c>
      <c r="C119" s="2">
        <v>3.1049259660468502E-5</v>
      </c>
      <c r="G119" s="26">
        <v>2.7699999999999999E-5</v>
      </c>
      <c r="H119" s="26">
        <v>2.5100000000000001E-6</v>
      </c>
    </row>
    <row r="120" spans="1:8">
      <c r="A120" s="1">
        <v>119</v>
      </c>
      <c r="B120" s="1" t="s">
        <v>4</v>
      </c>
      <c r="C120" s="2">
        <v>3.1243250005398001E-5</v>
      </c>
      <c r="G120" s="26">
        <v>1.1199999999999999E-5</v>
      </c>
      <c r="H120" s="26">
        <v>4.5800000000000002E-6</v>
      </c>
    </row>
    <row r="121" spans="1:8">
      <c r="A121" s="1">
        <v>120</v>
      </c>
      <c r="B121" s="1" t="s">
        <v>4</v>
      </c>
      <c r="C121" s="2">
        <v>2.7707310271142699E-5</v>
      </c>
      <c r="G121" s="26">
        <v>3.0599999999999998E-5</v>
      </c>
      <c r="H121" s="26">
        <v>5.5999999999999997E-6</v>
      </c>
    </row>
    <row r="122" spans="1:8">
      <c r="A122" s="1">
        <v>121</v>
      </c>
      <c r="B122" s="1" t="s">
        <v>4</v>
      </c>
      <c r="C122" s="2">
        <v>1.1153981964663701E-5</v>
      </c>
      <c r="G122" s="26">
        <v>2.8600000000000001E-5</v>
      </c>
      <c r="H122" s="26">
        <v>1.0699999999999999E-6</v>
      </c>
    </row>
    <row r="123" spans="1:8">
      <c r="A123" s="1">
        <v>122</v>
      </c>
      <c r="B123" s="1" t="s">
        <v>4</v>
      </c>
      <c r="C123" s="2">
        <v>3.06042446326846E-5</v>
      </c>
      <c r="G123" s="26">
        <v>2.8799999999999999E-5</v>
      </c>
      <c r="H123" s="26">
        <v>9.9800000000000002E-7</v>
      </c>
    </row>
    <row r="124" spans="1:8">
      <c r="A124" s="1">
        <v>123</v>
      </c>
      <c r="B124" s="1" t="s">
        <v>4</v>
      </c>
      <c r="C124" s="2">
        <v>2.8600884304494001E-5</v>
      </c>
      <c r="G124" s="26">
        <v>2.4199999999999999E-5</v>
      </c>
      <c r="H124" s="26">
        <v>5.2900000000000002E-6</v>
      </c>
    </row>
    <row r="125" spans="1:8">
      <c r="A125" s="1">
        <v>124</v>
      </c>
      <c r="B125" s="1" t="s">
        <v>180</v>
      </c>
      <c r="C125" s="2">
        <v>3.9746847722904201E-6</v>
      </c>
      <c r="G125" s="26">
        <v>1.0699999999999999E-5</v>
      </c>
      <c r="H125" s="26">
        <v>1.61E-6</v>
      </c>
    </row>
    <row r="126" spans="1:8">
      <c r="A126" s="1">
        <v>125</v>
      </c>
      <c r="B126" s="1" t="s">
        <v>4</v>
      </c>
      <c r="C126" s="2">
        <v>2.8750997126387499E-5</v>
      </c>
      <c r="G126" s="26">
        <v>3.1199999999999999E-5</v>
      </c>
      <c r="H126" s="26">
        <v>1.6199999999999999E-6</v>
      </c>
    </row>
    <row r="127" spans="1:8">
      <c r="A127" s="1">
        <v>126</v>
      </c>
      <c r="B127" s="1" t="s">
        <v>4</v>
      </c>
      <c r="C127" s="2">
        <v>2.42355871746499E-5</v>
      </c>
      <c r="G127" s="26">
        <v>1.1399999999999999E-5</v>
      </c>
      <c r="H127" s="26">
        <v>2.9899999999999998E-5</v>
      </c>
    </row>
    <row r="128" spans="1:8">
      <c r="A128" s="1">
        <v>127</v>
      </c>
      <c r="B128" s="1" t="s">
        <v>4</v>
      </c>
      <c r="C128" s="2">
        <v>1.0727959877694601E-5</v>
      </c>
      <c r="G128" s="26">
        <v>2.8200000000000001E-5</v>
      </c>
      <c r="H128" s="26">
        <v>4.5400000000000002E-7</v>
      </c>
    </row>
    <row r="129" spans="1:8">
      <c r="A129" s="1">
        <v>128</v>
      </c>
      <c r="B129" s="1" t="s">
        <v>4</v>
      </c>
      <c r="C129" s="2">
        <v>3.1244762321428497E-5</v>
      </c>
      <c r="G129" s="26">
        <v>2.5599999999999999E-5</v>
      </c>
      <c r="H129" s="26">
        <v>6.3199999999999996E-6</v>
      </c>
    </row>
    <row r="130" spans="1:8">
      <c r="A130" s="1">
        <v>129</v>
      </c>
      <c r="B130" s="1" t="s">
        <v>4</v>
      </c>
      <c r="C130" s="2">
        <v>1.1432654395875101E-5</v>
      </c>
      <c r="G130" s="26">
        <v>1.98E-5</v>
      </c>
      <c r="H130" s="26">
        <v>4.3699999999999997E-6</v>
      </c>
    </row>
    <row r="131" spans="1:8">
      <c r="A131" s="1">
        <v>130</v>
      </c>
      <c r="B131" s="1" t="s">
        <v>4</v>
      </c>
      <c r="C131" s="2">
        <v>2.8161443848783201E-5</v>
      </c>
      <c r="G131" s="26">
        <v>3.1099999999999997E-5</v>
      </c>
      <c r="H131" s="26">
        <v>2.7700000000000001E-7</v>
      </c>
    </row>
    <row r="132" spans="1:8">
      <c r="A132" s="1">
        <v>131</v>
      </c>
      <c r="B132" s="1" t="s">
        <v>4</v>
      </c>
      <c r="C132" s="2">
        <v>2.5634074093354901E-5</v>
      </c>
      <c r="G132" s="26">
        <v>1.1199999999999999E-5</v>
      </c>
      <c r="H132" s="26">
        <v>9.3500000000000005E-7</v>
      </c>
    </row>
    <row r="133" spans="1:8">
      <c r="A133" s="1">
        <v>132</v>
      </c>
      <c r="B133" s="1" t="s">
        <v>4</v>
      </c>
      <c r="C133" s="2">
        <v>1.9842565888515799E-5</v>
      </c>
      <c r="G133" s="26">
        <v>3.0899999999999999E-5</v>
      </c>
      <c r="H133" s="26">
        <v>3.9600000000000002E-6</v>
      </c>
    </row>
    <row r="134" spans="1:8">
      <c r="A134" s="1">
        <v>133</v>
      </c>
      <c r="B134" s="1" t="s">
        <v>4</v>
      </c>
      <c r="C134" s="2">
        <v>3.1098760638726998E-5</v>
      </c>
      <c r="G134" s="26">
        <v>3.1199999999999999E-5</v>
      </c>
    </row>
    <row r="135" spans="1:8">
      <c r="A135" s="1">
        <v>134</v>
      </c>
      <c r="B135" s="1" t="s">
        <v>4</v>
      </c>
      <c r="C135" s="2">
        <v>1.1195967394350501E-5</v>
      </c>
      <c r="G135" s="26">
        <v>1.0699999999999999E-5</v>
      </c>
    </row>
    <row r="136" spans="1:8">
      <c r="A136" s="1">
        <v>135</v>
      </c>
      <c r="B136" s="1" t="s">
        <v>4</v>
      </c>
      <c r="C136" s="2">
        <v>3.0930945650857998E-5</v>
      </c>
      <c r="G136" s="26">
        <v>2.94E-5</v>
      </c>
    </row>
    <row r="137" spans="1:8">
      <c r="A137" s="1">
        <v>136</v>
      </c>
      <c r="B137" s="1" t="s">
        <v>180</v>
      </c>
      <c r="C137" s="2">
        <v>7.2524000291766799E-7</v>
      </c>
      <c r="G137" s="26">
        <v>3.0700000000000001E-5</v>
      </c>
    </row>
    <row r="138" spans="1:8">
      <c r="A138" s="1">
        <v>137</v>
      </c>
      <c r="B138" s="1" t="s">
        <v>4</v>
      </c>
      <c r="C138" s="2">
        <v>3.1218856446260602E-5</v>
      </c>
      <c r="G138" s="26">
        <v>1.6099999999999998E-5</v>
      </c>
    </row>
    <row r="139" spans="1:8">
      <c r="A139" s="1">
        <v>138</v>
      </c>
      <c r="B139" s="1" t="s">
        <v>4</v>
      </c>
      <c r="C139" s="2">
        <v>1.07351426189699E-5</v>
      </c>
      <c r="G139" s="26">
        <v>1.8E-5</v>
      </c>
    </row>
    <row r="140" spans="1:8">
      <c r="A140" s="1">
        <v>139</v>
      </c>
      <c r="B140" s="1" t="s">
        <v>4</v>
      </c>
      <c r="C140" s="2">
        <v>2.9427129510792002E-5</v>
      </c>
      <c r="G140" s="26">
        <v>3.0499999999999999E-5</v>
      </c>
    </row>
    <row r="141" spans="1:8">
      <c r="A141" s="1">
        <v>140</v>
      </c>
      <c r="B141" s="1" t="s">
        <v>4</v>
      </c>
      <c r="C141" s="2">
        <v>3.0737017676850998E-5</v>
      </c>
      <c r="G141" s="26">
        <v>2.9300000000000001E-5</v>
      </c>
    </row>
    <row r="142" spans="1:8">
      <c r="A142" s="1">
        <v>141</v>
      </c>
      <c r="B142" s="1" t="s">
        <v>4</v>
      </c>
      <c r="C142" s="2">
        <v>1.60622636884621E-5</v>
      </c>
      <c r="G142" s="26">
        <v>2.5899999999999999E-5</v>
      </c>
    </row>
    <row r="143" spans="1:8">
      <c r="A143" s="1">
        <v>142</v>
      </c>
      <c r="B143" s="1" t="s">
        <v>4</v>
      </c>
      <c r="C143" s="2">
        <v>1.8004918486347901E-5</v>
      </c>
      <c r="G143" s="26">
        <v>2.7800000000000001E-5</v>
      </c>
    </row>
    <row r="144" spans="1:8">
      <c r="A144" s="1">
        <v>143</v>
      </c>
      <c r="B144" s="1" t="s">
        <v>4</v>
      </c>
      <c r="C144" s="2">
        <v>3.0496466309561501E-5</v>
      </c>
      <c r="G144" s="26">
        <v>2.0800000000000001E-5</v>
      </c>
    </row>
    <row r="145" spans="1:7">
      <c r="A145" s="1">
        <v>144</v>
      </c>
      <c r="B145" s="1" t="s">
        <v>4</v>
      </c>
      <c r="C145" s="2">
        <v>2.9292457738938299E-5</v>
      </c>
      <c r="G145" s="26">
        <v>9.4800000000000007E-6</v>
      </c>
    </row>
    <row r="146" spans="1:7">
      <c r="A146" s="1">
        <v>145</v>
      </c>
      <c r="B146" s="1" t="s">
        <v>4</v>
      </c>
      <c r="C146" s="2">
        <v>2.5939065118229999E-5</v>
      </c>
      <c r="G146" s="26">
        <v>2.09E-5</v>
      </c>
    </row>
    <row r="147" spans="1:7">
      <c r="A147" s="1">
        <v>146</v>
      </c>
      <c r="B147" s="1" t="s">
        <v>180</v>
      </c>
      <c r="C147" s="2">
        <v>1.09379714219462E-7</v>
      </c>
      <c r="G147" s="26">
        <v>2.4899999999999999E-5</v>
      </c>
    </row>
    <row r="148" spans="1:7">
      <c r="A148" s="1">
        <v>147</v>
      </c>
      <c r="B148" s="1" t="s">
        <v>4</v>
      </c>
      <c r="C148" s="2">
        <v>2.7836654698645499E-5</v>
      </c>
      <c r="G148" s="26">
        <v>2.6999999999999999E-5</v>
      </c>
    </row>
    <row r="149" spans="1:7">
      <c r="A149" s="1">
        <v>148</v>
      </c>
      <c r="B149" s="1" t="s">
        <v>4</v>
      </c>
      <c r="C149" s="2">
        <v>2.07962881427227E-5</v>
      </c>
      <c r="G149" s="26">
        <v>2.76E-5</v>
      </c>
    </row>
    <row r="150" spans="1:7">
      <c r="A150" s="1">
        <v>149</v>
      </c>
      <c r="B150" s="1" t="s">
        <v>4</v>
      </c>
      <c r="C150" s="2">
        <v>9.4832130346293495E-6</v>
      </c>
      <c r="G150" s="26">
        <v>2.9200000000000002E-5</v>
      </c>
    </row>
    <row r="151" spans="1:7">
      <c r="A151" s="1">
        <v>150</v>
      </c>
      <c r="B151" s="1" t="s">
        <v>4</v>
      </c>
      <c r="C151" s="2">
        <v>2.0888105196676101E-5</v>
      </c>
      <c r="G151" s="26">
        <v>3.0499999999999999E-5</v>
      </c>
    </row>
    <row r="152" spans="1:7">
      <c r="A152" s="1">
        <v>151</v>
      </c>
      <c r="B152" s="1" t="s">
        <v>4</v>
      </c>
      <c r="C152" s="2">
        <v>2.4918418414011799E-5</v>
      </c>
      <c r="G152" s="26">
        <v>2.5999999999999998E-5</v>
      </c>
    </row>
    <row r="153" spans="1:7">
      <c r="A153" s="1">
        <v>152</v>
      </c>
      <c r="B153" s="1" t="s">
        <v>4</v>
      </c>
      <c r="C153" s="2">
        <v>2.7039223705458298E-5</v>
      </c>
      <c r="G153" s="26">
        <v>2.5700000000000001E-5</v>
      </c>
    </row>
    <row r="154" spans="1:7">
      <c r="A154" s="1">
        <v>153</v>
      </c>
      <c r="B154" s="1" t="s">
        <v>4</v>
      </c>
      <c r="C154" s="2">
        <v>2.7630759341744802E-5</v>
      </c>
      <c r="G154" s="26">
        <v>3.01E-5</v>
      </c>
    </row>
    <row r="155" spans="1:7">
      <c r="A155" s="1">
        <v>154</v>
      </c>
      <c r="B155" s="1" t="s">
        <v>4</v>
      </c>
      <c r="C155" s="2">
        <v>2.9214526921873899E-5</v>
      </c>
      <c r="G155" s="26">
        <v>2.7500000000000001E-5</v>
      </c>
    </row>
    <row r="156" spans="1:7">
      <c r="A156" s="1">
        <v>155</v>
      </c>
      <c r="B156" s="1" t="s">
        <v>4</v>
      </c>
      <c r="C156" s="2">
        <v>3.0507708269944001E-5</v>
      </c>
      <c r="G156" s="26">
        <v>2.5199999999999999E-5</v>
      </c>
    </row>
    <row r="157" spans="1:7">
      <c r="A157" s="1">
        <v>156</v>
      </c>
      <c r="B157" s="1" t="s">
        <v>4</v>
      </c>
      <c r="C157" s="2">
        <v>2.5975113182803398E-5</v>
      </c>
      <c r="G157" s="26">
        <v>2.72E-5</v>
      </c>
    </row>
    <row r="158" spans="1:7">
      <c r="A158" s="1">
        <v>157</v>
      </c>
      <c r="B158" s="1" t="s">
        <v>4</v>
      </c>
      <c r="C158" s="2">
        <v>2.5665464283997799E-5</v>
      </c>
      <c r="G158" s="26">
        <v>3.1099999999999997E-5</v>
      </c>
    </row>
    <row r="159" spans="1:7">
      <c r="A159" s="1">
        <v>158</v>
      </c>
      <c r="B159" s="1" t="s">
        <v>4</v>
      </c>
      <c r="C159" s="2">
        <v>3.0086975149157301E-5</v>
      </c>
      <c r="G159" s="26">
        <v>1.8899999999999999E-5</v>
      </c>
    </row>
    <row r="160" spans="1:7">
      <c r="A160" s="1">
        <v>159</v>
      </c>
      <c r="B160" s="1" t="s">
        <v>4</v>
      </c>
      <c r="C160" s="2">
        <v>2.7521212601455198E-5</v>
      </c>
      <c r="G160" s="26">
        <v>3.1099999999999997E-5</v>
      </c>
    </row>
    <row r="161" spans="1:7">
      <c r="A161" s="1">
        <v>160</v>
      </c>
      <c r="B161" s="1" t="s">
        <v>4</v>
      </c>
      <c r="C161" s="2">
        <v>2.5221956285399E-5</v>
      </c>
      <c r="G161" s="26">
        <v>3.0499999999999999E-5</v>
      </c>
    </row>
    <row r="162" spans="1:7">
      <c r="A162" s="1">
        <v>161</v>
      </c>
      <c r="B162" s="1" t="s">
        <v>4</v>
      </c>
      <c r="C162" s="2">
        <v>2.7185407678569802E-5</v>
      </c>
      <c r="G162" s="26">
        <v>2.9600000000000001E-5</v>
      </c>
    </row>
    <row r="163" spans="1:7">
      <c r="A163" s="1">
        <v>162</v>
      </c>
      <c r="B163" s="1" t="s">
        <v>4</v>
      </c>
      <c r="C163" s="2">
        <v>3.1113731900382699E-5</v>
      </c>
      <c r="G163" s="26">
        <v>3.1199999999999999E-5</v>
      </c>
    </row>
    <row r="164" spans="1:7">
      <c r="A164" s="1">
        <v>163</v>
      </c>
      <c r="B164" s="1" t="s">
        <v>4</v>
      </c>
      <c r="C164" s="2">
        <v>1.8939623350980499E-5</v>
      </c>
      <c r="G164" s="26">
        <v>2.8600000000000001E-5</v>
      </c>
    </row>
    <row r="165" spans="1:7">
      <c r="A165" s="1">
        <v>164</v>
      </c>
      <c r="B165" s="1" t="s">
        <v>4</v>
      </c>
      <c r="C165" s="2">
        <v>3.1138804853834898E-5</v>
      </c>
      <c r="G165" s="26">
        <v>2.8E-5</v>
      </c>
    </row>
    <row r="166" spans="1:7">
      <c r="A166" s="1">
        <v>165</v>
      </c>
      <c r="B166" s="1" t="s">
        <v>4</v>
      </c>
      <c r="C166" s="2">
        <v>3.0513913279220001E-5</v>
      </c>
      <c r="G166" s="26">
        <v>2.4899999999999999E-5</v>
      </c>
    </row>
    <row r="167" spans="1:7">
      <c r="A167" s="1">
        <v>166</v>
      </c>
      <c r="B167" s="1" t="s">
        <v>4</v>
      </c>
      <c r="C167" s="2">
        <v>2.9648777515573E-5</v>
      </c>
      <c r="G167" s="26">
        <v>2.4199999999999999E-5</v>
      </c>
    </row>
    <row r="168" spans="1:7">
      <c r="A168" s="1">
        <v>167</v>
      </c>
      <c r="B168" s="1" t="s">
        <v>4</v>
      </c>
      <c r="C168" s="2">
        <v>3.1214890915260398E-5</v>
      </c>
      <c r="G168" s="26">
        <v>1.9199999999999999E-5</v>
      </c>
    </row>
    <row r="169" spans="1:7">
      <c r="A169" s="1">
        <v>168</v>
      </c>
      <c r="B169" s="1" t="s">
        <v>4</v>
      </c>
      <c r="C169" s="2">
        <v>2.8574293446779E-5</v>
      </c>
      <c r="G169" s="26">
        <v>3.0499999999999999E-5</v>
      </c>
    </row>
    <row r="170" spans="1:7">
      <c r="A170" s="1">
        <v>169</v>
      </c>
      <c r="B170" s="1" t="s">
        <v>4</v>
      </c>
      <c r="C170" s="2">
        <v>2.7992235202069002E-5</v>
      </c>
      <c r="G170" s="26">
        <v>7.52E-6</v>
      </c>
    </row>
    <row r="171" spans="1:7">
      <c r="A171" s="1">
        <v>170</v>
      </c>
      <c r="B171" s="1" t="s">
        <v>4</v>
      </c>
      <c r="C171" s="2">
        <v>2.49042422941035E-5</v>
      </c>
      <c r="G171" s="26">
        <v>1.5500000000000001E-5</v>
      </c>
    </row>
    <row r="172" spans="1:7">
      <c r="A172" s="1">
        <v>171</v>
      </c>
      <c r="B172" s="1" t="s">
        <v>4</v>
      </c>
      <c r="C172" s="2">
        <v>2.4225967197046499E-5</v>
      </c>
      <c r="G172" s="26">
        <v>3.0000000000000001E-5</v>
      </c>
    </row>
    <row r="173" spans="1:7">
      <c r="A173" s="1">
        <v>172</v>
      </c>
      <c r="B173" s="1" t="s">
        <v>4</v>
      </c>
      <c r="C173" s="2">
        <v>1.92265845699005E-5</v>
      </c>
      <c r="G173" s="26">
        <v>3.0899999999999999E-5</v>
      </c>
    </row>
    <row r="174" spans="1:7">
      <c r="A174" s="1">
        <v>173</v>
      </c>
      <c r="B174" s="1" t="s">
        <v>4</v>
      </c>
      <c r="C174" s="2">
        <v>3.0513576302058301E-5</v>
      </c>
      <c r="G174" s="26">
        <v>2.7500000000000001E-5</v>
      </c>
    </row>
    <row r="175" spans="1:7">
      <c r="A175" s="1">
        <v>174</v>
      </c>
      <c r="B175" s="1" t="s">
        <v>4</v>
      </c>
      <c r="C175" s="2">
        <v>7.5206477398750199E-6</v>
      </c>
      <c r="G175" s="26">
        <v>2.7399999999999999E-5</v>
      </c>
    </row>
    <row r="176" spans="1:7">
      <c r="A176" s="1">
        <v>175</v>
      </c>
      <c r="B176" s="1" t="s">
        <v>4</v>
      </c>
      <c r="C176" s="2">
        <v>1.54751289541922E-5</v>
      </c>
      <c r="G176" s="26">
        <v>2.55E-5</v>
      </c>
    </row>
    <row r="177" spans="1:7">
      <c r="A177" s="1">
        <v>176</v>
      </c>
      <c r="B177" s="1" t="s">
        <v>4</v>
      </c>
      <c r="C177" s="2">
        <v>2.9999557876976299E-5</v>
      </c>
      <c r="G177" s="26">
        <v>1.1199999999999999E-5</v>
      </c>
    </row>
    <row r="178" spans="1:7">
      <c r="A178" s="1">
        <v>177</v>
      </c>
      <c r="B178" s="1" t="s">
        <v>4</v>
      </c>
      <c r="C178" s="2">
        <v>3.0884150110370197E-5</v>
      </c>
      <c r="G178" s="26">
        <v>2.62E-5</v>
      </c>
    </row>
    <row r="179" spans="1:7">
      <c r="A179" s="1">
        <v>178</v>
      </c>
      <c r="B179" s="1" t="s">
        <v>4</v>
      </c>
      <c r="C179" s="2">
        <v>2.74873993853838E-5</v>
      </c>
      <c r="G179" s="26">
        <v>1.6200000000000001E-5</v>
      </c>
    </row>
    <row r="180" spans="1:7">
      <c r="A180" s="1">
        <v>179</v>
      </c>
      <c r="B180" s="1" t="s">
        <v>4</v>
      </c>
      <c r="C180" s="2">
        <v>2.7382926980986999E-5</v>
      </c>
      <c r="G180" s="26">
        <v>2.8E-5</v>
      </c>
    </row>
    <row r="181" spans="1:7">
      <c r="A181" s="1">
        <v>180</v>
      </c>
      <c r="B181" s="1" t="s">
        <v>4</v>
      </c>
      <c r="C181" s="2">
        <v>2.54685670029388E-5</v>
      </c>
      <c r="G181" s="26">
        <v>3.0300000000000001E-5</v>
      </c>
    </row>
    <row r="182" spans="1:7">
      <c r="A182" s="1">
        <v>181</v>
      </c>
      <c r="B182" s="1" t="s">
        <v>4</v>
      </c>
      <c r="C182" s="2">
        <v>1.11954049973224E-5</v>
      </c>
      <c r="G182" s="26">
        <v>5.5999999999999997E-6</v>
      </c>
    </row>
    <row r="183" spans="1:7">
      <c r="A183" s="1">
        <v>182</v>
      </c>
      <c r="B183" s="1" t="s">
        <v>4</v>
      </c>
      <c r="C183" s="2">
        <v>2.6219616629974299E-5</v>
      </c>
      <c r="G183" s="26">
        <v>2.2500000000000001E-5</v>
      </c>
    </row>
    <row r="184" spans="1:7">
      <c r="A184" s="1">
        <v>183</v>
      </c>
      <c r="B184" s="1" t="s">
        <v>4</v>
      </c>
      <c r="C184" s="2">
        <v>1.61575437328486E-5</v>
      </c>
      <c r="G184" s="26">
        <v>3.1199999999999999E-5</v>
      </c>
    </row>
    <row r="185" spans="1:7">
      <c r="A185" s="1">
        <v>184</v>
      </c>
      <c r="B185" s="1" t="s">
        <v>4</v>
      </c>
      <c r="C185" s="2">
        <v>2.8044852486861299E-5</v>
      </c>
      <c r="G185" s="26">
        <v>2.9899999999999998E-5</v>
      </c>
    </row>
    <row r="186" spans="1:7">
      <c r="A186" s="1">
        <v>185</v>
      </c>
      <c r="B186" s="1" t="s">
        <v>4</v>
      </c>
      <c r="C186" s="2">
        <v>3.0257656182475399E-5</v>
      </c>
      <c r="G186" s="26">
        <v>2.3499999999999999E-5</v>
      </c>
    </row>
    <row r="187" spans="1:7">
      <c r="A187" s="1">
        <v>186</v>
      </c>
      <c r="B187" s="1" t="s">
        <v>4</v>
      </c>
      <c r="C187" s="2">
        <v>5.6038036701192296E-6</v>
      </c>
      <c r="G187" s="26">
        <v>1.5299999999999999E-5</v>
      </c>
    </row>
    <row r="188" spans="1:7">
      <c r="A188" s="1">
        <v>187</v>
      </c>
      <c r="B188" s="1" t="s">
        <v>4</v>
      </c>
      <c r="C188" s="2">
        <v>2.2471220043445699E-5</v>
      </c>
      <c r="G188" s="26">
        <v>2.6800000000000001E-5</v>
      </c>
    </row>
    <row r="189" spans="1:7">
      <c r="A189" s="1">
        <v>188</v>
      </c>
      <c r="B189" s="1" t="s">
        <v>4</v>
      </c>
      <c r="C189" s="2">
        <v>3.1200329050898297E-5</v>
      </c>
      <c r="G189" s="26">
        <v>2.0999999999999999E-5</v>
      </c>
    </row>
    <row r="190" spans="1:7">
      <c r="A190" s="1">
        <v>189</v>
      </c>
      <c r="B190" s="1" t="s">
        <v>4</v>
      </c>
      <c r="C190" s="2">
        <v>2.9912296869325801E-5</v>
      </c>
      <c r="G190" s="26">
        <v>2.7500000000000001E-5</v>
      </c>
    </row>
    <row r="191" spans="1:7">
      <c r="A191" s="1">
        <v>190</v>
      </c>
      <c r="B191" s="1" t="s">
        <v>180</v>
      </c>
      <c r="C191" s="2">
        <v>1.9850173651765198E-6</v>
      </c>
      <c r="G191" s="26">
        <v>2.2200000000000001E-5</v>
      </c>
    </row>
    <row r="192" spans="1:7">
      <c r="A192" s="1">
        <v>191</v>
      </c>
      <c r="B192" s="1" t="s">
        <v>4</v>
      </c>
      <c r="C192" s="2">
        <v>2.34578298598696E-5</v>
      </c>
      <c r="G192" s="26">
        <v>2.2099999999999998E-5</v>
      </c>
    </row>
    <row r="193" spans="1:7">
      <c r="A193" s="1">
        <v>192</v>
      </c>
      <c r="B193" s="1" t="s">
        <v>4</v>
      </c>
      <c r="C193" s="2">
        <v>1.53352667248812E-5</v>
      </c>
      <c r="G193" s="26">
        <v>2.9099999999999999E-5</v>
      </c>
    </row>
    <row r="194" spans="1:7">
      <c r="A194" s="1">
        <v>193</v>
      </c>
      <c r="B194" s="1" t="s">
        <v>180</v>
      </c>
      <c r="C194" s="2">
        <v>1.15470341251288E-5</v>
      </c>
      <c r="G194" s="26">
        <v>2.3799999999999999E-5</v>
      </c>
    </row>
    <row r="195" spans="1:7">
      <c r="A195" s="1">
        <v>194</v>
      </c>
      <c r="B195" s="1" t="s">
        <v>4</v>
      </c>
      <c r="C195" s="2">
        <v>2.68146496269004E-5</v>
      </c>
      <c r="G195" s="26">
        <v>4.6399999999999996E-6</v>
      </c>
    </row>
    <row r="196" spans="1:7">
      <c r="A196" s="1">
        <v>195</v>
      </c>
      <c r="B196" s="1" t="s">
        <v>4</v>
      </c>
      <c r="C196" s="2">
        <v>2.10115348121861E-5</v>
      </c>
      <c r="G196" s="26">
        <v>2.9200000000000002E-5</v>
      </c>
    </row>
    <row r="197" spans="1:7">
      <c r="A197" s="1">
        <v>196</v>
      </c>
      <c r="B197" s="1" t="s">
        <v>4</v>
      </c>
      <c r="C197" s="2">
        <v>2.75495606573143E-5</v>
      </c>
      <c r="G197" s="26">
        <v>1.2999999999999999E-5</v>
      </c>
    </row>
    <row r="198" spans="1:7">
      <c r="A198" s="1">
        <v>197</v>
      </c>
      <c r="B198" s="1" t="s">
        <v>4</v>
      </c>
      <c r="C198" s="2">
        <v>2.22113924009738E-5</v>
      </c>
      <c r="G198" s="26">
        <v>3.0199999999999999E-5</v>
      </c>
    </row>
    <row r="199" spans="1:7">
      <c r="A199" s="1">
        <v>198</v>
      </c>
      <c r="B199" s="1" t="s">
        <v>4</v>
      </c>
      <c r="C199" s="2">
        <v>2.2142456950992601E-5</v>
      </c>
      <c r="G199" s="26">
        <v>1.84E-5</v>
      </c>
    </row>
    <row r="200" spans="1:7">
      <c r="A200" s="1">
        <v>199</v>
      </c>
      <c r="B200" s="1" t="s">
        <v>180</v>
      </c>
      <c r="C200" s="2">
        <v>1.04513539279395E-6</v>
      </c>
      <c r="G200" s="26">
        <v>1.5600000000000001E-6</v>
      </c>
    </row>
    <row r="201" spans="1:7">
      <c r="A201" s="1">
        <v>200</v>
      </c>
      <c r="B201" s="1" t="s">
        <v>4</v>
      </c>
      <c r="C201" s="2">
        <v>2.9062253303154799E-5</v>
      </c>
      <c r="G201" s="26">
        <v>2.5700000000000001E-5</v>
      </c>
    </row>
    <row r="202" spans="1:7">
      <c r="A202" s="1">
        <v>201</v>
      </c>
      <c r="B202" s="1" t="s">
        <v>4</v>
      </c>
      <c r="C202" s="2">
        <v>2.38235665535046E-5</v>
      </c>
      <c r="G202" s="26">
        <v>9.1800000000000002E-6</v>
      </c>
    </row>
    <row r="203" spans="1:7">
      <c r="A203" s="1">
        <v>202</v>
      </c>
      <c r="B203" s="1" t="s">
        <v>4</v>
      </c>
      <c r="C203" s="2">
        <v>4.64438446262506E-6</v>
      </c>
      <c r="G203" s="26">
        <v>1.9899999999999999E-5</v>
      </c>
    </row>
    <row r="204" spans="1:7">
      <c r="A204" s="1">
        <v>203</v>
      </c>
      <c r="B204" s="1" t="s">
        <v>4</v>
      </c>
      <c r="C204" s="2">
        <v>2.9174585251461601E-5</v>
      </c>
      <c r="G204" s="26">
        <v>2.76E-5</v>
      </c>
    </row>
    <row r="205" spans="1:7">
      <c r="A205" s="1">
        <v>204</v>
      </c>
      <c r="B205" s="1" t="s">
        <v>4</v>
      </c>
      <c r="C205" s="2">
        <v>1.30416716077684E-5</v>
      </c>
      <c r="G205" s="26">
        <v>1.34E-5</v>
      </c>
    </row>
    <row r="206" spans="1:7">
      <c r="A206" s="1">
        <v>205</v>
      </c>
      <c r="B206" s="1" t="s">
        <v>4</v>
      </c>
      <c r="C206" s="2">
        <v>3.01702620289163E-5</v>
      </c>
      <c r="G206" s="26">
        <v>2.9799999999999999E-5</v>
      </c>
    </row>
    <row r="207" spans="1:7">
      <c r="A207" s="1">
        <v>206</v>
      </c>
      <c r="B207" s="1" t="s">
        <v>4</v>
      </c>
      <c r="C207" s="2">
        <v>1.8381958857772999E-5</v>
      </c>
      <c r="G207" s="26">
        <v>3.04E-5</v>
      </c>
    </row>
    <row r="208" spans="1:7">
      <c r="A208" s="1">
        <v>207</v>
      </c>
      <c r="B208" s="1" t="s">
        <v>4</v>
      </c>
      <c r="C208" s="2">
        <v>1.55627002620843E-6</v>
      </c>
      <c r="G208" s="26">
        <v>3.1199999999999999E-5</v>
      </c>
    </row>
    <row r="209" spans="1:7">
      <c r="A209" s="1">
        <v>208</v>
      </c>
      <c r="B209" s="1" t="s">
        <v>4</v>
      </c>
      <c r="C209" s="2">
        <v>2.5691060341992401E-5</v>
      </c>
      <c r="G209" s="26">
        <v>2.9300000000000001E-5</v>
      </c>
    </row>
    <row r="210" spans="1:7">
      <c r="A210" s="1">
        <v>209</v>
      </c>
      <c r="B210" s="1" t="s">
        <v>4</v>
      </c>
      <c r="C210" s="2">
        <v>9.1773082591585406E-6</v>
      </c>
      <c r="G210" s="26">
        <v>3.1099999999999997E-5</v>
      </c>
    </row>
    <row r="211" spans="1:7">
      <c r="A211" s="1">
        <v>210</v>
      </c>
      <c r="B211" s="1" t="s">
        <v>4</v>
      </c>
      <c r="C211" s="2">
        <v>1.9947202022864899E-5</v>
      </c>
      <c r="G211" s="26">
        <v>1.6900000000000001E-5</v>
      </c>
    </row>
    <row r="212" spans="1:7">
      <c r="A212" s="1">
        <v>211</v>
      </c>
      <c r="B212" s="1" t="s">
        <v>4</v>
      </c>
      <c r="C212" s="2">
        <v>2.7563276781989401E-5</v>
      </c>
      <c r="G212" s="26">
        <v>2.51E-5</v>
      </c>
    </row>
    <row r="213" spans="1:7">
      <c r="A213" s="1">
        <v>212</v>
      </c>
      <c r="B213" s="1" t="s">
        <v>4</v>
      </c>
      <c r="C213" s="2">
        <v>1.34051795870574E-5</v>
      </c>
      <c r="G213" s="26">
        <v>2.5899999999999999E-5</v>
      </c>
    </row>
    <row r="214" spans="1:7">
      <c r="A214" s="1">
        <v>213</v>
      </c>
      <c r="B214" s="1" t="s">
        <v>4</v>
      </c>
      <c r="C214" s="2">
        <v>2.9820688908890301E-5</v>
      </c>
      <c r="G214" s="26">
        <v>3.0599999999999998E-5</v>
      </c>
    </row>
    <row r="215" spans="1:7">
      <c r="A215" s="1">
        <v>214</v>
      </c>
      <c r="B215" s="1" t="s">
        <v>4</v>
      </c>
      <c r="C215" s="2">
        <v>3.03592392631095E-5</v>
      </c>
      <c r="G215" s="26">
        <v>3.1000000000000001E-5</v>
      </c>
    </row>
    <row r="216" spans="1:7">
      <c r="A216" s="1">
        <v>215</v>
      </c>
      <c r="B216" s="1" t="s">
        <v>4</v>
      </c>
      <c r="C216" s="2">
        <v>3.11929332908059E-5</v>
      </c>
      <c r="G216" s="26">
        <v>3.1000000000000001E-5</v>
      </c>
    </row>
    <row r="217" spans="1:7">
      <c r="A217" s="1">
        <v>216</v>
      </c>
      <c r="B217" s="1" t="s">
        <v>4</v>
      </c>
      <c r="C217" s="2">
        <v>2.9319887647818599E-5</v>
      </c>
      <c r="G217" s="26">
        <v>2.1399999999999998E-5</v>
      </c>
    </row>
    <row r="218" spans="1:7">
      <c r="A218" s="1">
        <v>217</v>
      </c>
      <c r="B218" s="1" t="s">
        <v>4</v>
      </c>
      <c r="C218" s="2">
        <v>3.1081921757328101E-5</v>
      </c>
      <c r="G218" s="26">
        <v>2.6699999999999998E-5</v>
      </c>
    </row>
    <row r="219" spans="1:7">
      <c r="A219" s="1">
        <v>218</v>
      </c>
      <c r="B219" s="1" t="s">
        <v>4</v>
      </c>
      <c r="C219" s="2">
        <v>1.6898926795186501E-5</v>
      </c>
      <c r="G219" s="26">
        <v>3.1099999999999997E-5</v>
      </c>
    </row>
    <row r="220" spans="1:7">
      <c r="A220" s="1">
        <v>219</v>
      </c>
      <c r="B220" s="1" t="s">
        <v>180</v>
      </c>
      <c r="C220" s="2">
        <v>2.9062211385746601E-5</v>
      </c>
      <c r="G220" s="26">
        <v>2.5000000000000001E-5</v>
      </c>
    </row>
    <row r="221" spans="1:7">
      <c r="A221" s="1">
        <v>220</v>
      </c>
      <c r="B221" s="1" t="s">
        <v>4</v>
      </c>
      <c r="C221" s="2">
        <v>2.5110622233671301E-5</v>
      </c>
      <c r="G221" s="26">
        <v>3.01E-5</v>
      </c>
    </row>
    <row r="222" spans="1:7">
      <c r="A222" s="1">
        <v>221</v>
      </c>
      <c r="B222" s="1" t="s">
        <v>4</v>
      </c>
      <c r="C222" s="2">
        <v>2.58501323802251E-5</v>
      </c>
      <c r="G222" s="26">
        <v>1.01E-5</v>
      </c>
    </row>
    <row r="223" spans="1:7">
      <c r="A223" s="1">
        <v>222</v>
      </c>
      <c r="B223" s="1" t="s">
        <v>4</v>
      </c>
      <c r="C223" s="2">
        <v>3.0569668890834002E-5</v>
      </c>
      <c r="G223" s="26">
        <v>2.3099999999999999E-5</v>
      </c>
    </row>
    <row r="224" spans="1:7">
      <c r="A224" s="1">
        <v>223</v>
      </c>
      <c r="B224" s="1" t="s">
        <v>4</v>
      </c>
      <c r="C224" s="2">
        <v>3.1046753955624503E-5</v>
      </c>
      <c r="G224" s="26">
        <v>3.0199999999999999E-5</v>
      </c>
    </row>
    <row r="225" spans="1:7">
      <c r="A225" s="1">
        <v>224</v>
      </c>
      <c r="B225" s="1" t="s">
        <v>4</v>
      </c>
      <c r="C225" s="2">
        <v>3.1006674146838397E-5</v>
      </c>
      <c r="G225" s="26">
        <v>3.0700000000000001E-5</v>
      </c>
    </row>
    <row r="226" spans="1:7">
      <c r="A226" s="1">
        <v>225</v>
      </c>
      <c r="B226" s="1" t="s">
        <v>4</v>
      </c>
      <c r="C226" s="2">
        <v>2.1354847784236001E-5</v>
      </c>
      <c r="G226" s="26">
        <v>2.87E-5</v>
      </c>
    </row>
    <row r="227" spans="1:7">
      <c r="A227" s="1">
        <v>226</v>
      </c>
      <c r="B227" s="1" t="s">
        <v>4</v>
      </c>
      <c r="C227" s="2">
        <v>2.67222842711786E-5</v>
      </c>
      <c r="G227" s="26">
        <v>3.1099999999999997E-5</v>
      </c>
    </row>
    <row r="228" spans="1:7">
      <c r="A228" s="1">
        <v>227</v>
      </c>
      <c r="B228" s="1" t="s">
        <v>4</v>
      </c>
      <c r="C228" s="2">
        <v>3.1071610225988299E-5</v>
      </c>
      <c r="G228" s="26">
        <v>1.0499999999999999E-5</v>
      </c>
    </row>
    <row r="229" spans="1:7">
      <c r="A229" s="1">
        <v>228</v>
      </c>
      <c r="B229" s="1" t="s">
        <v>4</v>
      </c>
      <c r="C229" s="2">
        <v>2.5047892057242699E-5</v>
      </c>
      <c r="G229" s="26">
        <v>2.2500000000000001E-5</v>
      </c>
    </row>
    <row r="230" spans="1:7">
      <c r="A230" s="1">
        <v>229</v>
      </c>
      <c r="B230" s="1" t="s">
        <v>4</v>
      </c>
      <c r="C230" s="2">
        <v>3.00987307949431E-5</v>
      </c>
      <c r="G230" s="26">
        <v>3.01E-5</v>
      </c>
    </row>
    <row r="231" spans="1:7">
      <c r="A231" s="1">
        <v>230</v>
      </c>
      <c r="B231" s="1" t="s">
        <v>4</v>
      </c>
      <c r="C231" s="2">
        <v>1.00976719301013E-5</v>
      </c>
      <c r="G231" s="26">
        <v>1.9599999999999999E-5</v>
      </c>
    </row>
    <row r="232" spans="1:7">
      <c r="A232" s="1">
        <v>231</v>
      </c>
      <c r="B232" s="1" t="s">
        <v>4</v>
      </c>
      <c r="C232" s="2">
        <v>2.3112962642750799E-5</v>
      </c>
      <c r="G232" s="26">
        <v>3.04E-5</v>
      </c>
    </row>
    <row r="233" spans="1:7">
      <c r="A233" s="1">
        <v>232</v>
      </c>
      <c r="B233" s="1" t="s">
        <v>4</v>
      </c>
      <c r="C233" s="2">
        <v>3.0219032904630199E-5</v>
      </c>
      <c r="G233" s="26">
        <v>1.9700000000000001E-5</v>
      </c>
    </row>
    <row r="234" spans="1:7">
      <c r="A234" s="1">
        <v>233</v>
      </c>
      <c r="B234" s="1" t="s">
        <v>4</v>
      </c>
      <c r="C234" s="2">
        <v>3.0705354659983298E-5</v>
      </c>
      <c r="G234" s="26">
        <v>2.8900000000000001E-5</v>
      </c>
    </row>
    <row r="235" spans="1:7">
      <c r="A235" s="1">
        <v>234</v>
      </c>
      <c r="B235" s="1" t="s">
        <v>4</v>
      </c>
      <c r="C235" s="2">
        <v>2.8741913218477501E-5</v>
      </c>
      <c r="G235" s="26">
        <v>1.6200000000000001E-5</v>
      </c>
    </row>
    <row r="236" spans="1:7">
      <c r="A236" s="1">
        <v>235</v>
      </c>
      <c r="B236" s="1" t="s">
        <v>4</v>
      </c>
      <c r="C236" s="2">
        <v>3.1120368233675397E-5</v>
      </c>
      <c r="G236" s="26">
        <v>2.4300000000000001E-5</v>
      </c>
    </row>
    <row r="237" spans="1:7">
      <c r="A237" s="1">
        <v>236</v>
      </c>
      <c r="B237" s="1" t="s">
        <v>180</v>
      </c>
      <c r="C237" s="2">
        <v>2.4559357778465598E-7</v>
      </c>
      <c r="G237" s="26">
        <v>3.1099999999999997E-5</v>
      </c>
    </row>
    <row r="238" spans="1:7">
      <c r="A238" s="1">
        <v>237</v>
      </c>
      <c r="B238" s="1" t="s">
        <v>4</v>
      </c>
      <c r="C238" s="2">
        <v>1.0488766729527599E-5</v>
      </c>
      <c r="G238" s="26">
        <v>3.0700000000000001E-5</v>
      </c>
    </row>
    <row r="239" spans="1:7">
      <c r="A239" s="1">
        <v>238</v>
      </c>
      <c r="B239" s="1" t="s">
        <v>4</v>
      </c>
      <c r="C239" s="2">
        <v>2.2531026134336501E-5</v>
      </c>
      <c r="G239" s="26">
        <v>1.6799999999999998E-5</v>
      </c>
    </row>
    <row r="240" spans="1:7">
      <c r="A240" s="1">
        <v>239</v>
      </c>
      <c r="B240" s="1" t="s">
        <v>4</v>
      </c>
      <c r="C240" s="2">
        <v>3.0050955379700399E-5</v>
      </c>
      <c r="G240" s="26">
        <v>2.8099999999999999E-5</v>
      </c>
    </row>
    <row r="241" spans="1:7">
      <c r="A241" s="1">
        <v>240</v>
      </c>
      <c r="B241" s="1" t="s">
        <v>180</v>
      </c>
      <c r="C241" s="2">
        <v>3.5410642883022098E-6</v>
      </c>
      <c r="G241" s="26">
        <v>2.73E-5</v>
      </c>
    </row>
    <row r="242" spans="1:7">
      <c r="A242" s="1">
        <v>241</v>
      </c>
      <c r="B242" s="1" t="s">
        <v>4</v>
      </c>
      <c r="C242" s="2">
        <v>1.9553415515797999E-5</v>
      </c>
      <c r="G242" s="26">
        <v>2.4499999999999999E-5</v>
      </c>
    </row>
    <row r="243" spans="1:7">
      <c r="A243" s="1">
        <v>242</v>
      </c>
      <c r="B243" s="1" t="s">
        <v>4</v>
      </c>
      <c r="C243" s="2">
        <v>3.0399249651462299E-5</v>
      </c>
      <c r="G243" s="26">
        <v>3.1099999999999997E-5</v>
      </c>
    </row>
    <row r="244" spans="1:7">
      <c r="A244" s="1">
        <v>243</v>
      </c>
      <c r="B244" s="1" t="s">
        <v>4</v>
      </c>
      <c r="C244" s="2">
        <v>1.9702318152861199E-5</v>
      </c>
      <c r="G244" s="26">
        <v>2.6599999999999999E-5</v>
      </c>
    </row>
    <row r="245" spans="1:7">
      <c r="A245" s="1">
        <v>244</v>
      </c>
      <c r="B245" s="1" t="s">
        <v>4</v>
      </c>
      <c r="C245" s="2">
        <v>2.8887945199263699E-5</v>
      </c>
      <c r="G245" s="26">
        <v>1.2099999999999999E-5</v>
      </c>
    </row>
    <row r="246" spans="1:7">
      <c r="A246" s="1">
        <v>245</v>
      </c>
      <c r="B246" s="1" t="s">
        <v>4</v>
      </c>
      <c r="C246" s="2">
        <v>1.6230489038781E-5</v>
      </c>
      <c r="G246" s="26">
        <v>2.44E-5</v>
      </c>
    </row>
    <row r="247" spans="1:7">
      <c r="A247" s="1">
        <v>246</v>
      </c>
      <c r="B247" s="1" t="s">
        <v>4</v>
      </c>
      <c r="C247" s="2">
        <v>2.4333989502585899E-5</v>
      </c>
      <c r="G247" s="26">
        <v>2.87E-5</v>
      </c>
    </row>
    <row r="248" spans="1:7">
      <c r="A248" s="1">
        <v>247</v>
      </c>
      <c r="B248" s="1" t="s">
        <v>4</v>
      </c>
      <c r="C248" s="2">
        <v>3.1062159961188699E-5</v>
      </c>
      <c r="G248" s="26">
        <v>2.8799999999999999E-5</v>
      </c>
    </row>
    <row r="249" spans="1:7">
      <c r="A249" s="1">
        <v>248</v>
      </c>
      <c r="B249" s="1" t="s">
        <v>4</v>
      </c>
      <c r="C249" s="2">
        <v>3.0652624222946001E-5</v>
      </c>
      <c r="G249" s="26">
        <v>2.51E-5</v>
      </c>
    </row>
    <row r="250" spans="1:7">
      <c r="A250" s="1">
        <v>249</v>
      </c>
      <c r="B250" s="1" t="s">
        <v>4</v>
      </c>
      <c r="C250" s="2">
        <v>1.6771259415741E-5</v>
      </c>
      <c r="G250" s="26">
        <v>3.0599999999999999E-6</v>
      </c>
    </row>
    <row r="251" spans="1:7">
      <c r="A251" s="1">
        <v>250</v>
      </c>
      <c r="B251" s="1" t="s">
        <v>4</v>
      </c>
      <c r="C251" s="2">
        <v>2.81441309621121E-5</v>
      </c>
      <c r="G251" s="26">
        <v>3.0499999999999999E-5</v>
      </c>
    </row>
    <row r="252" spans="1:7">
      <c r="A252" s="1">
        <v>251</v>
      </c>
      <c r="B252" s="1" t="s">
        <v>4</v>
      </c>
      <c r="C252" s="2">
        <v>2.73028086828617E-5</v>
      </c>
      <c r="G252" s="26">
        <v>3.1199999999999999E-5</v>
      </c>
    </row>
    <row r="253" spans="1:7">
      <c r="A253" s="1">
        <v>252</v>
      </c>
      <c r="B253" s="1" t="s">
        <v>4</v>
      </c>
      <c r="C253" s="2">
        <v>2.4513255948308199E-5</v>
      </c>
      <c r="G253" s="26">
        <v>5.04E-6</v>
      </c>
    </row>
    <row r="254" spans="1:7">
      <c r="A254" s="1">
        <v>253</v>
      </c>
      <c r="B254" s="1" t="s">
        <v>4</v>
      </c>
      <c r="C254" s="2">
        <v>3.1102398064378499E-5</v>
      </c>
      <c r="G254" s="26">
        <v>2.44E-5</v>
      </c>
    </row>
    <row r="255" spans="1:7">
      <c r="A255" s="1">
        <v>254</v>
      </c>
      <c r="B255" s="1" t="s">
        <v>4</v>
      </c>
      <c r="C255" s="2">
        <v>2.65522859564117E-5</v>
      </c>
      <c r="G255" s="26">
        <v>2.51E-5</v>
      </c>
    </row>
    <row r="256" spans="1:7">
      <c r="A256" s="1">
        <v>255</v>
      </c>
      <c r="B256" s="1" t="s">
        <v>4</v>
      </c>
      <c r="C256" s="2">
        <v>1.2134591770436299E-5</v>
      </c>
      <c r="G256" s="26">
        <v>2.3799999999999999E-5</v>
      </c>
    </row>
    <row r="257" spans="1:7">
      <c r="A257" s="1">
        <v>256</v>
      </c>
      <c r="B257" s="1" t="s">
        <v>4</v>
      </c>
      <c r="C257" s="2">
        <v>2.4392942674740801E-5</v>
      </c>
      <c r="G257" s="26">
        <v>3.1000000000000001E-5</v>
      </c>
    </row>
    <row r="258" spans="1:7">
      <c r="A258" s="1">
        <v>257</v>
      </c>
      <c r="B258" s="1" t="s">
        <v>4</v>
      </c>
      <c r="C258" s="2">
        <v>2.8715252157674398E-5</v>
      </c>
      <c r="G258" s="26">
        <v>2.6599999999999999E-5</v>
      </c>
    </row>
    <row r="259" spans="1:7">
      <c r="A259" s="1">
        <v>258</v>
      </c>
      <c r="B259" s="1" t="s">
        <v>4</v>
      </c>
      <c r="C259" s="2">
        <v>2.8805786106457401E-5</v>
      </c>
      <c r="G259" s="26">
        <v>2.4700000000000001E-5</v>
      </c>
    </row>
    <row r="260" spans="1:7">
      <c r="A260" s="1">
        <v>259</v>
      </c>
      <c r="B260" s="1" t="s">
        <v>4</v>
      </c>
      <c r="C260" s="2">
        <v>2.5073544386598001E-5</v>
      </c>
      <c r="G260" s="26">
        <v>2.9799999999999999E-5</v>
      </c>
    </row>
    <row r="261" spans="1:7">
      <c r="A261" s="1">
        <v>260</v>
      </c>
      <c r="B261" s="1" t="s">
        <v>4</v>
      </c>
      <c r="C261" s="2">
        <v>3.0591154996165901E-6</v>
      </c>
      <c r="G261" s="26">
        <v>1.7799999999999999E-5</v>
      </c>
    </row>
    <row r="262" spans="1:7">
      <c r="A262" s="1">
        <v>261</v>
      </c>
      <c r="B262" s="1" t="s">
        <v>180</v>
      </c>
      <c r="C262" s="2">
        <v>5.5085993901919197E-6</v>
      </c>
      <c r="G262" s="26">
        <v>2.73E-5</v>
      </c>
    </row>
    <row r="263" spans="1:7">
      <c r="A263" s="1">
        <v>262</v>
      </c>
      <c r="B263" s="1" t="s">
        <v>4</v>
      </c>
      <c r="C263" s="2">
        <v>3.0517896235923901E-5</v>
      </c>
      <c r="G263" s="26">
        <v>3.0899999999999999E-5</v>
      </c>
    </row>
    <row r="264" spans="1:7">
      <c r="A264" s="1">
        <v>263</v>
      </c>
      <c r="B264" s="1" t="s">
        <v>4</v>
      </c>
      <c r="C264" s="2">
        <v>3.1151515753184098E-5</v>
      </c>
      <c r="G264" s="26">
        <v>3.1199999999999999E-5</v>
      </c>
    </row>
    <row r="265" spans="1:7">
      <c r="A265" s="1">
        <v>264</v>
      </c>
      <c r="B265" s="1" t="s">
        <v>4</v>
      </c>
      <c r="C265" s="2">
        <v>5.0363589504260603E-6</v>
      </c>
      <c r="G265" s="26">
        <v>3.1000000000000001E-5</v>
      </c>
    </row>
    <row r="266" spans="1:7">
      <c r="A266" s="1">
        <v>265</v>
      </c>
      <c r="B266" s="1" t="s">
        <v>4</v>
      </c>
      <c r="C266" s="2">
        <v>2.44386380086344E-5</v>
      </c>
      <c r="G266" s="26">
        <v>3.0700000000000001E-5</v>
      </c>
    </row>
    <row r="267" spans="1:7">
      <c r="A267" s="1">
        <v>266</v>
      </c>
      <c r="B267" s="1" t="s">
        <v>4</v>
      </c>
      <c r="C267" s="2">
        <v>2.51229177017625E-5</v>
      </c>
      <c r="G267" s="26">
        <v>2.69E-5</v>
      </c>
    </row>
    <row r="268" spans="1:7">
      <c r="A268" s="1">
        <v>267</v>
      </c>
      <c r="B268" s="1" t="s">
        <v>4</v>
      </c>
      <c r="C268" s="2">
        <v>2.3792122911271999E-5</v>
      </c>
      <c r="G268" s="26">
        <v>2.9200000000000002E-5</v>
      </c>
    </row>
    <row r="269" spans="1:7">
      <c r="A269" s="1">
        <v>268</v>
      </c>
      <c r="B269" s="1" t="s">
        <v>4</v>
      </c>
      <c r="C269" s="2">
        <v>3.1011043706464898E-5</v>
      </c>
      <c r="G269" s="26">
        <v>3.0000000000000001E-5</v>
      </c>
    </row>
    <row r="270" spans="1:7">
      <c r="A270" s="1">
        <v>269</v>
      </c>
      <c r="B270" s="1" t="s">
        <v>4</v>
      </c>
      <c r="C270" s="2">
        <v>2.6639723697138702E-5</v>
      </c>
      <c r="G270" s="26">
        <v>2.4899999999999999E-5</v>
      </c>
    </row>
    <row r="271" spans="1:7">
      <c r="A271" s="1">
        <v>270</v>
      </c>
      <c r="B271" s="1" t="s">
        <v>4</v>
      </c>
      <c r="C271" s="2">
        <v>2.46889138827602E-5</v>
      </c>
      <c r="G271" s="26">
        <v>1.0900000000000001E-5</v>
      </c>
    </row>
    <row r="272" spans="1:7">
      <c r="A272" s="1">
        <v>271</v>
      </c>
      <c r="B272" s="1" t="s">
        <v>4</v>
      </c>
      <c r="C272" s="2">
        <v>2.9776116706115499E-5</v>
      </c>
      <c r="G272" s="26">
        <v>1.6099999999999998E-5</v>
      </c>
    </row>
    <row r="273" spans="1:7">
      <c r="A273" s="1">
        <v>272</v>
      </c>
      <c r="B273" s="1" t="s">
        <v>4</v>
      </c>
      <c r="C273" s="2">
        <v>1.7764817512540801E-5</v>
      </c>
      <c r="G273" s="26">
        <v>2.44E-5</v>
      </c>
    </row>
    <row r="274" spans="1:7">
      <c r="A274" s="1">
        <v>273</v>
      </c>
      <c r="B274" s="1" t="s">
        <v>4</v>
      </c>
      <c r="C274" s="2">
        <v>2.7289934441397299E-5</v>
      </c>
      <c r="G274" s="26">
        <v>3.0199999999999999E-5</v>
      </c>
    </row>
    <row r="275" spans="1:7">
      <c r="A275" s="1">
        <v>274</v>
      </c>
      <c r="B275" s="1" t="s">
        <v>4</v>
      </c>
      <c r="C275" s="2">
        <v>3.0928742378965199E-5</v>
      </c>
      <c r="G275" s="26">
        <v>2.3300000000000001E-5</v>
      </c>
    </row>
    <row r="276" spans="1:7">
      <c r="A276" s="1">
        <v>275</v>
      </c>
      <c r="B276" s="1" t="s">
        <v>4</v>
      </c>
      <c r="C276" s="2">
        <v>3.1193462097881801E-5</v>
      </c>
      <c r="G276" s="26">
        <v>2.2900000000000001E-5</v>
      </c>
    </row>
    <row r="277" spans="1:7">
      <c r="A277" s="1">
        <v>276</v>
      </c>
      <c r="B277" s="1" t="s">
        <v>4</v>
      </c>
      <c r="C277" s="2">
        <v>3.0958973662601002E-5</v>
      </c>
      <c r="G277" s="26">
        <v>2.0000000000000002E-5</v>
      </c>
    </row>
    <row r="278" spans="1:7">
      <c r="A278" s="1">
        <v>277</v>
      </c>
      <c r="B278" s="1" t="s">
        <v>180</v>
      </c>
      <c r="C278" s="2">
        <v>4.3092196255879701E-6</v>
      </c>
      <c r="G278" s="26">
        <v>2.9799999999999999E-5</v>
      </c>
    </row>
    <row r="279" spans="1:7">
      <c r="A279" s="1">
        <v>278</v>
      </c>
      <c r="B279" s="1" t="s">
        <v>4</v>
      </c>
      <c r="C279" s="2">
        <v>3.0650702436453601E-5</v>
      </c>
      <c r="G279" s="26">
        <v>1.01E-5</v>
      </c>
    </row>
    <row r="280" spans="1:7">
      <c r="A280" s="1">
        <v>279</v>
      </c>
      <c r="B280" s="1" t="s">
        <v>4</v>
      </c>
      <c r="C280" s="2">
        <v>2.6943825752793E-5</v>
      </c>
      <c r="G280" s="26">
        <v>2.8500000000000002E-5</v>
      </c>
    </row>
    <row r="281" spans="1:7">
      <c r="A281" s="1">
        <v>280</v>
      </c>
      <c r="B281" s="1" t="s">
        <v>4</v>
      </c>
      <c r="C281" s="2">
        <v>2.91507204661537E-5</v>
      </c>
      <c r="G281" s="26">
        <v>1.38E-5</v>
      </c>
    </row>
    <row r="282" spans="1:7">
      <c r="A282" s="1">
        <v>281</v>
      </c>
      <c r="B282" s="1" t="s">
        <v>4</v>
      </c>
      <c r="C282" s="2">
        <v>3.0031759814049702E-5</v>
      </c>
      <c r="G282" s="26">
        <v>2.9200000000000002E-5</v>
      </c>
    </row>
    <row r="283" spans="1:7">
      <c r="A283" s="1">
        <v>282</v>
      </c>
      <c r="B283" s="1" t="s">
        <v>180</v>
      </c>
      <c r="C283" s="2">
        <v>1.77049502863505E-6</v>
      </c>
      <c r="G283" s="26">
        <v>1.3499999999999999E-5</v>
      </c>
    </row>
    <row r="284" spans="1:7">
      <c r="A284" s="1">
        <v>283</v>
      </c>
      <c r="B284" s="1" t="s">
        <v>4</v>
      </c>
      <c r="C284" s="2">
        <v>2.4876919979023399E-5</v>
      </c>
      <c r="G284" s="26">
        <v>2.5000000000000001E-5</v>
      </c>
    </row>
    <row r="285" spans="1:7">
      <c r="A285" s="1">
        <v>284</v>
      </c>
      <c r="B285" s="1" t="s">
        <v>4</v>
      </c>
      <c r="C285" s="2">
        <v>1.0863029357517899E-5</v>
      </c>
      <c r="G285" s="26">
        <v>1.8700000000000001E-5</v>
      </c>
    </row>
    <row r="286" spans="1:7">
      <c r="A286" s="1">
        <v>285</v>
      </c>
      <c r="B286" s="1" t="s">
        <v>4</v>
      </c>
      <c r="C286" s="2">
        <v>1.6058939113536001E-5</v>
      </c>
      <c r="G286" s="26">
        <v>2.0800000000000001E-5</v>
      </c>
    </row>
    <row r="287" spans="1:7">
      <c r="A287" s="1">
        <v>286</v>
      </c>
      <c r="B287" s="1" t="s">
        <v>4</v>
      </c>
      <c r="C287" s="2">
        <v>2.4384140848049599E-5</v>
      </c>
      <c r="G287" s="26">
        <v>1.8899999999999999E-5</v>
      </c>
    </row>
    <row r="288" spans="1:7">
      <c r="A288" s="1">
        <v>287</v>
      </c>
      <c r="B288" s="1" t="s">
        <v>4</v>
      </c>
      <c r="C288" s="2">
        <v>3.0191034121865801E-5</v>
      </c>
      <c r="G288" s="26">
        <v>3.1199999999999999E-5</v>
      </c>
    </row>
    <row r="289" spans="1:7">
      <c r="A289" s="1">
        <v>288</v>
      </c>
      <c r="B289" s="1" t="s">
        <v>180</v>
      </c>
      <c r="C289" s="2">
        <v>1.13960867032156E-5</v>
      </c>
      <c r="G289" s="26">
        <v>3.1099999999999997E-5</v>
      </c>
    </row>
    <row r="290" spans="1:7">
      <c r="A290" s="1">
        <v>289</v>
      </c>
      <c r="B290" s="1" t="s">
        <v>4</v>
      </c>
      <c r="C290" s="2">
        <v>2.3314177049263401E-5</v>
      </c>
      <c r="G290" s="26">
        <v>1.7499999999999998E-5</v>
      </c>
    </row>
    <row r="291" spans="1:7">
      <c r="A291" s="1">
        <v>290</v>
      </c>
      <c r="B291" s="1" t="s">
        <v>4</v>
      </c>
      <c r="C291" s="2">
        <v>2.28641814465977E-5</v>
      </c>
      <c r="G291" s="26">
        <v>4.0600000000000001E-7</v>
      </c>
    </row>
    <row r="292" spans="1:7">
      <c r="A292" s="1">
        <v>291</v>
      </c>
      <c r="B292" s="1" t="s">
        <v>4</v>
      </c>
      <c r="C292" s="2">
        <v>1.99839444075423E-5</v>
      </c>
      <c r="G292" s="26">
        <v>2.9799999999999999E-5</v>
      </c>
    </row>
    <row r="293" spans="1:7">
      <c r="A293" s="1">
        <v>292</v>
      </c>
      <c r="B293" s="1" t="s">
        <v>4</v>
      </c>
      <c r="C293" s="2">
        <v>2.97851523374382E-5</v>
      </c>
      <c r="G293" s="26">
        <v>2.4700000000000001E-5</v>
      </c>
    </row>
    <row r="294" spans="1:7">
      <c r="A294" s="1">
        <v>293</v>
      </c>
      <c r="B294" s="1" t="s">
        <v>4</v>
      </c>
      <c r="C294" s="2">
        <v>1.0104964574275599E-5</v>
      </c>
      <c r="G294" s="26">
        <v>2.5299999999999998E-5</v>
      </c>
    </row>
    <row r="295" spans="1:7">
      <c r="A295" s="1">
        <v>294</v>
      </c>
      <c r="B295" s="1" t="s">
        <v>180</v>
      </c>
      <c r="C295" s="2">
        <v>1.7056212749933099E-6</v>
      </c>
      <c r="G295" s="26">
        <v>3.0899999999999999E-5</v>
      </c>
    </row>
    <row r="296" spans="1:7">
      <c r="A296" s="1">
        <v>295</v>
      </c>
      <c r="B296" s="1" t="s">
        <v>4</v>
      </c>
      <c r="C296" s="2">
        <v>2.8509814726778901E-5</v>
      </c>
      <c r="G296" s="26">
        <v>2.7900000000000001E-5</v>
      </c>
    </row>
    <row r="297" spans="1:7">
      <c r="A297" s="1">
        <v>296</v>
      </c>
      <c r="B297" s="1" t="s">
        <v>4</v>
      </c>
      <c r="C297" s="2">
        <v>1.3756287793655599E-5</v>
      </c>
      <c r="G297" s="26">
        <v>2.5899999999999999E-5</v>
      </c>
    </row>
    <row r="298" spans="1:7">
      <c r="A298" s="1">
        <v>297</v>
      </c>
      <c r="B298" s="1" t="s">
        <v>4</v>
      </c>
      <c r="C298" s="2">
        <v>2.92260064731294E-5</v>
      </c>
      <c r="G298" s="26">
        <v>3.1199999999999999E-5</v>
      </c>
    </row>
    <row r="299" spans="1:7">
      <c r="A299" s="1">
        <v>298</v>
      </c>
      <c r="B299" s="1" t="s">
        <v>4</v>
      </c>
      <c r="C299" s="2">
        <v>1.354936769279E-5</v>
      </c>
      <c r="G299" s="26">
        <v>3.1000000000000001E-5</v>
      </c>
    </row>
    <row r="300" spans="1:7">
      <c r="A300" s="1">
        <v>299</v>
      </c>
      <c r="B300" s="1" t="s">
        <v>4</v>
      </c>
      <c r="C300" s="2">
        <v>2.49576931366086E-5</v>
      </c>
      <c r="G300" s="26">
        <v>2.3E-5</v>
      </c>
    </row>
    <row r="301" spans="1:7">
      <c r="A301" s="1">
        <v>300</v>
      </c>
      <c r="B301" s="1" t="s">
        <v>4</v>
      </c>
      <c r="C301" s="2">
        <v>1.8709315928557498E-5</v>
      </c>
      <c r="G301" s="26">
        <v>3.0899999999999999E-5</v>
      </c>
    </row>
    <row r="302" spans="1:7">
      <c r="A302" s="1">
        <v>301</v>
      </c>
      <c r="B302" s="1" t="s">
        <v>4</v>
      </c>
      <c r="C302" s="2">
        <v>2.0821091479903401E-5</v>
      </c>
      <c r="G302" s="26">
        <v>2.7100000000000001E-5</v>
      </c>
    </row>
    <row r="303" spans="1:7">
      <c r="A303" s="1">
        <v>302</v>
      </c>
      <c r="B303" s="1" t="s">
        <v>4</v>
      </c>
      <c r="C303" s="2">
        <v>1.88730961926531E-5</v>
      </c>
      <c r="G303" s="26">
        <v>2.34E-5</v>
      </c>
    </row>
    <row r="304" spans="1:7">
      <c r="A304" s="1">
        <v>303</v>
      </c>
      <c r="B304" s="1" t="s">
        <v>180</v>
      </c>
      <c r="C304" s="2">
        <v>3.0876879508073399E-5</v>
      </c>
      <c r="G304" s="26">
        <v>4.4499999999999997E-6</v>
      </c>
    </row>
    <row r="305" spans="1:7">
      <c r="A305" s="1">
        <v>304</v>
      </c>
      <c r="B305" s="1" t="s">
        <v>4</v>
      </c>
      <c r="C305" s="2">
        <v>3.1244821913220197E-5</v>
      </c>
      <c r="G305" s="26">
        <v>2.4000000000000001E-5</v>
      </c>
    </row>
    <row r="306" spans="1:7">
      <c r="A306" s="1">
        <v>305</v>
      </c>
      <c r="B306" s="1" t="s">
        <v>4</v>
      </c>
      <c r="C306" s="2">
        <v>3.1058532107478901E-5</v>
      </c>
      <c r="G306" s="26">
        <v>2.4499999999999999E-5</v>
      </c>
    </row>
    <row r="307" spans="1:7">
      <c r="A307" s="1">
        <v>306</v>
      </c>
      <c r="B307" s="1" t="s">
        <v>4</v>
      </c>
      <c r="C307" s="2">
        <v>1.75350386820723E-5</v>
      </c>
      <c r="G307" s="26">
        <v>3.0300000000000001E-5</v>
      </c>
    </row>
    <row r="308" spans="1:7">
      <c r="A308" s="1">
        <v>307</v>
      </c>
      <c r="B308" s="1" t="s">
        <v>4</v>
      </c>
      <c r="C308" s="2">
        <v>4.0592035053254203E-7</v>
      </c>
      <c r="G308" s="26">
        <v>2.72E-5</v>
      </c>
    </row>
    <row r="309" spans="1:7">
      <c r="A309" s="1">
        <v>308</v>
      </c>
      <c r="B309" s="1" t="s">
        <v>4</v>
      </c>
      <c r="C309" s="2">
        <v>2.98084211984874E-5</v>
      </c>
      <c r="G309" s="26">
        <v>2.4899999999999999E-5</v>
      </c>
    </row>
    <row r="310" spans="1:7">
      <c r="A310" s="1">
        <v>309</v>
      </c>
      <c r="B310" s="1" t="s">
        <v>4</v>
      </c>
      <c r="C310" s="2">
        <v>2.47032459214203E-5</v>
      </c>
      <c r="G310" s="26">
        <v>2.8500000000000002E-5</v>
      </c>
    </row>
    <row r="311" spans="1:7">
      <c r="A311" s="1">
        <v>310</v>
      </c>
      <c r="B311" s="1" t="s">
        <v>4</v>
      </c>
      <c r="C311" s="2">
        <v>2.53169080156112E-5</v>
      </c>
      <c r="G311" s="26">
        <v>2.7699999999999999E-5</v>
      </c>
    </row>
    <row r="312" spans="1:7">
      <c r="A312" s="1">
        <v>311</v>
      </c>
      <c r="B312" s="1" t="s">
        <v>4</v>
      </c>
      <c r="C312" s="2">
        <v>3.0907815478441698E-5</v>
      </c>
      <c r="G312" s="26">
        <v>8.8100000000000004E-6</v>
      </c>
    </row>
    <row r="313" spans="1:7">
      <c r="A313" s="1">
        <v>312</v>
      </c>
      <c r="B313" s="1" t="s">
        <v>4</v>
      </c>
      <c r="C313" s="2">
        <v>2.7906429897798498E-5</v>
      </c>
      <c r="G313" s="26">
        <v>2.1999999999999999E-5</v>
      </c>
    </row>
    <row r="314" spans="1:7">
      <c r="A314" s="1">
        <v>313</v>
      </c>
      <c r="B314" s="1" t="s">
        <v>4</v>
      </c>
      <c r="C314" s="2">
        <v>2.5906821445378101E-5</v>
      </c>
      <c r="G314" s="26">
        <v>2.9600000000000001E-5</v>
      </c>
    </row>
    <row r="315" spans="1:7">
      <c r="A315" s="1">
        <v>314</v>
      </c>
      <c r="B315" s="1" t="s">
        <v>4</v>
      </c>
      <c r="C315" s="2">
        <v>3.1158253874592202E-5</v>
      </c>
      <c r="G315" s="26">
        <v>2.8500000000000002E-5</v>
      </c>
    </row>
    <row r="316" spans="1:7">
      <c r="A316" s="1">
        <v>315</v>
      </c>
      <c r="B316" s="1" t="s">
        <v>4</v>
      </c>
      <c r="C316" s="2">
        <v>3.1036087816693098E-5</v>
      </c>
      <c r="G316" s="26">
        <v>1.45E-5</v>
      </c>
    </row>
    <row r="317" spans="1:7">
      <c r="A317" s="1">
        <v>316</v>
      </c>
      <c r="B317" s="1" t="s">
        <v>4</v>
      </c>
      <c r="C317" s="2">
        <v>2.3021373372525001E-5</v>
      </c>
      <c r="G317" s="26">
        <v>3.0700000000000001E-5</v>
      </c>
    </row>
    <row r="318" spans="1:7">
      <c r="A318" s="1">
        <v>317</v>
      </c>
      <c r="B318" s="1" t="s">
        <v>180</v>
      </c>
      <c r="C318" s="2">
        <v>2.4297652105218301E-6</v>
      </c>
      <c r="G318" s="26">
        <v>2.3900000000000002E-5</v>
      </c>
    </row>
    <row r="319" spans="1:7">
      <c r="A319" s="1">
        <v>318</v>
      </c>
      <c r="B319" s="1" t="s">
        <v>4</v>
      </c>
      <c r="C319" s="2">
        <v>3.0852012353058201E-5</v>
      </c>
      <c r="G319" s="26">
        <v>1.5400000000000002E-5</v>
      </c>
    </row>
    <row r="320" spans="1:7">
      <c r="A320" s="1">
        <v>319</v>
      </c>
      <c r="B320" s="1" t="s">
        <v>4</v>
      </c>
      <c r="C320" s="2">
        <v>2.71459329252044E-5</v>
      </c>
      <c r="G320" s="26">
        <v>2.37E-5</v>
      </c>
    </row>
    <row r="321" spans="1:7">
      <c r="A321" s="1">
        <v>320</v>
      </c>
      <c r="B321" s="1" t="s">
        <v>4</v>
      </c>
      <c r="C321" s="2">
        <v>2.3417537806887999E-5</v>
      </c>
      <c r="G321" s="26">
        <v>2.3600000000000001E-5</v>
      </c>
    </row>
    <row r="322" spans="1:7">
      <c r="A322" s="1">
        <v>321</v>
      </c>
      <c r="B322" s="1" t="s">
        <v>4</v>
      </c>
      <c r="C322" s="2">
        <v>4.4544024393195501E-6</v>
      </c>
      <c r="G322" s="26">
        <v>2.2900000000000001E-5</v>
      </c>
    </row>
    <row r="323" spans="1:7">
      <c r="A323" s="1">
        <v>322</v>
      </c>
      <c r="B323" s="1" t="s">
        <v>4</v>
      </c>
      <c r="C323" s="2">
        <v>2.4000814074696401E-5</v>
      </c>
      <c r="G323" s="26">
        <v>2.69E-5</v>
      </c>
    </row>
    <row r="324" spans="1:7">
      <c r="A324" s="1">
        <v>323</v>
      </c>
      <c r="B324" s="1" t="s">
        <v>4</v>
      </c>
      <c r="C324" s="2">
        <v>2.4475777071559601E-5</v>
      </c>
      <c r="G324" s="26">
        <v>3.0899999999999999E-5</v>
      </c>
    </row>
    <row r="325" spans="1:7">
      <c r="A325" s="1">
        <v>324</v>
      </c>
      <c r="B325" s="1" t="s">
        <v>4</v>
      </c>
      <c r="C325" s="2">
        <v>3.0262105662208901E-5</v>
      </c>
      <c r="G325" s="26">
        <v>3.0499999999999999E-5</v>
      </c>
    </row>
    <row r="326" spans="1:7">
      <c r="A326" s="1">
        <v>325</v>
      </c>
      <c r="B326" s="1" t="s">
        <v>4</v>
      </c>
      <c r="C326" s="2">
        <v>2.7222185140485999E-5</v>
      </c>
      <c r="G326" s="26">
        <v>2.5199999999999999E-5</v>
      </c>
    </row>
    <row r="327" spans="1:7">
      <c r="A327" s="1">
        <v>326</v>
      </c>
      <c r="B327" s="1" t="s">
        <v>4</v>
      </c>
      <c r="C327" s="2">
        <v>2.49104201720783E-5</v>
      </c>
      <c r="G327" s="26">
        <v>2.5199999999999999E-5</v>
      </c>
    </row>
    <row r="328" spans="1:7">
      <c r="A328" s="1">
        <v>327</v>
      </c>
      <c r="B328" s="1" t="s">
        <v>4</v>
      </c>
      <c r="C328" s="2">
        <v>2.84704272544562E-5</v>
      </c>
      <c r="G328" s="26">
        <v>3.1099999999999997E-5</v>
      </c>
    </row>
    <row r="329" spans="1:7">
      <c r="A329" s="1">
        <v>328</v>
      </c>
      <c r="B329" s="1" t="s">
        <v>4</v>
      </c>
      <c r="C329" s="2">
        <v>2.7684244559975899E-5</v>
      </c>
      <c r="G329" s="26">
        <v>1.45E-5</v>
      </c>
    </row>
    <row r="330" spans="1:7">
      <c r="A330" s="1">
        <v>329</v>
      </c>
      <c r="B330" s="1" t="s">
        <v>4</v>
      </c>
      <c r="C330" s="2">
        <v>8.8107492553379101E-6</v>
      </c>
      <c r="G330" s="26">
        <v>1.6500000000000001E-5</v>
      </c>
    </row>
    <row r="331" spans="1:7">
      <c r="A331" s="1">
        <v>330</v>
      </c>
      <c r="B331" s="1" t="s">
        <v>4</v>
      </c>
      <c r="C331" s="2">
        <v>2.19519001098722E-5</v>
      </c>
      <c r="G331" s="26">
        <v>1.5099999999999999E-5</v>
      </c>
    </row>
    <row r="332" spans="1:7">
      <c r="A332" s="1">
        <v>331</v>
      </c>
      <c r="B332" s="1" t="s">
        <v>4</v>
      </c>
      <c r="C332" s="2">
        <v>2.9615747262041E-5</v>
      </c>
      <c r="G332" s="26">
        <v>3.1099999999999997E-5</v>
      </c>
    </row>
    <row r="333" spans="1:7">
      <c r="A333" s="1">
        <v>332</v>
      </c>
      <c r="B333" s="1" t="s">
        <v>4</v>
      </c>
      <c r="C333" s="2">
        <v>2.8502483556159699E-5</v>
      </c>
      <c r="G333" s="26">
        <v>1.6399999999999999E-5</v>
      </c>
    </row>
    <row r="334" spans="1:7">
      <c r="A334" s="1">
        <v>333</v>
      </c>
      <c r="B334" s="1" t="s">
        <v>4</v>
      </c>
      <c r="C334" s="2">
        <v>1.44708355529403E-5</v>
      </c>
      <c r="G334" s="26">
        <v>2.7699999999999999E-5</v>
      </c>
    </row>
    <row r="335" spans="1:7">
      <c r="A335" s="1">
        <v>334</v>
      </c>
      <c r="B335" s="1" t="s">
        <v>4</v>
      </c>
      <c r="C335" s="2">
        <v>3.0707270695680602E-5</v>
      </c>
      <c r="G335" s="26">
        <v>3.1099999999999997E-5</v>
      </c>
    </row>
    <row r="336" spans="1:7">
      <c r="A336" s="1">
        <v>335</v>
      </c>
      <c r="B336" s="1" t="s">
        <v>4</v>
      </c>
      <c r="C336" s="2">
        <v>2.3899371333454998E-5</v>
      </c>
      <c r="G336" s="26">
        <v>1.0200000000000001E-5</v>
      </c>
    </row>
    <row r="337" spans="1:7">
      <c r="A337" s="1">
        <v>336</v>
      </c>
      <c r="B337" s="1" t="s">
        <v>4</v>
      </c>
      <c r="C337" s="2">
        <v>1.5372313133686601E-5</v>
      </c>
      <c r="G337" s="26">
        <v>3.1199999999999999E-5</v>
      </c>
    </row>
    <row r="338" spans="1:7">
      <c r="A338" s="1">
        <v>337</v>
      </c>
      <c r="B338" s="1" t="s">
        <v>4</v>
      </c>
      <c r="C338" s="2">
        <v>2.3713937262849199E-5</v>
      </c>
      <c r="G338" s="26">
        <v>2.26E-5</v>
      </c>
    </row>
    <row r="339" spans="1:7">
      <c r="A339" s="1">
        <v>338</v>
      </c>
      <c r="B339" s="1" t="s">
        <v>4</v>
      </c>
      <c r="C339" s="2">
        <v>2.35614536350641E-5</v>
      </c>
      <c r="G339" s="26">
        <v>3.0300000000000001E-5</v>
      </c>
    </row>
    <row r="340" spans="1:7">
      <c r="A340" s="1">
        <v>339</v>
      </c>
      <c r="B340" s="1" t="s">
        <v>4</v>
      </c>
      <c r="C340" s="2">
        <v>2.2900556188399299E-5</v>
      </c>
      <c r="G340" s="26">
        <v>2.48E-5</v>
      </c>
    </row>
    <row r="341" spans="1:7">
      <c r="A341" s="1">
        <v>340</v>
      </c>
      <c r="B341" s="1" t="s">
        <v>4</v>
      </c>
      <c r="C341" s="2">
        <v>2.69488523435567E-5</v>
      </c>
      <c r="G341" s="26">
        <v>2.2900000000000001E-5</v>
      </c>
    </row>
    <row r="342" spans="1:7">
      <c r="A342" s="1">
        <v>341</v>
      </c>
      <c r="B342" s="1" t="s">
        <v>4</v>
      </c>
      <c r="C342" s="2">
        <v>3.0924657075359899E-5</v>
      </c>
      <c r="G342" s="26">
        <v>2.0699999999999998E-5</v>
      </c>
    </row>
    <row r="343" spans="1:7">
      <c r="A343" s="1">
        <v>342</v>
      </c>
      <c r="B343" s="1" t="s">
        <v>4</v>
      </c>
      <c r="C343" s="2">
        <v>3.0542265446401899E-5</v>
      </c>
      <c r="G343" s="26">
        <v>2.9200000000000002E-5</v>
      </c>
    </row>
    <row r="344" spans="1:7">
      <c r="A344" s="1">
        <v>343</v>
      </c>
      <c r="B344" s="1" t="s">
        <v>4</v>
      </c>
      <c r="C344" s="2">
        <v>2.5229612843028602E-5</v>
      </c>
      <c r="G344" s="26">
        <v>2.48E-5</v>
      </c>
    </row>
    <row r="345" spans="1:7">
      <c r="A345" s="1">
        <v>344</v>
      </c>
      <c r="B345" s="1" t="s">
        <v>4</v>
      </c>
      <c r="C345" s="2">
        <v>2.5214750894709499E-5</v>
      </c>
      <c r="G345" s="26">
        <v>1.49E-5</v>
      </c>
    </row>
    <row r="346" spans="1:7">
      <c r="A346" s="1">
        <v>345</v>
      </c>
      <c r="B346" s="1" t="s">
        <v>4</v>
      </c>
      <c r="C346" s="2">
        <v>3.1119308725592601E-5</v>
      </c>
      <c r="G346" s="26">
        <v>2.4600000000000002E-5</v>
      </c>
    </row>
    <row r="347" spans="1:7">
      <c r="A347" s="1">
        <v>346</v>
      </c>
      <c r="B347" s="1" t="s">
        <v>4</v>
      </c>
      <c r="C347" s="2">
        <v>1.4534050375895101E-5</v>
      </c>
      <c r="G347" s="26">
        <v>2.3099999999999999E-5</v>
      </c>
    </row>
    <row r="348" spans="1:7">
      <c r="A348" s="1">
        <v>347</v>
      </c>
      <c r="B348" s="1" t="s">
        <v>4</v>
      </c>
      <c r="C348" s="2">
        <v>1.6533402850357801E-5</v>
      </c>
      <c r="G348" s="26">
        <v>2.0699999999999998E-5</v>
      </c>
    </row>
    <row r="349" spans="1:7">
      <c r="A349" s="1">
        <v>348</v>
      </c>
      <c r="B349" s="1" t="s">
        <v>4</v>
      </c>
      <c r="C349" s="2">
        <v>1.50761814417979E-5</v>
      </c>
      <c r="G349" s="26">
        <v>1.2099999999999999E-5</v>
      </c>
    </row>
    <row r="350" spans="1:7">
      <c r="A350" s="1">
        <v>349</v>
      </c>
      <c r="B350" s="1" t="s">
        <v>4</v>
      </c>
      <c r="C350" s="2">
        <v>3.11037021544654E-5</v>
      </c>
      <c r="G350" s="26">
        <v>3.1199999999999999E-5</v>
      </c>
    </row>
    <row r="351" spans="1:7">
      <c r="A351" s="1">
        <v>350</v>
      </c>
      <c r="B351" s="1" t="s">
        <v>4</v>
      </c>
      <c r="C351" s="2">
        <v>1.6433021935298501E-5</v>
      </c>
      <c r="G351" s="26">
        <v>1.43E-5</v>
      </c>
    </row>
    <row r="352" spans="1:7">
      <c r="A352" s="1">
        <v>351</v>
      </c>
      <c r="B352" s="1" t="s">
        <v>4</v>
      </c>
      <c r="C352" s="2">
        <v>2.7671190434152801E-5</v>
      </c>
      <c r="G352" s="26">
        <v>2.5000000000000001E-5</v>
      </c>
    </row>
    <row r="353" spans="1:7">
      <c r="A353" s="1">
        <v>352</v>
      </c>
      <c r="B353" s="1" t="s">
        <v>4</v>
      </c>
      <c r="C353" s="2">
        <v>3.1060950035769201E-5</v>
      </c>
      <c r="G353" s="26">
        <v>2.4300000000000001E-5</v>
      </c>
    </row>
    <row r="354" spans="1:7">
      <c r="A354" s="1">
        <v>353</v>
      </c>
      <c r="B354" s="1" t="s">
        <v>4</v>
      </c>
      <c r="C354" s="2">
        <v>1.02306794990454E-5</v>
      </c>
      <c r="G354" s="26">
        <v>3.0700000000000001E-5</v>
      </c>
    </row>
    <row r="355" spans="1:7">
      <c r="A355" s="1">
        <v>354</v>
      </c>
      <c r="B355" s="1" t="s">
        <v>4</v>
      </c>
      <c r="C355" s="2">
        <v>3.11683413203847E-5</v>
      </c>
      <c r="G355" s="26">
        <v>9.9799999999999993E-6</v>
      </c>
    </row>
    <row r="356" spans="1:7">
      <c r="A356" s="1">
        <v>355</v>
      </c>
      <c r="B356" s="1" t="s">
        <v>4</v>
      </c>
      <c r="C356" s="2">
        <v>2.2550382246336599E-5</v>
      </c>
      <c r="G356" s="26">
        <v>2.3499999999999999E-5</v>
      </c>
    </row>
    <row r="357" spans="1:7">
      <c r="A357" s="1">
        <v>356</v>
      </c>
      <c r="B357" s="1" t="s">
        <v>4</v>
      </c>
      <c r="C357" s="2">
        <v>3.03017558050851E-5</v>
      </c>
      <c r="G357" s="26">
        <v>2.94E-5</v>
      </c>
    </row>
    <row r="358" spans="1:7">
      <c r="A358" s="1">
        <v>357</v>
      </c>
      <c r="B358" s="1" t="s">
        <v>4</v>
      </c>
      <c r="C358" s="2">
        <v>2.4777340346698399E-5</v>
      </c>
      <c r="G358" s="26">
        <v>8.2700000000000004E-6</v>
      </c>
    </row>
    <row r="359" spans="1:7">
      <c r="A359" s="1">
        <v>358</v>
      </c>
      <c r="B359" s="1" t="s">
        <v>4</v>
      </c>
      <c r="C359" s="2">
        <v>2.2874939055395799E-5</v>
      </c>
      <c r="G359" s="26">
        <v>3.0899999999999999E-5</v>
      </c>
    </row>
    <row r="360" spans="1:7">
      <c r="A360" s="1">
        <v>359</v>
      </c>
      <c r="B360" s="1" t="s">
        <v>4</v>
      </c>
      <c r="C360" s="2">
        <v>2.0689465158566601E-5</v>
      </c>
      <c r="G360" s="26">
        <v>2.9E-5</v>
      </c>
    </row>
    <row r="361" spans="1:7">
      <c r="A361" s="1">
        <v>360</v>
      </c>
      <c r="B361" s="1" t="s">
        <v>4</v>
      </c>
      <c r="C361" s="2">
        <v>2.9191945555228702E-5</v>
      </c>
      <c r="G361" s="26">
        <v>3.1000000000000001E-5</v>
      </c>
    </row>
    <row r="362" spans="1:7">
      <c r="A362" s="1">
        <v>361</v>
      </c>
      <c r="B362" s="1" t="s">
        <v>4</v>
      </c>
      <c r="C362" s="2">
        <v>2.4779886665802E-5</v>
      </c>
      <c r="G362" s="26">
        <v>1.4800000000000001E-5</v>
      </c>
    </row>
    <row r="363" spans="1:7">
      <c r="A363" s="1">
        <v>362</v>
      </c>
      <c r="B363" s="1" t="s">
        <v>4</v>
      </c>
      <c r="C363" s="2">
        <v>1.4945074016896301E-5</v>
      </c>
      <c r="G363" s="26">
        <v>2.0699999999999998E-5</v>
      </c>
    </row>
    <row r="364" spans="1:7">
      <c r="A364" s="1">
        <v>363</v>
      </c>
      <c r="B364" s="1" t="s">
        <v>4</v>
      </c>
      <c r="C364" s="2">
        <v>2.4623442693077401E-5</v>
      </c>
      <c r="G364" s="26">
        <v>2.69E-5</v>
      </c>
    </row>
    <row r="365" spans="1:7">
      <c r="A365" s="1">
        <v>364</v>
      </c>
      <c r="B365" s="1" t="s">
        <v>4</v>
      </c>
      <c r="C365" s="2">
        <v>2.3118722269673199E-5</v>
      </c>
      <c r="G365" s="26">
        <v>1.43E-5</v>
      </c>
    </row>
    <row r="366" spans="1:7">
      <c r="A366" s="1">
        <v>365</v>
      </c>
      <c r="B366" s="1" t="s">
        <v>4</v>
      </c>
      <c r="C366" s="2">
        <v>2.06788463593117E-5</v>
      </c>
      <c r="G366" s="26">
        <v>2.9300000000000001E-5</v>
      </c>
    </row>
    <row r="367" spans="1:7">
      <c r="A367" s="1">
        <v>366</v>
      </c>
      <c r="B367" s="1" t="s">
        <v>4</v>
      </c>
      <c r="C367" s="2">
        <v>1.2127951489603699E-5</v>
      </c>
      <c r="G367" s="26">
        <v>2.2799999999999999E-5</v>
      </c>
    </row>
    <row r="368" spans="1:7">
      <c r="A368" s="1">
        <v>367</v>
      </c>
      <c r="B368" s="1" t="s">
        <v>4</v>
      </c>
      <c r="C368" s="2">
        <v>3.1238374134480898E-5</v>
      </c>
      <c r="G368" s="26">
        <v>2.94E-5</v>
      </c>
    </row>
    <row r="369" spans="1:7">
      <c r="A369" s="1">
        <v>368</v>
      </c>
      <c r="B369" s="1" t="s">
        <v>4</v>
      </c>
      <c r="C369" s="2">
        <v>1.42972186267795E-5</v>
      </c>
      <c r="G369" s="26">
        <v>2.8500000000000002E-5</v>
      </c>
    </row>
    <row r="370" spans="1:7">
      <c r="A370" s="1">
        <v>369</v>
      </c>
      <c r="B370" s="1" t="s">
        <v>4</v>
      </c>
      <c r="C370" s="2">
        <v>2.4954892211166502E-5</v>
      </c>
      <c r="G370" s="26">
        <v>2.9E-5</v>
      </c>
    </row>
    <row r="371" spans="1:7">
      <c r="A371" s="1">
        <v>370</v>
      </c>
      <c r="B371" s="1" t="s">
        <v>4</v>
      </c>
      <c r="C371" s="2">
        <v>2.4295889061697601E-5</v>
      </c>
      <c r="G371" s="26">
        <v>3.0199999999999999E-5</v>
      </c>
    </row>
    <row r="372" spans="1:7">
      <c r="A372" s="1">
        <v>371</v>
      </c>
      <c r="B372" s="1" t="s">
        <v>4</v>
      </c>
      <c r="C372" s="2">
        <v>3.07094699687315E-5</v>
      </c>
      <c r="G372" s="26">
        <v>3.1199999999999999E-5</v>
      </c>
    </row>
    <row r="373" spans="1:7">
      <c r="A373" s="1">
        <v>372</v>
      </c>
      <c r="B373" s="1" t="s">
        <v>4</v>
      </c>
      <c r="C373" s="2">
        <v>9.9838257623079592E-6</v>
      </c>
      <c r="G373" s="26">
        <v>1.98E-5</v>
      </c>
    </row>
    <row r="374" spans="1:7">
      <c r="A374" s="1">
        <v>373</v>
      </c>
      <c r="B374" s="1" t="s">
        <v>4</v>
      </c>
      <c r="C374" s="2">
        <v>2.3529925998586201E-5</v>
      </c>
      <c r="G374" s="26">
        <v>8.5900000000000008E-6</v>
      </c>
    </row>
    <row r="375" spans="1:7">
      <c r="A375" s="1">
        <v>374</v>
      </c>
      <c r="B375" s="1" t="s">
        <v>4</v>
      </c>
      <c r="C375" s="2">
        <v>2.9363385996062699E-5</v>
      </c>
      <c r="G375" s="26">
        <v>2.1100000000000001E-5</v>
      </c>
    </row>
    <row r="376" spans="1:7">
      <c r="A376" s="1">
        <v>375</v>
      </c>
      <c r="B376" s="1" t="s">
        <v>4</v>
      </c>
      <c r="C376" s="2">
        <v>8.2707814297217694E-6</v>
      </c>
      <c r="G376" s="26">
        <v>3.0300000000000001E-5</v>
      </c>
    </row>
    <row r="377" spans="1:7">
      <c r="A377" s="1">
        <v>376</v>
      </c>
      <c r="B377" s="1" t="s">
        <v>4</v>
      </c>
      <c r="C377" s="2">
        <v>3.0851128649075503E-5</v>
      </c>
      <c r="G377" s="26">
        <v>3.0800000000000003E-5</v>
      </c>
    </row>
    <row r="378" spans="1:7">
      <c r="A378" s="1">
        <v>377</v>
      </c>
      <c r="B378" s="1" t="s">
        <v>4</v>
      </c>
      <c r="C378" s="2">
        <v>2.90227270371456E-5</v>
      </c>
      <c r="G378" s="26">
        <v>3.1199999999999999E-5</v>
      </c>
    </row>
    <row r="379" spans="1:7">
      <c r="A379" s="1">
        <v>378</v>
      </c>
      <c r="B379" s="1" t="s">
        <v>4</v>
      </c>
      <c r="C379" s="2">
        <v>3.1028545279735198E-5</v>
      </c>
      <c r="G379" s="26">
        <v>2.0400000000000001E-5</v>
      </c>
    </row>
    <row r="380" spans="1:7">
      <c r="A380" s="1">
        <v>379</v>
      </c>
      <c r="B380" s="1" t="s">
        <v>4</v>
      </c>
      <c r="C380" s="2">
        <v>1.4771668255700501E-5</v>
      </c>
      <c r="G380" s="26">
        <v>1.73E-5</v>
      </c>
    </row>
    <row r="381" spans="1:7">
      <c r="A381" s="1">
        <v>380</v>
      </c>
      <c r="B381" s="1" t="s">
        <v>4</v>
      </c>
      <c r="C381" s="2">
        <v>2.0654969608418501E-5</v>
      </c>
      <c r="G381" s="26">
        <v>2.0100000000000001E-5</v>
      </c>
    </row>
    <row r="382" spans="1:7">
      <c r="A382" s="1">
        <v>381</v>
      </c>
      <c r="B382" s="1" t="s">
        <v>4</v>
      </c>
      <c r="C382" s="2">
        <v>2.6897496738821399E-5</v>
      </c>
      <c r="G382" s="26">
        <v>2.5199999999999999E-5</v>
      </c>
    </row>
    <row r="383" spans="1:7">
      <c r="A383" s="1">
        <v>382</v>
      </c>
      <c r="B383" s="1" t="s">
        <v>4</v>
      </c>
      <c r="C383" s="2">
        <v>1.42761380105732E-5</v>
      </c>
      <c r="G383" s="26">
        <v>1.3699999999999999E-5</v>
      </c>
    </row>
    <row r="384" spans="1:7">
      <c r="A384" s="1">
        <v>383</v>
      </c>
      <c r="B384" s="1" t="s">
        <v>180</v>
      </c>
      <c r="C384" s="2">
        <v>1.09913126454794E-6</v>
      </c>
      <c r="G384" s="26">
        <v>2.3200000000000001E-5</v>
      </c>
    </row>
    <row r="385" spans="1:7">
      <c r="A385" s="1">
        <v>384</v>
      </c>
      <c r="B385" s="1" t="s">
        <v>4</v>
      </c>
      <c r="C385" s="2">
        <v>2.9274786036527701E-5</v>
      </c>
      <c r="G385" s="26">
        <v>2.5199999999999999E-5</v>
      </c>
    </row>
    <row r="386" spans="1:7">
      <c r="A386" s="1">
        <v>385</v>
      </c>
      <c r="B386" s="1" t="s">
        <v>180</v>
      </c>
      <c r="C386" s="2">
        <v>2.6613422972105702E-7</v>
      </c>
      <c r="G386" s="26">
        <v>1.06E-5</v>
      </c>
    </row>
    <row r="387" spans="1:7">
      <c r="A387" s="1">
        <v>386</v>
      </c>
      <c r="B387" s="1" t="s">
        <v>4</v>
      </c>
      <c r="C387" s="2">
        <v>2.27672400274706E-5</v>
      </c>
      <c r="G387" s="26">
        <v>2.97E-5</v>
      </c>
    </row>
    <row r="388" spans="1:7">
      <c r="A388" s="1">
        <v>387</v>
      </c>
      <c r="B388" s="1" t="s">
        <v>4</v>
      </c>
      <c r="C388" s="2">
        <v>2.94230657861268E-5</v>
      </c>
      <c r="G388" s="26">
        <v>1.39E-6</v>
      </c>
    </row>
    <row r="389" spans="1:7">
      <c r="A389" s="1">
        <v>388</v>
      </c>
      <c r="B389" s="1" t="s">
        <v>4</v>
      </c>
      <c r="C389" s="2">
        <v>2.8488349644806799E-5</v>
      </c>
      <c r="G389" s="26">
        <v>3.0899999999999999E-5</v>
      </c>
    </row>
    <row r="390" spans="1:7">
      <c r="A390" s="1">
        <v>389</v>
      </c>
      <c r="B390" s="1" t="s">
        <v>4</v>
      </c>
      <c r="C390" s="2">
        <v>2.8965631221716801E-5</v>
      </c>
      <c r="G390" s="26">
        <v>1.49E-7</v>
      </c>
    </row>
    <row r="391" spans="1:7">
      <c r="A391" s="1">
        <v>390</v>
      </c>
      <c r="B391" s="1" t="s">
        <v>4</v>
      </c>
      <c r="C391" s="2">
        <v>3.0220888436093301E-5</v>
      </c>
      <c r="G391" s="26">
        <v>2.2200000000000001E-5</v>
      </c>
    </row>
    <row r="392" spans="1:7">
      <c r="A392" s="1">
        <v>391</v>
      </c>
      <c r="B392" s="1" t="s">
        <v>4</v>
      </c>
      <c r="C392" s="2">
        <v>3.1223634292868401E-5</v>
      </c>
      <c r="G392" s="26">
        <v>2.23E-5</v>
      </c>
    </row>
    <row r="393" spans="1:7">
      <c r="A393" s="1">
        <v>392</v>
      </c>
      <c r="B393" s="1" t="s">
        <v>4</v>
      </c>
      <c r="C393" s="2">
        <v>1.98162182984475E-5</v>
      </c>
      <c r="G393" s="26">
        <v>2.41E-5</v>
      </c>
    </row>
    <row r="394" spans="1:7">
      <c r="A394" s="1">
        <v>393</v>
      </c>
      <c r="B394" s="1" t="s">
        <v>4</v>
      </c>
      <c r="C394" s="2">
        <v>8.5896163957287602E-6</v>
      </c>
      <c r="G394" s="26">
        <v>6.64E-6</v>
      </c>
    </row>
    <row r="395" spans="1:7">
      <c r="A395" s="1">
        <v>394</v>
      </c>
      <c r="B395" s="1" t="s">
        <v>4</v>
      </c>
      <c r="C395" s="2">
        <v>2.1140636230691701E-5</v>
      </c>
      <c r="G395" s="26">
        <v>2.48E-5</v>
      </c>
    </row>
    <row r="396" spans="1:7">
      <c r="A396" s="1">
        <v>395</v>
      </c>
      <c r="B396" s="1" t="s">
        <v>4</v>
      </c>
      <c r="C396" s="2">
        <v>3.02759458572799E-5</v>
      </c>
      <c r="G396" s="26">
        <v>1.24E-5</v>
      </c>
    </row>
    <row r="397" spans="1:7">
      <c r="A397" s="1">
        <v>396</v>
      </c>
      <c r="B397" s="1" t="s">
        <v>4</v>
      </c>
      <c r="C397" s="2">
        <v>3.0840042027739703E-5</v>
      </c>
      <c r="G397" s="26">
        <v>1.7099999999999999E-5</v>
      </c>
    </row>
    <row r="398" spans="1:7">
      <c r="A398" s="1">
        <v>397</v>
      </c>
      <c r="B398" s="1" t="s">
        <v>4</v>
      </c>
      <c r="C398" s="2">
        <v>3.1207740567111698E-5</v>
      </c>
      <c r="G398" s="26">
        <v>6.0000000000000002E-6</v>
      </c>
    </row>
    <row r="399" spans="1:7">
      <c r="A399" s="1">
        <v>398</v>
      </c>
      <c r="B399" s="1" t="s">
        <v>4</v>
      </c>
      <c r="C399" s="2">
        <v>2.0404876962570501E-5</v>
      </c>
      <c r="G399" s="26">
        <v>2.2799999999999999E-5</v>
      </c>
    </row>
    <row r="400" spans="1:7">
      <c r="A400" s="1">
        <v>399</v>
      </c>
      <c r="B400" s="1" t="s">
        <v>4</v>
      </c>
      <c r="C400" s="2">
        <v>1.7335725616381999E-5</v>
      </c>
      <c r="G400" s="26">
        <v>2.6599999999999999E-5</v>
      </c>
    </row>
    <row r="401" spans="1:7">
      <c r="A401" s="1">
        <v>400</v>
      </c>
      <c r="B401" s="1" t="s">
        <v>4</v>
      </c>
      <c r="C401" s="2">
        <v>2.0051314324054999E-5</v>
      </c>
      <c r="G401" s="26">
        <v>3.1199999999999999E-5</v>
      </c>
    </row>
    <row r="402" spans="1:7">
      <c r="A402" s="1">
        <v>401</v>
      </c>
      <c r="B402" s="1" t="s">
        <v>4</v>
      </c>
      <c r="C402" s="2">
        <v>2.5180992775583001E-5</v>
      </c>
      <c r="G402" s="26">
        <v>3.1199999999999999E-5</v>
      </c>
    </row>
    <row r="403" spans="1:7">
      <c r="A403" s="1">
        <v>402</v>
      </c>
      <c r="B403" s="1" t="s">
        <v>4</v>
      </c>
      <c r="C403" s="2">
        <v>1.37301804703176E-5</v>
      </c>
      <c r="G403" s="26">
        <v>3.1099999999999997E-5</v>
      </c>
    </row>
    <row r="404" spans="1:7">
      <c r="A404" s="1">
        <v>403</v>
      </c>
      <c r="B404" s="1" t="s">
        <v>4</v>
      </c>
      <c r="C404" s="2">
        <v>2.31905315701598E-5</v>
      </c>
      <c r="G404" s="26">
        <v>1.11E-5</v>
      </c>
    </row>
    <row r="405" spans="1:7">
      <c r="A405" s="1">
        <v>404</v>
      </c>
      <c r="B405" s="1" t="s">
        <v>4</v>
      </c>
      <c r="C405" s="2">
        <v>2.51833249287138E-5</v>
      </c>
      <c r="G405" s="26">
        <v>4.6999999999999999E-6</v>
      </c>
    </row>
    <row r="406" spans="1:7">
      <c r="A406" s="1">
        <v>405</v>
      </c>
      <c r="B406" s="1" t="s">
        <v>4</v>
      </c>
      <c r="C406" s="2">
        <v>1.06259025987076E-5</v>
      </c>
      <c r="G406" s="26">
        <v>2.9E-5</v>
      </c>
    </row>
    <row r="407" spans="1:7">
      <c r="A407" s="1">
        <v>406</v>
      </c>
      <c r="B407" s="1" t="s">
        <v>4</v>
      </c>
      <c r="C407" s="2">
        <v>2.96578709563106E-5</v>
      </c>
      <c r="G407" s="26">
        <v>2.8E-5</v>
      </c>
    </row>
    <row r="408" spans="1:7">
      <c r="A408" s="1">
        <v>407</v>
      </c>
      <c r="B408" s="1" t="s">
        <v>4</v>
      </c>
      <c r="C408" s="2">
        <v>1.3916156489043899E-6</v>
      </c>
      <c r="G408" s="26">
        <v>2.4899999999999999E-5</v>
      </c>
    </row>
    <row r="409" spans="1:7">
      <c r="A409" s="1">
        <v>408</v>
      </c>
      <c r="B409" s="1" t="s">
        <v>4</v>
      </c>
      <c r="C409" s="2">
        <v>3.0900348090738199E-5</v>
      </c>
      <c r="G409" s="26">
        <v>2.7800000000000001E-5</v>
      </c>
    </row>
    <row r="410" spans="1:7">
      <c r="A410" s="1">
        <v>409</v>
      </c>
      <c r="B410" s="1" t="s">
        <v>4</v>
      </c>
      <c r="C410" s="2">
        <v>1.49261836961659E-7</v>
      </c>
      <c r="G410" s="26">
        <v>3.0199999999999999E-5</v>
      </c>
    </row>
    <row r="411" spans="1:7">
      <c r="A411" s="1">
        <v>410</v>
      </c>
      <c r="B411" s="1" t="s">
        <v>180</v>
      </c>
      <c r="C411" s="2">
        <v>1.1370074316383499E-6</v>
      </c>
      <c r="G411" s="26">
        <v>2.3099999999999999E-5</v>
      </c>
    </row>
    <row r="412" spans="1:7">
      <c r="A412" s="1">
        <v>411</v>
      </c>
      <c r="B412" s="1" t="s">
        <v>180</v>
      </c>
      <c r="C412" s="2">
        <v>4.0519205448921198E-6</v>
      </c>
      <c r="G412" s="26">
        <v>2.7399999999999999E-5</v>
      </c>
    </row>
    <row r="413" spans="1:7">
      <c r="A413" s="1">
        <v>412</v>
      </c>
      <c r="B413" s="1" t="s">
        <v>4</v>
      </c>
      <c r="C413" s="2">
        <v>2.2208510867299701E-5</v>
      </c>
      <c r="G413" s="26">
        <v>2.6800000000000001E-5</v>
      </c>
    </row>
    <row r="414" spans="1:7">
      <c r="A414" s="1">
        <v>413</v>
      </c>
      <c r="B414" s="1" t="s">
        <v>4</v>
      </c>
      <c r="C414" s="2">
        <v>2.2324220798970001E-5</v>
      </c>
      <c r="G414" s="26">
        <v>2.0699999999999998E-5</v>
      </c>
    </row>
    <row r="415" spans="1:7">
      <c r="A415" s="1">
        <v>414</v>
      </c>
      <c r="B415" s="1" t="s">
        <v>4</v>
      </c>
      <c r="C415" s="2">
        <v>2.4112960421491901E-5</v>
      </c>
      <c r="G415" s="26">
        <v>5.9399999999999999E-6</v>
      </c>
    </row>
    <row r="416" spans="1:7">
      <c r="A416" s="1">
        <v>415</v>
      </c>
      <c r="B416" s="1" t="s">
        <v>180</v>
      </c>
      <c r="C416" s="2">
        <v>3.7867584548055802E-6</v>
      </c>
      <c r="G416" s="26">
        <v>2.8500000000000002E-5</v>
      </c>
    </row>
    <row r="417" spans="1:7">
      <c r="A417" s="1">
        <v>416</v>
      </c>
      <c r="B417" s="1" t="s">
        <v>4</v>
      </c>
      <c r="C417" s="2">
        <v>6.6367788754836696E-6</v>
      </c>
      <c r="G417" s="26">
        <v>3.1000000000000001E-5</v>
      </c>
    </row>
    <row r="418" spans="1:7">
      <c r="A418" s="1">
        <v>417</v>
      </c>
      <c r="B418" s="1" t="s">
        <v>4</v>
      </c>
      <c r="C418" s="2">
        <v>2.47758039724227E-5</v>
      </c>
      <c r="G418" s="26">
        <v>1.1399999999999999E-5</v>
      </c>
    </row>
    <row r="419" spans="1:7">
      <c r="A419" s="1">
        <v>418</v>
      </c>
      <c r="B419" s="1" t="s">
        <v>4</v>
      </c>
      <c r="C419" s="2">
        <v>1.23627612862102E-5</v>
      </c>
      <c r="G419" s="26">
        <v>2.0100000000000001E-5</v>
      </c>
    </row>
    <row r="420" spans="1:7">
      <c r="A420" s="1">
        <v>419</v>
      </c>
      <c r="B420" s="1" t="s">
        <v>4</v>
      </c>
      <c r="C420" s="2">
        <v>1.7051667269112299E-5</v>
      </c>
      <c r="G420" s="26">
        <v>2.5899999999999999E-5</v>
      </c>
    </row>
    <row r="421" spans="1:7">
      <c r="A421" s="1">
        <v>420</v>
      </c>
      <c r="B421" s="1" t="s">
        <v>4</v>
      </c>
      <c r="C421" s="2">
        <v>5.99657824750675E-6</v>
      </c>
      <c r="G421" s="26">
        <v>2.6299999999999999E-5</v>
      </c>
    </row>
    <row r="422" spans="1:7">
      <c r="A422" s="1">
        <v>421</v>
      </c>
      <c r="B422" s="1" t="s">
        <v>4</v>
      </c>
      <c r="C422" s="2">
        <v>2.2825809076937601E-5</v>
      </c>
      <c r="G422" s="26">
        <v>2.8900000000000001E-5</v>
      </c>
    </row>
    <row r="423" spans="1:7">
      <c r="A423" s="1">
        <v>422</v>
      </c>
      <c r="B423" s="1" t="s">
        <v>4</v>
      </c>
      <c r="C423" s="2">
        <v>2.65758030330493E-5</v>
      </c>
      <c r="G423" s="26">
        <v>2.09E-5</v>
      </c>
    </row>
    <row r="424" spans="1:7">
      <c r="A424" s="1">
        <v>423</v>
      </c>
      <c r="B424" s="1" t="s">
        <v>4</v>
      </c>
      <c r="C424" s="2">
        <v>3.1184204500931398E-5</v>
      </c>
      <c r="G424" s="26">
        <v>3.01E-5</v>
      </c>
    </row>
    <row r="425" spans="1:7">
      <c r="A425" s="1">
        <v>424</v>
      </c>
      <c r="B425" s="1" t="s">
        <v>4</v>
      </c>
      <c r="C425" s="2">
        <v>3.1197265560111803E-5</v>
      </c>
      <c r="G425" s="26">
        <v>2.9900000000000002E-6</v>
      </c>
    </row>
    <row r="426" spans="1:7">
      <c r="A426" s="1">
        <v>425</v>
      </c>
      <c r="B426" s="1" t="s">
        <v>4</v>
      </c>
      <c r="C426" s="2">
        <v>3.1141761069203799E-5</v>
      </c>
      <c r="G426" s="26">
        <v>3.0599999999999998E-5</v>
      </c>
    </row>
    <row r="427" spans="1:7">
      <c r="A427" s="1">
        <v>426</v>
      </c>
      <c r="B427" s="1" t="s">
        <v>4</v>
      </c>
      <c r="C427" s="2">
        <v>1.1122665941278301E-5</v>
      </c>
      <c r="G427" s="26">
        <v>2.9799999999999999E-5</v>
      </c>
    </row>
    <row r="428" spans="1:7">
      <c r="A428" s="1">
        <v>427</v>
      </c>
      <c r="B428" s="1" t="s">
        <v>4</v>
      </c>
      <c r="C428" s="2">
        <v>4.6959099419398599E-6</v>
      </c>
      <c r="G428" s="26">
        <v>2.51E-5</v>
      </c>
    </row>
    <row r="429" spans="1:7">
      <c r="A429" s="1">
        <v>428</v>
      </c>
      <c r="B429" s="1" t="s">
        <v>4</v>
      </c>
      <c r="C429" s="2">
        <v>2.90482067456E-5</v>
      </c>
      <c r="G429" s="26">
        <v>3.1000000000000001E-5</v>
      </c>
    </row>
    <row r="430" spans="1:7">
      <c r="A430" s="1">
        <v>429</v>
      </c>
      <c r="B430" s="1" t="s">
        <v>4</v>
      </c>
      <c r="C430" s="2">
        <v>2.8013269502506999E-5</v>
      </c>
      <c r="G430" s="26">
        <v>1.0200000000000001E-5</v>
      </c>
    </row>
    <row r="431" spans="1:7">
      <c r="A431" s="1">
        <v>430</v>
      </c>
      <c r="B431" s="1" t="s">
        <v>4</v>
      </c>
      <c r="C431" s="2">
        <v>2.4938792547252501E-5</v>
      </c>
      <c r="G431" s="26">
        <v>1.98E-5</v>
      </c>
    </row>
    <row r="432" spans="1:7">
      <c r="A432" s="1">
        <v>431</v>
      </c>
      <c r="B432" s="1" t="s">
        <v>4</v>
      </c>
      <c r="C432" s="2">
        <v>2.77674923875691E-5</v>
      </c>
      <c r="G432" s="26">
        <v>1.47E-5</v>
      </c>
    </row>
    <row r="433" spans="1:7">
      <c r="A433" s="1">
        <v>432</v>
      </c>
      <c r="B433" s="1" t="s">
        <v>4</v>
      </c>
      <c r="C433" s="2">
        <v>3.02180963600179E-5</v>
      </c>
      <c r="G433" s="26">
        <v>4.7999999999999998E-6</v>
      </c>
    </row>
    <row r="434" spans="1:7">
      <c r="A434" s="1">
        <v>433</v>
      </c>
      <c r="B434" s="1" t="s">
        <v>4</v>
      </c>
      <c r="C434" s="2">
        <v>2.3111818229240699E-5</v>
      </c>
      <c r="G434" s="26">
        <v>2.5199999999999999E-5</v>
      </c>
    </row>
    <row r="435" spans="1:7">
      <c r="A435" s="1">
        <v>434</v>
      </c>
      <c r="B435" s="1" t="s">
        <v>4</v>
      </c>
      <c r="C435" s="2">
        <v>2.7390767281022701E-5</v>
      </c>
      <c r="G435" s="26">
        <v>1.59E-5</v>
      </c>
    </row>
    <row r="436" spans="1:7">
      <c r="A436" s="1">
        <v>435</v>
      </c>
      <c r="B436" s="1" t="s">
        <v>4</v>
      </c>
      <c r="C436" s="2">
        <v>2.6822002698876101E-5</v>
      </c>
      <c r="G436" s="26">
        <v>2.7699999999999999E-5</v>
      </c>
    </row>
    <row r="437" spans="1:7">
      <c r="A437" s="1">
        <v>436</v>
      </c>
      <c r="B437" s="1" t="s">
        <v>4</v>
      </c>
      <c r="C437" s="2">
        <v>2.07333627752161E-5</v>
      </c>
      <c r="G437" s="26">
        <v>2.9600000000000001E-5</v>
      </c>
    </row>
    <row r="438" spans="1:7">
      <c r="A438" s="1">
        <v>437</v>
      </c>
      <c r="B438" s="1" t="s">
        <v>4</v>
      </c>
      <c r="C438" s="2">
        <v>5.9387974995472698E-6</v>
      </c>
      <c r="G438" s="26">
        <v>3.0800000000000003E-5</v>
      </c>
    </row>
    <row r="439" spans="1:7">
      <c r="A439" s="1">
        <v>438</v>
      </c>
      <c r="B439" s="1" t="s">
        <v>4</v>
      </c>
      <c r="C439" s="2">
        <v>2.8494253538268398E-5</v>
      </c>
      <c r="G439" s="26">
        <v>1.7099999999999999E-5</v>
      </c>
    </row>
    <row r="440" spans="1:7">
      <c r="A440" s="1">
        <v>439</v>
      </c>
      <c r="B440" s="1" t="s">
        <v>4</v>
      </c>
      <c r="C440" s="2">
        <v>3.09858893795886E-5</v>
      </c>
      <c r="G440" s="26">
        <v>2.7500000000000001E-5</v>
      </c>
    </row>
    <row r="441" spans="1:7">
      <c r="A441" s="1">
        <v>440</v>
      </c>
      <c r="B441" s="1" t="s">
        <v>4</v>
      </c>
      <c r="C441" s="2">
        <v>1.1448110030231099E-5</v>
      </c>
      <c r="G441" s="26">
        <v>4.3200000000000001E-6</v>
      </c>
    </row>
    <row r="442" spans="1:7">
      <c r="A442" s="1">
        <v>441</v>
      </c>
      <c r="B442" s="1" t="s">
        <v>4</v>
      </c>
      <c r="C442" s="2">
        <v>2.0088064026001099E-5</v>
      </c>
      <c r="G442" s="26">
        <v>3.0300000000000001E-5</v>
      </c>
    </row>
    <row r="443" spans="1:7">
      <c r="A443" s="1">
        <v>442</v>
      </c>
      <c r="B443" s="1" t="s">
        <v>4</v>
      </c>
      <c r="C443" s="2">
        <v>2.59318056838004E-5</v>
      </c>
      <c r="G443" s="26">
        <v>6.19E-6</v>
      </c>
    </row>
    <row r="444" spans="1:7">
      <c r="A444" s="1">
        <v>443</v>
      </c>
      <c r="B444" s="1" t="s">
        <v>4</v>
      </c>
      <c r="C444" s="2">
        <v>2.6338647210944801E-5</v>
      </c>
      <c r="G444" s="26">
        <v>2.8900000000000001E-5</v>
      </c>
    </row>
    <row r="445" spans="1:7">
      <c r="A445" s="1">
        <v>444</v>
      </c>
      <c r="B445" s="1" t="s">
        <v>4</v>
      </c>
      <c r="C445" s="2">
        <v>2.8927333385626999E-5</v>
      </c>
      <c r="G445" s="26">
        <v>1.3200000000000001E-5</v>
      </c>
    </row>
    <row r="446" spans="1:7">
      <c r="A446" s="1">
        <v>445</v>
      </c>
      <c r="B446" s="1" t="s">
        <v>4</v>
      </c>
      <c r="C446" s="2">
        <v>2.08819913088767E-5</v>
      </c>
      <c r="G446" s="26">
        <v>3.1000000000000001E-5</v>
      </c>
    </row>
    <row r="447" spans="1:7">
      <c r="A447" s="1">
        <v>446</v>
      </c>
      <c r="B447" s="1" t="s">
        <v>4</v>
      </c>
      <c r="C447" s="2">
        <v>3.0068205512113801E-5</v>
      </c>
      <c r="G447" s="26">
        <v>2.87E-5</v>
      </c>
    </row>
    <row r="448" spans="1:7">
      <c r="A448" s="1">
        <v>447</v>
      </c>
      <c r="B448" s="1" t="s">
        <v>4</v>
      </c>
      <c r="C448" s="2">
        <v>2.99231876001345E-6</v>
      </c>
      <c r="G448" s="26">
        <v>2.9899999999999998E-5</v>
      </c>
    </row>
    <row r="449" spans="1:7">
      <c r="A449" s="1">
        <v>448</v>
      </c>
      <c r="B449" s="1" t="s">
        <v>4</v>
      </c>
      <c r="C449" s="2">
        <v>3.0649372434983499E-5</v>
      </c>
      <c r="G449" s="26">
        <v>2.4499999999999999E-5</v>
      </c>
    </row>
    <row r="450" spans="1:7">
      <c r="A450" s="1">
        <v>449</v>
      </c>
      <c r="B450" s="1" t="s">
        <v>4</v>
      </c>
      <c r="C450" s="2">
        <v>2.9779046563163401E-5</v>
      </c>
      <c r="G450" s="26">
        <v>2.73E-5</v>
      </c>
    </row>
    <row r="451" spans="1:7">
      <c r="A451" s="1">
        <v>450</v>
      </c>
      <c r="B451" s="1" t="s">
        <v>4</v>
      </c>
      <c r="C451" s="2">
        <v>2.5083725569696502E-5</v>
      </c>
      <c r="G451" s="26">
        <v>2.5400000000000001E-5</v>
      </c>
    </row>
    <row r="452" spans="1:7">
      <c r="A452" s="1">
        <v>451</v>
      </c>
      <c r="B452" s="1" t="s">
        <v>4</v>
      </c>
      <c r="C452" s="2">
        <v>3.10126555715301E-5</v>
      </c>
      <c r="G452" s="26">
        <v>2.5599999999999999E-5</v>
      </c>
    </row>
    <row r="453" spans="1:7">
      <c r="A453" s="1">
        <v>452</v>
      </c>
      <c r="B453" s="1" t="s">
        <v>180</v>
      </c>
      <c r="C453" s="2">
        <v>1.32042501600341E-5</v>
      </c>
      <c r="G453" s="26">
        <v>2.3300000000000001E-5</v>
      </c>
    </row>
    <row r="454" spans="1:7">
      <c r="A454" s="1">
        <v>453</v>
      </c>
      <c r="B454" s="1" t="s">
        <v>4</v>
      </c>
      <c r="C454" s="2">
        <v>1.01813716521327E-5</v>
      </c>
      <c r="G454" s="26">
        <v>3.1099999999999997E-5</v>
      </c>
    </row>
    <row r="455" spans="1:7">
      <c r="A455" s="1">
        <v>454</v>
      </c>
      <c r="B455" s="1" t="s">
        <v>4</v>
      </c>
      <c r="C455" s="2">
        <v>1.9799994923783301E-5</v>
      </c>
      <c r="G455" s="26">
        <v>2.8799999999999999E-5</v>
      </c>
    </row>
    <row r="456" spans="1:7">
      <c r="A456" s="1">
        <v>455</v>
      </c>
      <c r="B456" s="1" t="s">
        <v>4</v>
      </c>
      <c r="C456" s="2">
        <v>1.47393369144057E-5</v>
      </c>
      <c r="G456" s="26">
        <v>2.3799999999999999E-5</v>
      </c>
    </row>
    <row r="457" spans="1:7">
      <c r="A457" s="1">
        <v>456</v>
      </c>
      <c r="B457" s="1" t="s">
        <v>4</v>
      </c>
      <c r="C457" s="2">
        <v>4.8037910158654904E-6</v>
      </c>
      <c r="G457" s="26">
        <v>2.23E-5</v>
      </c>
    </row>
    <row r="458" spans="1:7">
      <c r="A458" s="1">
        <v>457</v>
      </c>
      <c r="B458" s="1" t="s">
        <v>4</v>
      </c>
      <c r="C458" s="2">
        <v>2.5189513942129901E-5</v>
      </c>
      <c r="G458" s="26">
        <v>2.9300000000000001E-5</v>
      </c>
    </row>
    <row r="459" spans="1:7">
      <c r="A459" s="1">
        <v>458</v>
      </c>
      <c r="B459" s="1" t="s">
        <v>180</v>
      </c>
      <c r="C459" s="2">
        <v>9.2364912197483805E-8</v>
      </c>
      <c r="G459" s="26">
        <v>2.97E-5</v>
      </c>
    </row>
    <row r="460" spans="1:7">
      <c r="A460" s="1">
        <v>459</v>
      </c>
      <c r="B460" s="1" t="s">
        <v>4</v>
      </c>
      <c r="C460" s="2">
        <v>1.5865652798779799E-5</v>
      </c>
      <c r="G460" s="26">
        <v>2.87E-5</v>
      </c>
    </row>
    <row r="461" spans="1:7">
      <c r="A461" s="1">
        <v>460</v>
      </c>
      <c r="B461" s="1" t="s">
        <v>4</v>
      </c>
      <c r="C461" s="2">
        <v>2.7696012219183599E-5</v>
      </c>
      <c r="G461" s="26">
        <v>2.4600000000000002E-5</v>
      </c>
    </row>
    <row r="462" spans="1:7">
      <c r="A462" s="1">
        <v>461</v>
      </c>
      <c r="B462" s="1" t="s">
        <v>4</v>
      </c>
      <c r="C462" s="2">
        <v>2.9553687178810999E-5</v>
      </c>
      <c r="G462" s="26">
        <v>5.2800000000000003E-6</v>
      </c>
    </row>
    <row r="463" spans="1:7">
      <c r="A463" s="1">
        <v>462</v>
      </c>
      <c r="B463" s="1" t="s">
        <v>4</v>
      </c>
      <c r="C463" s="2">
        <v>3.0828442811943902E-5</v>
      </c>
      <c r="G463" s="26">
        <v>3.1099999999999997E-5</v>
      </c>
    </row>
    <row r="464" spans="1:7">
      <c r="A464" s="1">
        <v>463</v>
      </c>
      <c r="B464" s="1" t="s">
        <v>4</v>
      </c>
      <c r="C464" s="2">
        <v>1.7107090436967499E-5</v>
      </c>
      <c r="G464" s="26">
        <v>3.0800000000000003E-5</v>
      </c>
    </row>
    <row r="465" spans="1:7">
      <c r="A465" s="1">
        <v>464</v>
      </c>
      <c r="B465" s="1" t="s">
        <v>4</v>
      </c>
      <c r="C465" s="2">
        <v>2.74896825296766E-5</v>
      </c>
      <c r="G465" s="26">
        <v>1.56E-5</v>
      </c>
    </row>
    <row r="466" spans="1:7">
      <c r="A466" s="1">
        <v>465</v>
      </c>
      <c r="B466" s="1" t="s">
        <v>4</v>
      </c>
      <c r="C466" s="2">
        <v>4.32085994131616E-6</v>
      </c>
      <c r="G466" s="26">
        <v>3.1099999999999997E-5</v>
      </c>
    </row>
    <row r="467" spans="1:7">
      <c r="A467" s="1">
        <v>466</v>
      </c>
      <c r="B467" s="1" t="s">
        <v>4</v>
      </c>
      <c r="C467" s="2">
        <v>3.02683660885502E-5</v>
      </c>
      <c r="G467" s="26">
        <v>2.7100000000000001E-5</v>
      </c>
    </row>
    <row r="468" spans="1:7">
      <c r="A468" s="1">
        <v>467</v>
      </c>
      <c r="B468" s="1" t="s">
        <v>4</v>
      </c>
      <c r="C468" s="2">
        <v>6.1865181129412802E-6</v>
      </c>
      <c r="G468" s="26">
        <v>2.16E-5</v>
      </c>
    </row>
    <row r="469" spans="1:7">
      <c r="A469" s="1">
        <v>468</v>
      </c>
      <c r="B469" s="1" t="s">
        <v>4</v>
      </c>
      <c r="C469" s="2">
        <v>2.8932341113761098E-5</v>
      </c>
      <c r="G469" s="26">
        <v>2.7100000000000001E-5</v>
      </c>
    </row>
    <row r="470" spans="1:7">
      <c r="A470" s="1">
        <v>469</v>
      </c>
      <c r="B470" s="1" t="s">
        <v>4</v>
      </c>
      <c r="C470" s="2">
        <v>1.3183844277512699E-5</v>
      </c>
      <c r="G470" s="26">
        <v>1.9199999999999999E-5</v>
      </c>
    </row>
    <row r="471" spans="1:7">
      <c r="A471" s="1">
        <v>470</v>
      </c>
      <c r="B471" s="1" t="s">
        <v>4</v>
      </c>
      <c r="C471" s="2">
        <v>3.10031152758976E-5</v>
      </c>
      <c r="G471" s="26">
        <v>2.3799999999999999E-5</v>
      </c>
    </row>
    <row r="472" spans="1:7">
      <c r="A472" s="1">
        <v>471</v>
      </c>
      <c r="B472" s="1" t="s">
        <v>4</v>
      </c>
      <c r="C472" s="2">
        <v>2.8707996363212501E-5</v>
      </c>
      <c r="G472" s="26">
        <v>4.42E-6</v>
      </c>
    </row>
    <row r="473" spans="1:7">
      <c r="A473" s="1">
        <v>472</v>
      </c>
      <c r="B473" s="1" t="s">
        <v>4</v>
      </c>
      <c r="C473" s="2">
        <v>2.9872013073606099E-5</v>
      </c>
      <c r="G473" s="26">
        <v>3.89E-7</v>
      </c>
    </row>
    <row r="474" spans="1:7">
      <c r="A474" s="1">
        <v>473</v>
      </c>
      <c r="B474" s="1" t="s">
        <v>4</v>
      </c>
      <c r="C474" s="2">
        <v>2.45025679300714E-5</v>
      </c>
      <c r="G474" s="26">
        <v>3.04E-5</v>
      </c>
    </row>
    <row r="475" spans="1:7">
      <c r="A475" s="1">
        <v>474</v>
      </c>
      <c r="B475" s="1" t="s">
        <v>4</v>
      </c>
      <c r="C475" s="2">
        <v>2.7296587700902901E-5</v>
      </c>
      <c r="G475" s="26">
        <v>8.2300000000000008E-6</v>
      </c>
    </row>
    <row r="476" spans="1:7">
      <c r="A476" s="1">
        <v>475</v>
      </c>
      <c r="B476" s="1" t="s">
        <v>4</v>
      </c>
      <c r="C476" s="2">
        <v>2.5439808596566401E-5</v>
      </c>
      <c r="G476" s="26">
        <v>2.6800000000000002E-6</v>
      </c>
    </row>
    <row r="477" spans="1:7">
      <c r="A477" s="1">
        <v>476</v>
      </c>
      <c r="B477" s="1" t="s">
        <v>4</v>
      </c>
      <c r="C477" s="2">
        <v>2.56432733641925E-5</v>
      </c>
      <c r="G477" s="26">
        <v>4.87E-6</v>
      </c>
    </row>
    <row r="478" spans="1:7">
      <c r="A478" s="1">
        <v>477</v>
      </c>
      <c r="B478" s="1" t="s">
        <v>4</v>
      </c>
      <c r="C478" s="2">
        <v>2.3337345117038599E-5</v>
      </c>
      <c r="G478" s="26">
        <v>5.48E-6</v>
      </c>
    </row>
    <row r="479" spans="1:7">
      <c r="A479" s="1">
        <v>478</v>
      </c>
      <c r="B479" s="1" t="s">
        <v>4</v>
      </c>
      <c r="C479" s="2">
        <v>3.11463956927814E-5</v>
      </c>
      <c r="G479" s="26">
        <v>8.4399999999999999E-7</v>
      </c>
    </row>
    <row r="480" spans="1:7">
      <c r="A480" s="1">
        <v>479</v>
      </c>
      <c r="B480" s="1" t="s">
        <v>4</v>
      </c>
      <c r="C480" s="2">
        <v>2.8822182095597501E-5</v>
      </c>
      <c r="G480" s="26">
        <v>2.4600000000000002E-5</v>
      </c>
    </row>
    <row r="481" spans="1:7">
      <c r="A481" s="1">
        <v>480</v>
      </c>
      <c r="B481" s="1" t="s">
        <v>4</v>
      </c>
      <c r="C481" s="2">
        <v>2.3785118949614298E-5</v>
      </c>
      <c r="G481" s="26">
        <v>8.6000000000000007E-6</v>
      </c>
    </row>
    <row r="482" spans="1:7">
      <c r="A482" s="1">
        <v>481</v>
      </c>
      <c r="B482" s="1" t="s">
        <v>4</v>
      </c>
      <c r="C482" s="2">
        <v>2.2274509239656202E-5</v>
      </c>
      <c r="G482" s="26">
        <v>2.51E-5</v>
      </c>
    </row>
    <row r="483" spans="1:7">
      <c r="A483" s="1">
        <v>482</v>
      </c>
      <c r="B483" s="1" t="s">
        <v>4</v>
      </c>
      <c r="C483" s="2">
        <v>2.92871606126302E-5</v>
      </c>
      <c r="G483" s="26">
        <v>1.31E-5</v>
      </c>
    </row>
    <row r="484" spans="1:7">
      <c r="A484" s="1">
        <v>483</v>
      </c>
      <c r="B484" s="1" t="s">
        <v>180</v>
      </c>
      <c r="C484" s="2">
        <v>4.2515487743135097E-7</v>
      </c>
      <c r="G484" s="26">
        <v>2.44E-5</v>
      </c>
    </row>
    <row r="485" spans="1:7">
      <c r="A485" s="1">
        <v>484</v>
      </c>
      <c r="B485" s="1" t="s">
        <v>4</v>
      </c>
      <c r="C485" s="2">
        <v>2.9740578382843501E-5</v>
      </c>
      <c r="G485" s="26">
        <v>2.9E-5</v>
      </c>
    </row>
    <row r="486" spans="1:7">
      <c r="A486" s="1">
        <v>485</v>
      </c>
      <c r="B486" s="1" t="s">
        <v>4</v>
      </c>
      <c r="C486" s="2">
        <v>2.8722327896103699E-5</v>
      </c>
      <c r="G486" s="26">
        <v>8.9800000000000002E-7</v>
      </c>
    </row>
    <row r="487" spans="1:7">
      <c r="A487" s="1">
        <v>486</v>
      </c>
      <c r="B487" s="1" t="s">
        <v>4</v>
      </c>
      <c r="C487" s="2">
        <v>2.4602455075635401E-5</v>
      </c>
      <c r="G487" s="26">
        <v>3.1199999999999999E-5</v>
      </c>
    </row>
    <row r="488" spans="1:7">
      <c r="A488" s="1">
        <v>487</v>
      </c>
      <c r="B488" s="1" t="s">
        <v>4</v>
      </c>
      <c r="C488" s="2">
        <v>5.2788131793412101E-6</v>
      </c>
      <c r="G488" s="26">
        <v>2.2200000000000001E-5</v>
      </c>
    </row>
    <row r="489" spans="1:7">
      <c r="A489" s="1">
        <v>488</v>
      </c>
      <c r="B489" s="1" t="s">
        <v>4</v>
      </c>
      <c r="C489" s="2">
        <v>3.1144848539533199E-5</v>
      </c>
      <c r="G489" s="26">
        <v>2.12E-5</v>
      </c>
    </row>
    <row r="490" spans="1:7">
      <c r="A490" s="1">
        <v>489</v>
      </c>
      <c r="B490" s="1" t="s">
        <v>4</v>
      </c>
      <c r="C490" s="2">
        <v>3.0826736328530903E-5</v>
      </c>
      <c r="G490" s="26">
        <v>1.59E-6</v>
      </c>
    </row>
    <row r="491" spans="1:7">
      <c r="A491" s="1">
        <v>490</v>
      </c>
      <c r="B491" s="1" t="s">
        <v>4</v>
      </c>
      <c r="C491" s="2">
        <v>1.5577316239839301E-5</v>
      </c>
      <c r="G491" s="26">
        <v>2.9099999999999999E-5</v>
      </c>
    </row>
    <row r="492" spans="1:7">
      <c r="A492" s="1">
        <v>491</v>
      </c>
      <c r="B492" s="1" t="s">
        <v>4</v>
      </c>
      <c r="C492" s="2">
        <v>3.1063800344726898E-5</v>
      </c>
      <c r="G492" s="26">
        <v>1.3200000000000001E-5</v>
      </c>
    </row>
    <row r="493" spans="1:7">
      <c r="A493" s="1">
        <v>492</v>
      </c>
      <c r="B493" s="1" t="s">
        <v>4</v>
      </c>
      <c r="C493" s="2">
        <v>2.70896964102825E-5</v>
      </c>
      <c r="G493" s="26">
        <v>1.22E-5</v>
      </c>
    </row>
    <row r="494" spans="1:7">
      <c r="A494" s="1">
        <v>493</v>
      </c>
      <c r="B494" s="1" t="s">
        <v>180</v>
      </c>
      <c r="C494" s="2">
        <v>1.1136989784123201E-5</v>
      </c>
      <c r="G494" s="26">
        <v>1.7E-5</v>
      </c>
    </row>
    <row r="495" spans="1:7">
      <c r="A495" s="1">
        <v>494</v>
      </c>
      <c r="B495" s="1" t="s">
        <v>4</v>
      </c>
      <c r="C495" s="2">
        <v>2.15587350214928E-5</v>
      </c>
      <c r="G495" s="26">
        <v>1.5800000000000001E-5</v>
      </c>
    </row>
    <row r="496" spans="1:7">
      <c r="A496" s="1">
        <v>495</v>
      </c>
      <c r="B496" s="1" t="s">
        <v>4</v>
      </c>
      <c r="C496" s="2">
        <v>2.7117517962680201E-5</v>
      </c>
      <c r="G496" s="26">
        <v>3.1099999999999997E-5</v>
      </c>
    </row>
    <row r="497" spans="1:7">
      <c r="A497" s="1">
        <v>496</v>
      </c>
      <c r="B497" s="1" t="s">
        <v>4</v>
      </c>
      <c r="C497" s="2">
        <v>1.92491614099993E-5</v>
      </c>
      <c r="G497" s="26">
        <v>3.2799999999999999E-6</v>
      </c>
    </row>
    <row r="498" spans="1:7">
      <c r="A498" s="1">
        <v>497</v>
      </c>
      <c r="B498" s="1" t="s">
        <v>4</v>
      </c>
      <c r="C498" s="2">
        <v>2.3829217519514999E-5</v>
      </c>
      <c r="G498" s="26">
        <v>1.7200000000000001E-5</v>
      </c>
    </row>
    <row r="499" spans="1:7">
      <c r="A499" s="1">
        <v>498</v>
      </c>
      <c r="B499" s="1" t="s">
        <v>180</v>
      </c>
      <c r="C499" s="2">
        <v>9.7628909147256201E-7</v>
      </c>
      <c r="G499" s="26">
        <v>1.2099999999999999E-5</v>
      </c>
    </row>
    <row r="500" spans="1:7">
      <c r="A500" s="1">
        <v>499</v>
      </c>
      <c r="B500" s="1" t="s">
        <v>4</v>
      </c>
      <c r="C500" s="2">
        <v>4.4213316916262303E-6</v>
      </c>
      <c r="G500" s="26">
        <v>2.76E-5</v>
      </c>
    </row>
    <row r="501" spans="1:7">
      <c r="A501" s="1">
        <v>500</v>
      </c>
      <c r="B501" s="1" t="s">
        <v>4</v>
      </c>
      <c r="C501" s="2">
        <v>3.89265988223643E-7</v>
      </c>
      <c r="G501" s="26">
        <v>2.83E-5</v>
      </c>
    </row>
    <row r="502" spans="1:7">
      <c r="A502" s="1">
        <v>501</v>
      </c>
      <c r="B502" s="1" t="s">
        <v>4</v>
      </c>
      <c r="C502" s="2">
        <v>3.0446409401680301E-5</v>
      </c>
      <c r="G502" s="26">
        <v>2.4600000000000002E-5</v>
      </c>
    </row>
    <row r="503" spans="1:7">
      <c r="A503" s="1">
        <v>502</v>
      </c>
      <c r="B503" s="1" t="s">
        <v>4</v>
      </c>
      <c r="C503" s="2">
        <v>8.2329875030572093E-6</v>
      </c>
      <c r="G503" s="26">
        <v>3.0800000000000003E-5</v>
      </c>
    </row>
    <row r="504" spans="1:7">
      <c r="A504" s="1">
        <v>503</v>
      </c>
      <c r="B504" s="1" t="s">
        <v>4</v>
      </c>
      <c r="C504" s="2">
        <v>2.6779215284383599E-6</v>
      </c>
      <c r="G504" s="26">
        <v>3.0000000000000001E-5</v>
      </c>
    </row>
    <row r="505" spans="1:7">
      <c r="A505" s="1">
        <v>504</v>
      </c>
      <c r="B505" s="1" t="s">
        <v>180</v>
      </c>
      <c r="C505" s="2">
        <v>5.2011235436215303E-6</v>
      </c>
      <c r="G505" s="26">
        <v>2.5599999999999999E-5</v>
      </c>
    </row>
    <row r="506" spans="1:7">
      <c r="A506" s="1">
        <v>505</v>
      </c>
      <c r="B506" s="1" t="s">
        <v>4</v>
      </c>
      <c r="C506" s="2">
        <v>4.8704175211441196E-6</v>
      </c>
      <c r="G506" s="26">
        <v>2.73E-5</v>
      </c>
    </row>
    <row r="507" spans="1:7">
      <c r="A507" s="1">
        <v>506</v>
      </c>
      <c r="B507" s="1" t="s">
        <v>180</v>
      </c>
      <c r="C507" s="2">
        <v>3.50716353045181E-6</v>
      </c>
      <c r="G507" s="26">
        <v>2.4600000000000002E-5</v>
      </c>
    </row>
    <row r="508" spans="1:7">
      <c r="A508" s="1">
        <v>507</v>
      </c>
      <c r="B508" s="1" t="s">
        <v>180</v>
      </c>
      <c r="C508" s="2">
        <v>1.3823944679546001E-5</v>
      </c>
      <c r="G508" s="26">
        <v>1.44E-6</v>
      </c>
    </row>
    <row r="509" spans="1:7">
      <c r="A509" s="1">
        <v>508</v>
      </c>
      <c r="B509" s="1" t="s">
        <v>4</v>
      </c>
      <c r="C509" s="2">
        <v>5.4794163577117901E-6</v>
      </c>
      <c r="G509" s="26">
        <v>4.46E-7</v>
      </c>
    </row>
    <row r="510" spans="1:7">
      <c r="A510" s="1">
        <v>509</v>
      </c>
      <c r="B510" s="1" t="s">
        <v>4</v>
      </c>
      <c r="C510" s="2">
        <v>8.4366132227029198E-7</v>
      </c>
      <c r="G510" s="26">
        <v>7.7300000000000005E-6</v>
      </c>
    </row>
    <row r="511" spans="1:7">
      <c r="A511" s="1">
        <v>510</v>
      </c>
      <c r="B511" s="1" t="s">
        <v>4</v>
      </c>
      <c r="C511" s="2">
        <v>2.4616313526732299E-5</v>
      </c>
      <c r="G511" s="26">
        <v>7.6000000000000001E-6</v>
      </c>
    </row>
    <row r="512" spans="1:7">
      <c r="A512" s="1">
        <v>511</v>
      </c>
      <c r="B512" s="1" t="s">
        <v>4</v>
      </c>
      <c r="C512" s="2">
        <v>8.6007504037484803E-6</v>
      </c>
      <c r="G512" s="26">
        <v>2.1299999999999999E-5</v>
      </c>
    </row>
    <row r="513" spans="1:7">
      <c r="A513" s="1">
        <v>512</v>
      </c>
      <c r="B513" s="1" t="s">
        <v>180</v>
      </c>
      <c r="C513" s="2">
        <v>1.7787052422818599E-6</v>
      </c>
      <c r="G513" s="26">
        <v>2.9200000000000002E-5</v>
      </c>
    </row>
    <row r="514" spans="1:7">
      <c r="A514" s="1">
        <v>513</v>
      </c>
      <c r="B514" s="1" t="s">
        <v>4</v>
      </c>
      <c r="C514" s="2">
        <v>2.5144583857532602E-5</v>
      </c>
      <c r="G514" s="26">
        <v>2.41E-5</v>
      </c>
    </row>
    <row r="515" spans="1:7">
      <c r="A515" s="1">
        <v>514</v>
      </c>
      <c r="B515" s="1" t="s">
        <v>4</v>
      </c>
      <c r="C515" s="2">
        <v>1.3140132648079899E-5</v>
      </c>
      <c r="G515" s="26">
        <v>2.51E-5</v>
      </c>
    </row>
    <row r="516" spans="1:7">
      <c r="A516" s="1">
        <v>515</v>
      </c>
      <c r="B516" s="1" t="s">
        <v>180</v>
      </c>
      <c r="C516" s="2">
        <v>2.3309968926597802E-6</v>
      </c>
      <c r="G516" s="26">
        <v>1.6900000000000001E-5</v>
      </c>
    </row>
    <row r="517" spans="1:7">
      <c r="A517" s="1">
        <v>516</v>
      </c>
      <c r="B517" s="1" t="s">
        <v>4</v>
      </c>
      <c r="C517" s="2">
        <v>2.4422692111938799E-5</v>
      </c>
      <c r="G517" s="26">
        <v>3.1099999999999997E-5</v>
      </c>
    </row>
    <row r="518" spans="1:7">
      <c r="A518" s="1">
        <v>517</v>
      </c>
      <c r="B518" s="1" t="s">
        <v>4</v>
      </c>
      <c r="C518" s="2">
        <v>2.9004222301343598E-5</v>
      </c>
      <c r="G518" s="26">
        <v>3.8099999999999999E-6</v>
      </c>
    </row>
    <row r="519" spans="1:7">
      <c r="A519" s="1">
        <v>518</v>
      </c>
      <c r="B519" s="1" t="s">
        <v>4</v>
      </c>
      <c r="C519" s="2">
        <v>8.9772335494103699E-7</v>
      </c>
      <c r="G519" s="26">
        <v>2.23E-5</v>
      </c>
    </row>
    <row r="520" spans="1:7">
      <c r="A520" s="1">
        <v>519</v>
      </c>
      <c r="B520" s="1" t="s">
        <v>4</v>
      </c>
      <c r="C520" s="2">
        <v>3.1233153658479397E-5</v>
      </c>
      <c r="G520" s="26">
        <v>1.06E-5</v>
      </c>
    </row>
    <row r="521" spans="1:7">
      <c r="A521" s="1">
        <v>520</v>
      </c>
      <c r="B521" s="1" t="s">
        <v>4</v>
      </c>
      <c r="C521" s="2">
        <v>2.2237148023605499E-5</v>
      </c>
      <c r="G521" s="26">
        <v>3.1099999999999997E-5</v>
      </c>
    </row>
    <row r="522" spans="1:7">
      <c r="A522" s="1">
        <v>521</v>
      </c>
      <c r="B522" s="1" t="s">
        <v>4</v>
      </c>
      <c r="C522" s="2">
        <v>2.1249141107309102E-5</v>
      </c>
      <c r="G522" s="26">
        <v>2.09E-5</v>
      </c>
    </row>
    <row r="523" spans="1:7">
      <c r="A523" s="1">
        <v>522</v>
      </c>
      <c r="B523" s="1" t="s">
        <v>180</v>
      </c>
      <c r="C523" s="2">
        <v>2.0827508819861202E-6</v>
      </c>
      <c r="G523" s="26">
        <v>1.36E-5</v>
      </c>
    </row>
    <row r="524" spans="1:7">
      <c r="A524" s="1">
        <v>523</v>
      </c>
      <c r="B524" s="1" t="s">
        <v>4</v>
      </c>
      <c r="C524" s="2">
        <v>1.5945157794392401E-6</v>
      </c>
      <c r="G524" s="26">
        <v>2.9099999999999999E-5</v>
      </c>
    </row>
    <row r="525" spans="1:7">
      <c r="A525" s="1">
        <v>524</v>
      </c>
      <c r="B525" s="1" t="s">
        <v>4</v>
      </c>
      <c r="C525" s="2">
        <v>2.9121795230222799E-5</v>
      </c>
      <c r="G525" s="26">
        <v>4.87E-6</v>
      </c>
    </row>
    <row r="526" spans="1:7">
      <c r="A526" s="1">
        <v>525</v>
      </c>
      <c r="B526" s="1" t="s">
        <v>180</v>
      </c>
      <c r="C526" s="2">
        <v>1.8423910524872901E-6</v>
      </c>
      <c r="G526" s="26">
        <v>1.86E-6</v>
      </c>
    </row>
    <row r="527" spans="1:7">
      <c r="A527" s="1">
        <v>526</v>
      </c>
      <c r="B527" s="1" t="s">
        <v>4</v>
      </c>
      <c r="C527" s="2">
        <v>1.3185721923408299E-5</v>
      </c>
      <c r="G527" s="26">
        <v>3.01E-5</v>
      </c>
    </row>
    <row r="528" spans="1:7">
      <c r="A528" s="1">
        <v>527</v>
      </c>
      <c r="B528" s="1" t="s">
        <v>4</v>
      </c>
      <c r="C528" s="2">
        <v>1.2161755893697799E-5</v>
      </c>
      <c r="G528" s="26">
        <v>1.5999999999999999E-5</v>
      </c>
    </row>
    <row r="529" spans="1:7">
      <c r="A529" s="1">
        <v>528</v>
      </c>
      <c r="B529" s="1" t="s">
        <v>4</v>
      </c>
      <c r="C529" s="2">
        <v>1.6962349391403401E-5</v>
      </c>
      <c r="G529" s="26">
        <v>1.6799999999999998E-5</v>
      </c>
    </row>
    <row r="530" spans="1:7">
      <c r="A530" s="1">
        <v>529</v>
      </c>
      <c r="B530" s="1" t="s">
        <v>4</v>
      </c>
      <c r="C530" s="2">
        <v>1.5836227375987202E-5</v>
      </c>
      <c r="G530" s="26">
        <v>2.94E-5</v>
      </c>
    </row>
    <row r="531" spans="1:7">
      <c r="A531" s="1">
        <v>530</v>
      </c>
      <c r="B531" s="1" t="s">
        <v>4</v>
      </c>
      <c r="C531" s="2">
        <v>3.1110168853940303E-5</v>
      </c>
      <c r="G531" s="26">
        <v>5.0499999999999999E-6</v>
      </c>
    </row>
    <row r="532" spans="1:7">
      <c r="A532" s="1">
        <v>531</v>
      </c>
      <c r="B532" s="1" t="s">
        <v>180</v>
      </c>
      <c r="C532" s="2">
        <v>1.0453996458543599E-5</v>
      </c>
      <c r="G532" s="26">
        <v>2.1699999999999999E-5</v>
      </c>
    </row>
    <row r="533" spans="1:7">
      <c r="A533" s="1">
        <v>532</v>
      </c>
      <c r="B533" s="1" t="s">
        <v>4</v>
      </c>
      <c r="C533" s="2">
        <v>3.28061137232542E-6</v>
      </c>
      <c r="G533" s="26">
        <v>1.5E-5</v>
      </c>
    </row>
    <row r="534" spans="1:7">
      <c r="A534" s="1">
        <v>533</v>
      </c>
      <c r="B534" s="1" t="s">
        <v>4</v>
      </c>
      <c r="C534" s="2">
        <v>1.7228799578967901E-5</v>
      </c>
      <c r="G534" s="26">
        <v>1.24E-5</v>
      </c>
    </row>
    <row r="535" spans="1:7">
      <c r="A535" s="1">
        <v>534</v>
      </c>
      <c r="B535" s="1" t="s">
        <v>4</v>
      </c>
      <c r="C535" s="2">
        <v>1.2120210021813099E-5</v>
      </c>
      <c r="G535" s="26">
        <v>3.1700000000000001E-6</v>
      </c>
    </row>
    <row r="536" spans="1:7">
      <c r="A536" s="1">
        <v>535</v>
      </c>
      <c r="B536" s="1" t="s">
        <v>180</v>
      </c>
      <c r="C536" s="2">
        <v>7.5566228034529297E-7</v>
      </c>
      <c r="G536" s="26">
        <v>7.2900000000000003E-7</v>
      </c>
    </row>
    <row r="537" spans="1:7">
      <c r="A537" s="1">
        <v>536</v>
      </c>
      <c r="B537" s="1" t="s">
        <v>180</v>
      </c>
      <c r="C537" s="2">
        <v>1.4979659245569E-6</v>
      </c>
      <c r="G537" s="26">
        <v>2.5100000000000001E-6</v>
      </c>
    </row>
    <row r="538" spans="1:7">
      <c r="A538" s="1">
        <v>537</v>
      </c>
      <c r="B538" s="1" t="s">
        <v>4</v>
      </c>
      <c r="C538" s="2">
        <v>2.7598714482170099E-5</v>
      </c>
      <c r="G538" s="26">
        <v>3.0800000000000003E-5</v>
      </c>
    </row>
    <row r="539" spans="1:7">
      <c r="A539" s="1">
        <v>538</v>
      </c>
      <c r="B539" s="1" t="s">
        <v>4</v>
      </c>
      <c r="C539" s="2">
        <v>2.82751268527574E-5</v>
      </c>
      <c r="G539" s="26">
        <v>8.9400000000000008E-6</v>
      </c>
    </row>
    <row r="540" spans="1:7">
      <c r="A540" s="1">
        <v>539</v>
      </c>
      <c r="B540" s="1" t="s">
        <v>4</v>
      </c>
      <c r="C540" s="2">
        <v>2.4645668042032E-5</v>
      </c>
      <c r="G540" s="26">
        <v>2.5199999999999999E-5</v>
      </c>
    </row>
    <row r="541" spans="1:7">
      <c r="A541" s="1">
        <v>540</v>
      </c>
      <c r="B541" s="1" t="s">
        <v>4</v>
      </c>
      <c r="C541" s="2">
        <v>3.0777640060805301E-5</v>
      </c>
      <c r="G541" s="26">
        <v>3.0700000000000001E-5</v>
      </c>
    </row>
    <row r="542" spans="1:7">
      <c r="A542" s="1">
        <v>541</v>
      </c>
      <c r="B542" s="1" t="s">
        <v>4</v>
      </c>
      <c r="C542" s="2">
        <v>2.9981394911312401E-5</v>
      </c>
      <c r="G542" s="26">
        <v>1.63E-5</v>
      </c>
    </row>
    <row r="543" spans="1:7">
      <c r="A543" s="1">
        <v>542</v>
      </c>
      <c r="B543" s="1" t="s">
        <v>4</v>
      </c>
      <c r="C543" s="2">
        <v>2.5612616690182601E-5</v>
      </c>
      <c r="G543" s="26">
        <v>1.0200000000000001E-5</v>
      </c>
    </row>
    <row r="544" spans="1:7">
      <c r="A544" s="1">
        <v>543</v>
      </c>
      <c r="B544" s="1" t="s">
        <v>4</v>
      </c>
      <c r="C544" s="2">
        <v>2.72826487334628E-5</v>
      </c>
      <c r="G544" s="26">
        <v>1.3900000000000001E-5</v>
      </c>
    </row>
    <row r="545" spans="1:7">
      <c r="A545" s="1">
        <v>544</v>
      </c>
      <c r="B545" s="1" t="s">
        <v>4</v>
      </c>
      <c r="C545" s="2">
        <v>2.4550098481486201E-5</v>
      </c>
      <c r="G545" s="26">
        <v>9.0000000000000002E-6</v>
      </c>
    </row>
    <row r="546" spans="1:7">
      <c r="A546" s="1">
        <v>545</v>
      </c>
      <c r="B546" s="1" t="s">
        <v>180</v>
      </c>
      <c r="C546" s="2">
        <v>1.35523022268475E-6</v>
      </c>
      <c r="G546" s="26">
        <v>3.1199999999999999E-5</v>
      </c>
    </row>
    <row r="547" spans="1:7">
      <c r="A547" s="1">
        <v>546</v>
      </c>
      <c r="B547" s="1" t="s">
        <v>180</v>
      </c>
      <c r="C547" s="2">
        <v>1.30770652079304E-6</v>
      </c>
      <c r="G547" s="26">
        <v>1.0499999999999999E-5</v>
      </c>
    </row>
    <row r="548" spans="1:7">
      <c r="A548" s="1">
        <v>547</v>
      </c>
      <c r="B548" s="1" t="s">
        <v>180</v>
      </c>
      <c r="C548" s="2">
        <v>5.15938195908177E-8</v>
      </c>
      <c r="G548" s="26">
        <v>2.6800000000000001E-5</v>
      </c>
    </row>
    <row r="549" spans="1:7">
      <c r="A549" s="1">
        <v>548</v>
      </c>
      <c r="B549" s="1" t="s">
        <v>4</v>
      </c>
      <c r="C549" s="2">
        <v>1.4412866470336399E-6</v>
      </c>
      <c r="G549" s="26">
        <v>3.1099999999999997E-5</v>
      </c>
    </row>
    <row r="550" spans="1:7">
      <c r="A550" s="1">
        <v>549</v>
      </c>
      <c r="B550" s="1" t="s">
        <v>4</v>
      </c>
      <c r="C550" s="2">
        <v>4.4582965736040298E-7</v>
      </c>
      <c r="G550" s="26">
        <v>1.56E-5</v>
      </c>
    </row>
    <row r="551" spans="1:7">
      <c r="A551" s="1">
        <v>550</v>
      </c>
      <c r="B551" s="1" t="s">
        <v>4</v>
      </c>
      <c r="C551" s="2">
        <v>7.7300548058259107E-6</v>
      </c>
      <c r="G551" s="26">
        <v>2.2399999999999999E-5</v>
      </c>
    </row>
    <row r="552" spans="1:7">
      <c r="A552" s="1">
        <v>551</v>
      </c>
      <c r="B552" s="1" t="s">
        <v>4</v>
      </c>
      <c r="C552" s="2">
        <v>7.6047221080536904E-6</v>
      </c>
      <c r="G552" s="26">
        <v>1.26E-5</v>
      </c>
    </row>
    <row r="553" spans="1:7">
      <c r="A553" s="1">
        <v>552</v>
      </c>
      <c r="B553" s="1" t="s">
        <v>180</v>
      </c>
      <c r="C553" s="2">
        <v>1.80004635901635E-7</v>
      </c>
      <c r="G553" s="26">
        <v>1.0699999999999999E-5</v>
      </c>
    </row>
    <row r="554" spans="1:7">
      <c r="A554" s="1">
        <v>553</v>
      </c>
      <c r="B554" s="1" t="s">
        <v>4</v>
      </c>
      <c r="C554" s="2">
        <v>2.12735699350604E-5</v>
      </c>
      <c r="G554" s="26">
        <v>3.6200000000000001E-6</v>
      </c>
    </row>
    <row r="555" spans="1:7">
      <c r="A555" s="1">
        <v>554</v>
      </c>
      <c r="B555" s="1" t="s">
        <v>4</v>
      </c>
      <c r="C555" s="2">
        <v>2.9194681167713799E-5</v>
      </c>
      <c r="G555" s="26">
        <v>1.5500000000000001E-5</v>
      </c>
    </row>
    <row r="556" spans="1:7">
      <c r="A556" s="1">
        <v>555</v>
      </c>
      <c r="B556" s="1" t="s">
        <v>4</v>
      </c>
      <c r="C556" s="2">
        <v>2.4144262209887E-5</v>
      </c>
      <c r="G556" s="26">
        <v>1.6500000000000001E-6</v>
      </c>
    </row>
    <row r="557" spans="1:7">
      <c r="A557" s="1">
        <v>556</v>
      </c>
      <c r="B557" s="1" t="s">
        <v>4</v>
      </c>
      <c r="C557" s="2">
        <v>2.50525708814688E-5</v>
      </c>
      <c r="G557" s="26">
        <v>3.1199999999999999E-5</v>
      </c>
    </row>
    <row r="558" spans="1:7">
      <c r="A558" s="1">
        <v>557</v>
      </c>
      <c r="B558" s="1" t="s">
        <v>4</v>
      </c>
      <c r="C558" s="2">
        <v>1.6939597649817299E-5</v>
      </c>
      <c r="G558" s="26">
        <v>9.7200000000000001E-6</v>
      </c>
    </row>
    <row r="559" spans="1:7">
      <c r="A559" s="1">
        <v>558</v>
      </c>
      <c r="B559" s="1" t="s">
        <v>4</v>
      </c>
      <c r="C559" s="2">
        <v>3.1127390637276401E-5</v>
      </c>
      <c r="G559" s="26">
        <v>2.8500000000000002E-5</v>
      </c>
    </row>
    <row r="560" spans="1:7">
      <c r="A560" s="1">
        <v>559</v>
      </c>
      <c r="B560" s="1" t="s">
        <v>4</v>
      </c>
      <c r="C560" s="2">
        <v>3.8107657514141101E-6</v>
      </c>
      <c r="G560" s="26">
        <v>2.1800000000000001E-5</v>
      </c>
    </row>
    <row r="561" spans="1:7">
      <c r="A561" s="1">
        <v>560</v>
      </c>
      <c r="B561" s="1" t="s">
        <v>180</v>
      </c>
      <c r="C561" s="2">
        <v>2.4731222186128199E-6</v>
      </c>
      <c r="G561" s="26">
        <v>2.0000000000000002E-5</v>
      </c>
    </row>
    <row r="562" spans="1:7">
      <c r="A562" s="1">
        <v>561</v>
      </c>
      <c r="B562" s="1" t="s">
        <v>4</v>
      </c>
      <c r="C562" s="2">
        <v>2.2250860998289699E-5</v>
      </c>
      <c r="G562" s="26">
        <v>3.1199999999999999E-5</v>
      </c>
    </row>
    <row r="563" spans="1:7">
      <c r="A563" s="1">
        <v>562</v>
      </c>
      <c r="B563" s="1" t="s">
        <v>180</v>
      </c>
      <c r="C563" s="2">
        <v>2.3246797930107399E-5</v>
      </c>
      <c r="G563" s="26">
        <v>5.2399999999999998E-6</v>
      </c>
    </row>
    <row r="564" spans="1:7">
      <c r="A564" s="1">
        <v>563</v>
      </c>
      <c r="B564" s="1" t="s">
        <v>180</v>
      </c>
      <c r="C564" s="2">
        <v>2.2590421924954199E-6</v>
      </c>
      <c r="G564" s="26">
        <v>1.7900000000000001E-5</v>
      </c>
    </row>
    <row r="565" spans="1:7">
      <c r="A565" s="1">
        <v>564</v>
      </c>
      <c r="B565" s="1" t="s">
        <v>4</v>
      </c>
      <c r="C565" s="2">
        <v>1.05517820422311E-5</v>
      </c>
      <c r="G565" s="26">
        <v>3.0199999999999999E-5</v>
      </c>
    </row>
    <row r="566" spans="1:7">
      <c r="A566" s="1">
        <v>565</v>
      </c>
      <c r="B566" s="1" t="s">
        <v>4</v>
      </c>
      <c r="C566" s="2">
        <v>3.11193961913713E-5</v>
      </c>
      <c r="G566" s="26">
        <v>8.3000000000000002E-6</v>
      </c>
    </row>
    <row r="567" spans="1:7">
      <c r="A567" s="1">
        <v>566</v>
      </c>
      <c r="B567" s="1" t="s">
        <v>4</v>
      </c>
      <c r="C567" s="2">
        <v>2.0871408325340402E-5</v>
      </c>
      <c r="G567" s="26">
        <v>1.3200000000000001E-5</v>
      </c>
    </row>
    <row r="568" spans="1:7">
      <c r="A568" s="1">
        <v>567</v>
      </c>
      <c r="B568" s="1" t="s">
        <v>180</v>
      </c>
      <c r="C568" s="2">
        <v>2.2788490359872099E-6</v>
      </c>
      <c r="G568" s="26">
        <v>3.1199999999999999E-5</v>
      </c>
    </row>
    <row r="569" spans="1:7">
      <c r="A569" s="1">
        <v>568</v>
      </c>
      <c r="B569" s="1" t="s">
        <v>4</v>
      </c>
      <c r="C569" s="2">
        <v>1.3600506968299399E-5</v>
      </c>
      <c r="G569" s="26">
        <v>3.0000000000000001E-5</v>
      </c>
    </row>
    <row r="570" spans="1:7">
      <c r="A570" s="1">
        <v>569</v>
      </c>
      <c r="B570" s="1" t="s">
        <v>4</v>
      </c>
      <c r="C570" s="2">
        <v>2.9120622938935799E-5</v>
      </c>
      <c r="G570" s="26">
        <v>1.2999999999999999E-5</v>
      </c>
    </row>
    <row r="571" spans="1:7">
      <c r="A571" s="1">
        <v>570</v>
      </c>
      <c r="B571" s="1" t="s">
        <v>4</v>
      </c>
      <c r="C571" s="2">
        <v>4.8742855060334898E-6</v>
      </c>
      <c r="G571" s="26">
        <v>2.8099999999999999E-5</v>
      </c>
    </row>
    <row r="572" spans="1:7">
      <c r="A572" s="1">
        <v>571</v>
      </c>
      <c r="B572" s="1" t="s">
        <v>4</v>
      </c>
      <c r="C572" s="2">
        <v>1.85736165421335E-6</v>
      </c>
      <c r="G572" s="26">
        <v>6.3899999999999998E-6</v>
      </c>
    </row>
    <row r="573" spans="1:7">
      <c r="A573" s="1">
        <v>572</v>
      </c>
      <c r="B573" s="1" t="s">
        <v>4</v>
      </c>
      <c r="C573" s="2">
        <v>3.0118755282424299E-5</v>
      </c>
      <c r="G573" s="26">
        <v>3.6399999999999999E-6</v>
      </c>
    </row>
    <row r="574" spans="1:7">
      <c r="A574" s="1">
        <v>573</v>
      </c>
      <c r="B574" s="1" t="s">
        <v>4</v>
      </c>
      <c r="C574" s="2">
        <v>1.60421331127556E-5</v>
      </c>
      <c r="G574" s="26">
        <v>3.1099999999999997E-5</v>
      </c>
    </row>
    <row r="575" spans="1:7">
      <c r="A575" s="1">
        <v>574</v>
      </c>
      <c r="B575" s="1" t="s">
        <v>4</v>
      </c>
      <c r="C575" s="2">
        <v>1.6789068352139302E-5</v>
      </c>
      <c r="G575" s="26">
        <v>1.34E-5</v>
      </c>
    </row>
    <row r="576" spans="1:7">
      <c r="A576" s="1">
        <v>575</v>
      </c>
      <c r="B576" s="1" t="s">
        <v>180</v>
      </c>
      <c r="C576" s="2">
        <v>1.37850288306053E-5</v>
      </c>
      <c r="G576" s="26">
        <v>3.0800000000000003E-5</v>
      </c>
    </row>
    <row r="577" spans="1:7">
      <c r="A577" s="1">
        <v>576</v>
      </c>
      <c r="B577" s="1" t="s">
        <v>180</v>
      </c>
      <c r="C577" s="2">
        <v>3.32514298260232E-6</v>
      </c>
      <c r="G577" s="26">
        <v>1.6699999999999999E-5</v>
      </c>
    </row>
    <row r="578" spans="1:7">
      <c r="A578" s="1">
        <v>577</v>
      </c>
      <c r="B578" s="1" t="s">
        <v>4</v>
      </c>
      <c r="C578" s="2">
        <v>2.94250517682037E-5</v>
      </c>
      <c r="G578" s="26">
        <v>1.38E-5</v>
      </c>
    </row>
    <row r="579" spans="1:7">
      <c r="A579" s="1">
        <v>578</v>
      </c>
      <c r="B579" s="1" t="s">
        <v>4</v>
      </c>
      <c r="C579" s="2">
        <v>5.0484789238532899E-6</v>
      </c>
      <c r="G579" s="26">
        <v>1.4100000000000001E-5</v>
      </c>
    </row>
    <row r="580" spans="1:7">
      <c r="A580" s="1">
        <v>579</v>
      </c>
      <c r="B580" s="1" t="s">
        <v>4</v>
      </c>
      <c r="C580" s="2">
        <v>2.17101712501302E-5</v>
      </c>
      <c r="G580" s="26">
        <v>8.6400000000000003E-6</v>
      </c>
    </row>
    <row r="581" spans="1:7">
      <c r="A581" s="1">
        <v>580</v>
      </c>
      <c r="B581" s="1" t="s">
        <v>4</v>
      </c>
      <c r="C581" s="2">
        <v>1.5010823489224401E-5</v>
      </c>
      <c r="G581" s="26">
        <v>2.23E-5</v>
      </c>
    </row>
    <row r="582" spans="1:7">
      <c r="A582" s="1">
        <v>581</v>
      </c>
      <c r="B582" s="1" t="s">
        <v>4</v>
      </c>
      <c r="C582" s="2">
        <v>1.2415275780639801E-5</v>
      </c>
      <c r="G582" s="26">
        <v>3.0899999999999999E-5</v>
      </c>
    </row>
    <row r="583" spans="1:7">
      <c r="A583" s="1">
        <v>582</v>
      </c>
      <c r="B583" s="1" t="s">
        <v>180</v>
      </c>
      <c r="C583" s="2">
        <v>7.5622334054413505E-7</v>
      </c>
      <c r="G583" s="26">
        <v>3.0599999999999998E-5</v>
      </c>
    </row>
    <row r="584" spans="1:7">
      <c r="A584" s="1">
        <v>583</v>
      </c>
      <c r="B584" s="1" t="s">
        <v>180</v>
      </c>
      <c r="C584" s="2">
        <v>3.1215048172112497E-5</v>
      </c>
      <c r="G584" s="26">
        <v>3.1199999999999999E-5</v>
      </c>
    </row>
    <row r="585" spans="1:7">
      <c r="A585" s="1">
        <v>584</v>
      </c>
      <c r="B585" s="1" t="s">
        <v>4</v>
      </c>
      <c r="C585" s="2">
        <v>3.16889511054133E-6</v>
      </c>
      <c r="G585" s="26">
        <v>1.0699999999999999E-5</v>
      </c>
    </row>
    <row r="586" spans="1:7">
      <c r="A586" s="1">
        <v>585</v>
      </c>
      <c r="B586" s="1" t="s">
        <v>180</v>
      </c>
      <c r="C586" s="2">
        <v>2.3504877273358802E-6</v>
      </c>
      <c r="G586" s="26">
        <v>9.8600000000000005E-6</v>
      </c>
    </row>
    <row r="587" spans="1:7">
      <c r="A587" s="1">
        <v>586</v>
      </c>
      <c r="B587" s="1" t="s">
        <v>180</v>
      </c>
      <c r="C587" s="2">
        <v>1.3856627693361599E-6</v>
      </c>
      <c r="G587" s="26">
        <v>2.65E-5</v>
      </c>
    </row>
    <row r="588" spans="1:7">
      <c r="A588" s="1">
        <v>587</v>
      </c>
      <c r="B588" s="1" t="s">
        <v>4</v>
      </c>
      <c r="C588" s="2">
        <v>7.2938237557137399E-7</v>
      </c>
      <c r="G588" s="26">
        <v>3.0299999999999998E-6</v>
      </c>
    </row>
    <row r="589" spans="1:7">
      <c r="A589" s="1">
        <v>588</v>
      </c>
      <c r="B589" s="1" t="s">
        <v>180</v>
      </c>
      <c r="C589" s="2">
        <v>2.46777885289774E-6</v>
      </c>
      <c r="G589" s="26">
        <v>6.46E-6</v>
      </c>
    </row>
    <row r="590" spans="1:7">
      <c r="A590" s="1">
        <v>589</v>
      </c>
      <c r="B590" s="1" t="s">
        <v>4</v>
      </c>
      <c r="C590" s="2">
        <v>2.5090789364579201E-6</v>
      </c>
      <c r="G590" s="26">
        <v>2.7100000000000001E-5</v>
      </c>
    </row>
    <row r="591" spans="1:7">
      <c r="A591" s="1">
        <v>590</v>
      </c>
      <c r="B591" s="1" t="s">
        <v>4</v>
      </c>
      <c r="C591" s="2">
        <v>3.0800549356206802E-5</v>
      </c>
      <c r="G591" s="26">
        <v>1.9400000000000001E-5</v>
      </c>
    </row>
    <row r="592" spans="1:7">
      <c r="A592" s="1">
        <v>591</v>
      </c>
      <c r="B592" s="1" t="s">
        <v>180</v>
      </c>
      <c r="C592" s="2">
        <v>1.1092484899494901E-5</v>
      </c>
      <c r="G592" s="26">
        <v>3.1099999999999997E-5</v>
      </c>
    </row>
    <row r="593" spans="1:7">
      <c r="A593" s="1">
        <v>592</v>
      </c>
      <c r="B593" s="1" t="s">
        <v>4</v>
      </c>
      <c r="C593" s="2">
        <v>8.9389581884253408E-6</v>
      </c>
      <c r="G593" s="26">
        <v>3.1199999999999999E-5</v>
      </c>
    </row>
    <row r="594" spans="1:7">
      <c r="A594" s="1">
        <v>593</v>
      </c>
      <c r="B594" s="1" t="s">
        <v>4</v>
      </c>
      <c r="C594" s="2">
        <v>2.52087586002096E-5</v>
      </c>
      <c r="G594" s="26">
        <v>1.8700000000000001E-5</v>
      </c>
    </row>
    <row r="595" spans="1:7">
      <c r="A595" s="1">
        <v>594</v>
      </c>
      <c r="B595" s="1" t="s">
        <v>4</v>
      </c>
      <c r="C595" s="2">
        <v>3.0741853638097901E-5</v>
      </c>
      <c r="G595" s="26">
        <v>4.1699999999999999E-6</v>
      </c>
    </row>
    <row r="596" spans="1:7">
      <c r="A596" s="1">
        <v>595</v>
      </c>
      <c r="B596" s="1" t="s">
        <v>4</v>
      </c>
      <c r="C596" s="2">
        <v>1.6314906535486801E-5</v>
      </c>
      <c r="G596" s="26">
        <v>3.0800000000000003E-5</v>
      </c>
    </row>
    <row r="597" spans="1:7">
      <c r="A597" s="1">
        <v>596</v>
      </c>
      <c r="B597" s="1" t="s">
        <v>4</v>
      </c>
      <c r="C597" s="2">
        <v>1.02361753795811E-5</v>
      </c>
      <c r="G597" s="26">
        <v>2.58E-5</v>
      </c>
    </row>
    <row r="598" spans="1:7">
      <c r="A598" s="1">
        <v>597</v>
      </c>
      <c r="B598" s="1" t="s">
        <v>180</v>
      </c>
      <c r="C598" s="2">
        <v>1.50599824755328E-6</v>
      </c>
      <c r="G598" s="26">
        <v>9.9499999999999996E-6</v>
      </c>
    </row>
    <row r="599" spans="1:7">
      <c r="A599" s="1">
        <v>598</v>
      </c>
      <c r="B599" s="1" t="s">
        <v>4</v>
      </c>
      <c r="C599" s="2">
        <v>1.38789654974572E-5</v>
      </c>
      <c r="G599" s="26">
        <v>1.9599999999999999E-5</v>
      </c>
    </row>
    <row r="600" spans="1:7">
      <c r="A600" s="1">
        <v>599</v>
      </c>
      <c r="B600" s="1" t="s">
        <v>180</v>
      </c>
      <c r="C600" s="2">
        <v>4.26996866978103E-6</v>
      </c>
      <c r="G600" s="26">
        <v>3.0199999999999999E-5</v>
      </c>
    </row>
    <row r="601" spans="1:7">
      <c r="A601" s="1">
        <v>600</v>
      </c>
      <c r="B601" s="1" t="s">
        <v>4</v>
      </c>
      <c r="C601" s="2">
        <v>8.9998413081066594E-6</v>
      </c>
      <c r="G601" s="26">
        <v>3.0899999999999999E-5</v>
      </c>
    </row>
    <row r="602" spans="1:7">
      <c r="A602" s="1">
        <v>601</v>
      </c>
      <c r="B602" s="1" t="s">
        <v>4</v>
      </c>
      <c r="C602" s="2">
        <v>3.123167820539E-5</v>
      </c>
      <c r="G602" s="26">
        <v>2.5000000000000001E-5</v>
      </c>
    </row>
    <row r="603" spans="1:7">
      <c r="A603" s="1">
        <v>602</v>
      </c>
      <c r="B603" s="1" t="s">
        <v>4</v>
      </c>
      <c r="C603" s="2">
        <v>1.05171088992355E-5</v>
      </c>
      <c r="G603" s="26">
        <v>3.1000000000000001E-5</v>
      </c>
    </row>
    <row r="604" spans="1:7">
      <c r="A604" s="1">
        <v>603</v>
      </c>
      <c r="B604" s="1" t="s">
        <v>180</v>
      </c>
      <c r="C604" s="2">
        <v>5.9740767805180997E-6</v>
      </c>
      <c r="G604" s="26">
        <v>3.0599999999999998E-5</v>
      </c>
    </row>
    <row r="605" spans="1:7">
      <c r="A605" s="1">
        <v>604</v>
      </c>
      <c r="B605" s="1" t="s">
        <v>180</v>
      </c>
      <c r="C605" s="2">
        <v>2.0683749750617302E-5</v>
      </c>
      <c r="G605" s="26">
        <v>2.6599999999999999E-5</v>
      </c>
    </row>
    <row r="606" spans="1:7">
      <c r="A606" s="1">
        <v>605</v>
      </c>
      <c r="B606" s="1" t="s">
        <v>4</v>
      </c>
      <c r="C606" s="2">
        <v>2.68000487393294E-5</v>
      </c>
      <c r="G606" s="26">
        <v>2.9E-5</v>
      </c>
    </row>
    <row r="607" spans="1:7">
      <c r="A607" s="1">
        <v>606</v>
      </c>
      <c r="B607" s="1" t="s">
        <v>180</v>
      </c>
      <c r="C607" s="2">
        <v>7.8132410127730998E-6</v>
      </c>
      <c r="G607" s="26">
        <v>1.2799999999999999E-5</v>
      </c>
    </row>
    <row r="608" spans="1:7">
      <c r="A608" s="1">
        <v>607</v>
      </c>
      <c r="B608" s="1" t="s">
        <v>180</v>
      </c>
      <c r="C608" s="2">
        <v>3.3372066080592502E-7</v>
      </c>
      <c r="G608" s="26">
        <v>2.88E-6</v>
      </c>
    </row>
    <row r="609" spans="1:7">
      <c r="A609" s="1">
        <v>608</v>
      </c>
      <c r="B609" s="1" t="s">
        <v>4</v>
      </c>
      <c r="C609" s="2">
        <v>3.1080862894499602E-5</v>
      </c>
      <c r="G609" s="26">
        <v>2.7300000000000001E-6</v>
      </c>
    </row>
    <row r="610" spans="1:7">
      <c r="A610" s="1">
        <v>609</v>
      </c>
      <c r="B610" s="1" t="s">
        <v>4</v>
      </c>
      <c r="C610" s="2">
        <v>1.5600552365893002E-5</v>
      </c>
      <c r="G610" s="26">
        <v>7.4499999999999998E-6</v>
      </c>
    </row>
    <row r="611" spans="1:7">
      <c r="A611" s="1">
        <v>610</v>
      </c>
      <c r="B611" s="1" t="s">
        <v>180</v>
      </c>
      <c r="C611" s="2">
        <v>2.64713343747711E-6</v>
      </c>
      <c r="G611" s="26">
        <v>2.5700000000000001E-5</v>
      </c>
    </row>
    <row r="612" spans="1:7">
      <c r="A612" s="1">
        <v>611</v>
      </c>
      <c r="B612" s="1" t="s">
        <v>4</v>
      </c>
      <c r="C612" s="2">
        <v>2.2410581831151899E-5</v>
      </c>
      <c r="G612" s="26">
        <v>1.73E-5</v>
      </c>
    </row>
    <row r="613" spans="1:7">
      <c r="A613" s="1">
        <v>612</v>
      </c>
      <c r="B613" s="1" t="s">
        <v>4</v>
      </c>
      <c r="C613" s="2">
        <v>1.2622882301208101E-5</v>
      </c>
      <c r="G613" s="26">
        <v>3.1199999999999999E-5</v>
      </c>
    </row>
    <row r="614" spans="1:7">
      <c r="A614" s="1">
        <v>613</v>
      </c>
      <c r="B614" s="1" t="s">
        <v>180</v>
      </c>
      <c r="C614" s="2">
        <v>1.75242803772866E-6</v>
      </c>
      <c r="G614" s="26">
        <v>2.8399999999999999E-5</v>
      </c>
    </row>
    <row r="615" spans="1:7">
      <c r="A615" s="1">
        <v>614</v>
      </c>
      <c r="B615" s="1" t="s">
        <v>4</v>
      </c>
      <c r="C615" s="2">
        <v>1.07288350320253E-5</v>
      </c>
      <c r="G615" s="26">
        <v>2.1699999999999999E-5</v>
      </c>
    </row>
    <row r="616" spans="1:7">
      <c r="A616" s="1">
        <v>615</v>
      </c>
      <c r="B616" s="1" t="s">
        <v>4</v>
      </c>
      <c r="C616" s="2">
        <v>3.61946509317417E-6</v>
      </c>
      <c r="G616" s="26">
        <v>3.1199999999999999E-5</v>
      </c>
    </row>
    <row r="617" spans="1:7">
      <c r="A617" s="1">
        <v>616</v>
      </c>
      <c r="B617" s="1" t="s">
        <v>180</v>
      </c>
      <c r="C617" s="2">
        <v>6.1253087977482901E-8</v>
      </c>
      <c r="G617" s="26">
        <v>2.19E-5</v>
      </c>
    </row>
    <row r="618" spans="1:7">
      <c r="A618" s="1">
        <v>617</v>
      </c>
      <c r="B618" s="1" t="s">
        <v>4</v>
      </c>
      <c r="C618" s="2">
        <v>1.5548266727057702E-5</v>
      </c>
      <c r="G618" s="26">
        <v>1.1400000000000001E-6</v>
      </c>
    </row>
    <row r="619" spans="1:7">
      <c r="A619" s="1">
        <v>618</v>
      </c>
      <c r="B619" s="1" t="s">
        <v>4</v>
      </c>
      <c r="C619" s="2">
        <v>1.6466778242226399E-6</v>
      </c>
      <c r="G619" s="26">
        <v>1.47E-5</v>
      </c>
    </row>
    <row r="620" spans="1:7">
      <c r="A620" s="1">
        <v>619</v>
      </c>
      <c r="B620" s="1" t="s">
        <v>4</v>
      </c>
      <c r="C620" s="2">
        <v>3.1185148896720197E-5</v>
      </c>
      <c r="G620" s="26">
        <v>3.1199999999999999E-5</v>
      </c>
    </row>
    <row r="621" spans="1:7">
      <c r="A621" s="1">
        <v>620</v>
      </c>
      <c r="B621" s="1" t="s">
        <v>4</v>
      </c>
      <c r="C621" s="2">
        <v>9.7176797961356702E-6</v>
      </c>
      <c r="G621" s="26">
        <v>2.5199999999999999E-5</v>
      </c>
    </row>
    <row r="622" spans="1:7">
      <c r="A622" s="1">
        <v>621</v>
      </c>
      <c r="B622" s="1" t="s">
        <v>180</v>
      </c>
      <c r="C622" s="2">
        <v>1.17769020493068E-6</v>
      </c>
      <c r="G622" s="26">
        <v>2.2399999999999999E-5</v>
      </c>
    </row>
    <row r="623" spans="1:7">
      <c r="A623" s="1">
        <v>622</v>
      </c>
      <c r="B623" s="1" t="s">
        <v>4</v>
      </c>
      <c r="C623" s="2">
        <v>2.8489182406574001E-5</v>
      </c>
      <c r="G623" s="26">
        <v>2.2900000000000001E-5</v>
      </c>
    </row>
    <row r="624" spans="1:7">
      <c r="A624" s="1">
        <v>623</v>
      </c>
      <c r="B624" s="1" t="s">
        <v>4</v>
      </c>
      <c r="C624" s="2">
        <v>2.1826156639592801E-5</v>
      </c>
      <c r="G624" s="26">
        <v>2.3600000000000001E-5</v>
      </c>
    </row>
    <row r="625" spans="1:7">
      <c r="A625" s="1">
        <v>624</v>
      </c>
      <c r="B625" s="1" t="s">
        <v>180</v>
      </c>
      <c r="C625" s="2">
        <v>3.0294105011452599E-5</v>
      </c>
      <c r="G625" s="26">
        <v>2.8900000000000001E-5</v>
      </c>
    </row>
    <row r="626" spans="1:7">
      <c r="A626" s="1">
        <v>625</v>
      </c>
      <c r="B626" s="1" t="s">
        <v>4</v>
      </c>
      <c r="C626" s="2">
        <v>2.00316520933888E-5</v>
      </c>
      <c r="G626" s="26">
        <v>2.2200000000000001E-5</v>
      </c>
    </row>
    <row r="627" spans="1:7">
      <c r="A627" s="1">
        <v>626</v>
      </c>
      <c r="B627" s="1" t="s">
        <v>4</v>
      </c>
      <c r="C627" s="2">
        <v>3.11831614612707E-5</v>
      </c>
      <c r="G627" s="26">
        <v>2.73E-5</v>
      </c>
    </row>
    <row r="628" spans="1:7">
      <c r="A628" s="1">
        <v>627</v>
      </c>
      <c r="B628" s="1" t="s">
        <v>4</v>
      </c>
      <c r="C628" s="2">
        <v>5.24486172162046E-6</v>
      </c>
      <c r="G628" s="26">
        <v>1.6200000000000001E-5</v>
      </c>
    </row>
    <row r="629" spans="1:7">
      <c r="A629" s="1">
        <v>628</v>
      </c>
      <c r="B629" s="1" t="s">
        <v>4</v>
      </c>
      <c r="C629" s="2">
        <v>1.7883876335549E-5</v>
      </c>
      <c r="G629" s="26">
        <v>2.2900000000000001E-5</v>
      </c>
    </row>
    <row r="630" spans="1:7">
      <c r="A630" s="1">
        <v>629</v>
      </c>
      <c r="B630" s="1" t="s">
        <v>4</v>
      </c>
      <c r="C630" s="2">
        <v>3.0192945010500701E-5</v>
      </c>
      <c r="G630" s="26">
        <v>3.0800000000000003E-5</v>
      </c>
    </row>
    <row r="631" spans="1:7">
      <c r="A631" s="1">
        <v>630</v>
      </c>
      <c r="B631" s="1" t="s">
        <v>4</v>
      </c>
      <c r="C631" s="2">
        <v>8.2978631110616804E-6</v>
      </c>
      <c r="G631" s="26">
        <v>2.5599999999999999E-5</v>
      </c>
    </row>
    <row r="632" spans="1:7">
      <c r="A632" s="1">
        <v>631</v>
      </c>
      <c r="B632" s="1" t="s">
        <v>4</v>
      </c>
      <c r="C632" s="2">
        <v>1.32003133121193E-5</v>
      </c>
      <c r="G632" s="26">
        <v>2.9499999999999999E-5</v>
      </c>
    </row>
    <row r="633" spans="1:7">
      <c r="A633" s="1">
        <v>632</v>
      </c>
      <c r="B633" s="1" t="s">
        <v>4</v>
      </c>
      <c r="C633" s="2">
        <v>3.1157111429285497E-5</v>
      </c>
      <c r="G633" s="26">
        <v>2.62E-5</v>
      </c>
    </row>
    <row r="634" spans="1:7">
      <c r="A634" s="1">
        <v>633</v>
      </c>
      <c r="B634" s="1" t="s">
        <v>4</v>
      </c>
      <c r="C634" s="2">
        <v>3.0012934104138901E-5</v>
      </c>
      <c r="G634" s="26">
        <v>3.5599999999999998E-6</v>
      </c>
    </row>
    <row r="635" spans="1:7">
      <c r="A635" s="1">
        <v>634</v>
      </c>
      <c r="B635" s="1" t="s">
        <v>4</v>
      </c>
      <c r="C635" s="2">
        <v>1.30149228781735E-5</v>
      </c>
      <c r="G635" s="26">
        <v>7.92E-7</v>
      </c>
    </row>
    <row r="636" spans="1:7">
      <c r="A636" s="1">
        <v>635</v>
      </c>
      <c r="B636" s="1" t="s">
        <v>180</v>
      </c>
      <c r="C636" s="2">
        <v>5.0316641383702904E-6</v>
      </c>
      <c r="G636" s="26">
        <v>1.6700000000000001E-6</v>
      </c>
    </row>
    <row r="637" spans="1:7">
      <c r="A637" s="1">
        <v>636</v>
      </c>
      <c r="B637" s="1" t="s">
        <v>4</v>
      </c>
      <c r="C637" s="2">
        <v>2.8052570140667901E-5</v>
      </c>
      <c r="G637" s="26">
        <v>2.65E-5</v>
      </c>
    </row>
    <row r="638" spans="1:7">
      <c r="A638" s="1">
        <v>637</v>
      </c>
      <c r="B638" s="1" t="s">
        <v>4</v>
      </c>
      <c r="C638" s="2">
        <v>6.3933150669524797E-6</v>
      </c>
      <c r="G638" s="26">
        <v>7.5599999999999996E-6</v>
      </c>
    </row>
    <row r="639" spans="1:7">
      <c r="A639" s="1">
        <v>638</v>
      </c>
      <c r="B639" s="1" t="s">
        <v>4</v>
      </c>
      <c r="C639" s="2">
        <v>3.6401370301241602E-6</v>
      </c>
      <c r="G639" s="26">
        <v>2.1299999999999999E-5</v>
      </c>
    </row>
    <row r="640" spans="1:7">
      <c r="A640" s="1">
        <v>639</v>
      </c>
      <c r="B640" s="1" t="s">
        <v>4</v>
      </c>
      <c r="C640" s="2">
        <v>3.1107251446073E-5</v>
      </c>
      <c r="G640" s="26">
        <v>2.6299999999999999E-5</v>
      </c>
    </row>
    <row r="641" spans="1:7">
      <c r="A641" s="1">
        <v>640</v>
      </c>
      <c r="B641" s="1" t="s">
        <v>4</v>
      </c>
      <c r="C641" s="2">
        <v>1.3419892950023E-5</v>
      </c>
      <c r="G641" s="26">
        <v>1.6200000000000001E-5</v>
      </c>
    </row>
    <row r="642" spans="1:7">
      <c r="A642" s="1">
        <v>641</v>
      </c>
      <c r="B642" s="1" t="s">
        <v>180</v>
      </c>
      <c r="C642" s="2">
        <v>2.4590341253070901E-7</v>
      </c>
      <c r="G642" s="26">
        <v>2.0999999999999998E-6</v>
      </c>
    </row>
    <row r="643" spans="1:7">
      <c r="A643" s="1">
        <v>642</v>
      </c>
      <c r="B643" s="1" t="s">
        <v>4</v>
      </c>
      <c r="C643" s="2">
        <v>3.0810732846230103E-5</v>
      </c>
      <c r="G643" s="26">
        <v>3.0599999999999998E-5</v>
      </c>
    </row>
    <row r="644" spans="1:7">
      <c r="A644" s="1">
        <v>643</v>
      </c>
      <c r="B644" s="1" t="s">
        <v>4</v>
      </c>
      <c r="C644" s="2">
        <v>1.6720260159793101E-5</v>
      </c>
      <c r="G644" s="26">
        <v>2.5299999999999998E-5</v>
      </c>
    </row>
    <row r="645" spans="1:7">
      <c r="A645" s="1">
        <v>644</v>
      </c>
      <c r="B645" s="1" t="s">
        <v>4</v>
      </c>
      <c r="C645" s="2">
        <v>1.3752718493941201E-5</v>
      </c>
      <c r="G645" s="26">
        <v>2.44E-5</v>
      </c>
    </row>
    <row r="646" spans="1:7">
      <c r="A646" s="1">
        <v>645</v>
      </c>
      <c r="B646" s="1" t="s">
        <v>4</v>
      </c>
      <c r="C646" s="2">
        <v>1.41424854600141E-5</v>
      </c>
      <c r="G646" s="26">
        <v>9.9999999999999995E-7</v>
      </c>
    </row>
    <row r="647" spans="1:7">
      <c r="A647" s="1">
        <v>646</v>
      </c>
      <c r="B647" s="1" t="s">
        <v>4</v>
      </c>
      <c r="C647" s="2">
        <v>8.6416350045404603E-6</v>
      </c>
      <c r="G647" s="26">
        <v>5.9200000000000001E-6</v>
      </c>
    </row>
    <row r="648" spans="1:7">
      <c r="A648" s="1">
        <v>647</v>
      </c>
      <c r="B648" s="1" t="s">
        <v>4</v>
      </c>
      <c r="C648" s="2">
        <v>2.2271056560622899E-5</v>
      </c>
      <c r="G648" s="26">
        <v>5.4499999999999997E-7</v>
      </c>
    </row>
    <row r="649" spans="1:7">
      <c r="A649" s="1">
        <v>648</v>
      </c>
      <c r="B649" s="1" t="s">
        <v>4</v>
      </c>
      <c r="C649" s="2">
        <v>3.08535113306517E-5</v>
      </c>
      <c r="G649" s="26">
        <v>2.8600000000000001E-5</v>
      </c>
    </row>
    <row r="650" spans="1:7">
      <c r="A650" s="1">
        <v>649</v>
      </c>
      <c r="B650" s="1" t="s">
        <v>4</v>
      </c>
      <c r="C650" s="2">
        <v>3.0600096919173803E-5</v>
      </c>
      <c r="G650" s="26">
        <v>2.5400000000000001E-5</v>
      </c>
    </row>
    <row r="651" spans="1:7">
      <c r="A651" s="1">
        <v>650</v>
      </c>
      <c r="B651" s="1" t="s">
        <v>4</v>
      </c>
      <c r="C651" s="2">
        <v>3.1164548236426399E-5</v>
      </c>
      <c r="G651" s="26">
        <v>3.0800000000000003E-5</v>
      </c>
    </row>
    <row r="652" spans="1:7">
      <c r="A652" s="1">
        <v>651</v>
      </c>
      <c r="B652" s="1" t="s">
        <v>4</v>
      </c>
      <c r="C652" s="2">
        <v>1.0747147882538599E-5</v>
      </c>
      <c r="G652" s="26">
        <v>3.0700000000000001E-5</v>
      </c>
    </row>
    <row r="653" spans="1:7">
      <c r="A653" s="1">
        <v>652</v>
      </c>
      <c r="B653" s="1" t="s">
        <v>4</v>
      </c>
      <c r="C653" s="2">
        <v>9.8597462333917706E-6</v>
      </c>
      <c r="G653" s="26">
        <v>3.0800000000000003E-5</v>
      </c>
    </row>
    <row r="654" spans="1:7">
      <c r="A654" s="1">
        <v>653</v>
      </c>
      <c r="B654" s="1" t="s">
        <v>4</v>
      </c>
      <c r="C654" s="2">
        <v>2.6477385746555399E-5</v>
      </c>
      <c r="G654" s="26">
        <v>3.1199999999999999E-5</v>
      </c>
    </row>
    <row r="655" spans="1:7">
      <c r="A655" s="1">
        <v>654</v>
      </c>
      <c r="B655" s="1" t="s">
        <v>4</v>
      </c>
      <c r="C655" s="2">
        <v>3.0293690781715801E-6</v>
      </c>
      <c r="G655" s="26">
        <v>3.0199999999999999E-5</v>
      </c>
    </row>
    <row r="656" spans="1:7">
      <c r="A656" s="1">
        <v>655</v>
      </c>
      <c r="B656" s="1" t="s">
        <v>4</v>
      </c>
      <c r="C656" s="2">
        <v>6.4585469978764701E-6</v>
      </c>
      <c r="G656" s="26">
        <v>1.08E-5</v>
      </c>
    </row>
    <row r="657" spans="1:7">
      <c r="A657" s="1">
        <v>656</v>
      </c>
      <c r="B657" s="1" t="s">
        <v>4</v>
      </c>
      <c r="C657" s="2">
        <v>2.71161992615369E-5</v>
      </c>
      <c r="G657" s="26">
        <v>2.72E-5</v>
      </c>
    </row>
    <row r="658" spans="1:7">
      <c r="A658" s="1">
        <v>657</v>
      </c>
      <c r="B658" s="1" t="s">
        <v>4</v>
      </c>
      <c r="C658" s="2">
        <v>1.93845888839503E-5</v>
      </c>
      <c r="G658" s="26">
        <v>2.3999999999999999E-6</v>
      </c>
    </row>
    <row r="659" spans="1:7">
      <c r="A659" s="1">
        <v>658</v>
      </c>
      <c r="B659" s="1" t="s">
        <v>180</v>
      </c>
      <c r="C659" s="2">
        <v>4.8839640171318199E-6</v>
      </c>
      <c r="G659" s="26">
        <v>2.83E-5</v>
      </c>
    </row>
    <row r="660" spans="1:7">
      <c r="A660" s="1">
        <v>659</v>
      </c>
      <c r="B660" s="1" t="s">
        <v>4</v>
      </c>
      <c r="C660" s="2">
        <v>3.1128787585278201E-5</v>
      </c>
      <c r="G660" s="26">
        <v>1.31E-6</v>
      </c>
    </row>
    <row r="661" spans="1:7">
      <c r="A661" s="1">
        <v>660</v>
      </c>
      <c r="B661" s="1" t="s">
        <v>4</v>
      </c>
      <c r="C661" s="2">
        <v>3.1197555952391003E-5</v>
      </c>
      <c r="G661" s="26">
        <v>2.8900000000000001E-5</v>
      </c>
    </row>
    <row r="662" spans="1:7">
      <c r="A662" s="1">
        <v>661</v>
      </c>
      <c r="B662" s="1" t="s">
        <v>4</v>
      </c>
      <c r="C662" s="2">
        <v>1.8706045771238901E-5</v>
      </c>
      <c r="G662" s="26">
        <v>3.0499999999999999E-5</v>
      </c>
    </row>
    <row r="663" spans="1:7">
      <c r="A663" s="1">
        <v>662</v>
      </c>
      <c r="B663" s="1" t="s">
        <v>180</v>
      </c>
      <c r="C663" s="2">
        <v>7.8973609341356198E-8</v>
      </c>
      <c r="G663" s="26">
        <v>7.0999999999999998E-6</v>
      </c>
    </row>
    <row r="664" spans="1:7">
      <c r="A664" s="1">
        <v>663</v>
      </c>
      <c r="B664" s="1" t="s">
        <v>4</v>
      </c>
      <c r="C664" s="2">
        <v>4.1698580948915203E-6</v>
      </c>
      <c r="G664" s="26">
        <v>3.1099999999999997E-5</v>
      </c>
    </row>
    <row r="665" spans="1:7">
      <c r="A665" s="1">
        <v>664</v>
      </c>
      <c r="B665" s="1" t="s">
        <v>180</v>
      </c>
      <c r="C665" s="2">
        <v>5.6962052164207895E-7</v>
      </c>
      <c r="G665" s="26">
        <v>2.4499999999999999E-5</v>
      </c>
    </row>
    <row r="666" spans="1:7">
      <c r="A666" s="1">
        <v>665</v>
      </c>
      <c r="B666" s="1" t="s">
        <v>4</v>
      </c>
      <c r="C666" s="2">
        <v>3.0811796735259697E-5</v>
      </c>
      <c r="G666" s="26">
        <v>6.2600000000000002E-7</v>
      </c>
    </row>
    <row r="667" spans="1:7">
      <c r="A667" s="1">
        <v>666</v>
      </c>
      <c r="B667" s="1" t="s">
        <v>4</v>
      </c>
      <c r="C667" s="2">
        <v>2.5815114396133499E-5</v>
      </c>
      <c r="G667" s="26">
        <v>3.1199999999999999E-5</v>
      </c>
    </row>
    <row r="668" spans="1:7">
      <c r="A668" s="1">
        <v>667</v>
      </c>
      <c r="B668" s="1" t="s">
        <v>4</v>
      </c>
      <c r="C668" s="2">
        <v>9.9485907411189506E-6</v>
      </c>
      <c r="G668" s="26">
        <v>5.7799999999999997E-6</v>
      </c>
    </row>
    <row r="669" spans="1:7">
      <c r="A669" s="1">
        <v>668</v>
      </c>
      <c r="B669" s="1" t="s">
        <v>180</v>
      </c>
      <c r="C669" s="2">
        <v>2.85016326742179E-5</v>
      </c>
      <c r="G669" s="26">
        <v>2.0800000000000001E-5</v>
      </c>
    </row>
    <row r="670" spans="1:7">
      <c r="A670" s="1">
        <v>669</v>
      </c>
      <c r="B670" s="1" t="s">
        <v>4</v>
      </c>
      <c r="C670" s="2">
        <v>1.95714127198699E-5</v>
      </c>
      <c r="G670" s="26">
        <v>1.19E-6</v>
      </c>
    </row>
    <row r="671" spans="1:7">
      <c r="A671" s="1">
        <v>670</v>
      </c>
      <c r="B671" s="1" t="s">
        <v>4</v>
      </c>
      <c r="C671" s="2">
        <v>3.0210612180283602E-5</v>
      </c>
      <c r="G671" s="26">
        <v>1.8099999999999999E-5</v>
      </c>
    </row>
    <row r="672" spans="1:7">
      <c r="A672" s="1">
        <v>671</v>
      </c>
      <c r="B672" s="1" t="s">
        <v>4</v>
      </c>
      <c r="C672" s="2">
        <v>3.0905270369008299E-5</v>
      </c>
      <c r="G672" s="26">
        <v>6.0299999999999999E-6</v>
      </c>
    </row>
    <row r="673" spans="1:7">
      <c r="A673" s="1">
        <v>672</v>
      </c>
      <c r="B673" s="1" t="s">
        <v>180</v>
      </c>
      <c r="C673" s="2">
        <v>3.3148170772933999E-6</v>
      </c>
      <c r="G673" s="26">
        <v>2.5400000000000001E-5</v>
      </c>
    </row>
    <row r="674" spans="1:7">
      <c r="A674" s="1">
        <v>673</v>
      </c>
      <c r="B674" s="1" t="s">
        <v>4</v>
      </c>
      <c r="C674" s="2">
        <v>2.4981319978065301E-5</v>
      </c>
      <c r="G674" s="26">
        <v>2.58E-5</v>
      </c>
    </row>
    <row r="675" spans="1:7">
      <c r="A675" s="1">
        <v>674</v>
      </c>
      <c r="B675" s="1" t="s">
        <v>180</v>
      </c>
      <c r="C675" s="2">
        <v>1.29795811242884E-5</v>
      </c>
      <c r="G675" s="26">
        <v>2.97E-5</v>
      </c>
    </row>
    <row r="676" spans="1:7">
      <c r="A676" s="1">
        <v>675</v>
      </c>
      <c r="B676" s="1" t="s">
        <v>180</v>
      </c>
      <c r="C676" s="2">
        <v>2.23071566067872E-6</v>
      </c>
      <c r="G676" s="26">
        <v>1.4600000000000001E-5</v>
      </c>
    </row>
    <row r="677" spans="1:7">
      <c r="A677" s="1">
        <v>676</v>
      </c>
      <c r="B677" s="1" t="s">
        <v>4</v>
      </c>
      <c r="C677" s="2">
        <v>3.0953443763131202E-5</v>
      </c>
      <c r="G677" s="26">
        <v>1.08E-5</v>
      </c>
    </row>
    <row r="678" spans="1:7">
      <c r="A678" s="1">
        <v>677</v>
      </c>
      <c r="B678" s="1" t="s">
        <v>4</v>
      </c>
      <c r="C678" s="2">
        <v>3.0550055190092897E-5</v>
      </c>
      <c r="G678" s="26">
        <v>2.5199999999999999E-5</v>
      </c>
    </row>
    <row r="679" spans="1:7">
      <c r="A679" s="1">
        <v>678</v>
      </c>
      <c r="B679" s="1" t="s">
        <v>180</v>
      </c>
      <c r="C679" s="2">
        <v>2.0616860719075201E-6</v>
      </c>
      <c r="G679" s="26">
        <v>1.55E-6</v>
      </c>
    </row>
    <row r="680" spans="1:7">
      <c r="A680" s="1">
        <v>679</v>
      </c>
      <c r="B680" s="1" t="s">
        <v>4</v>
      </c>
      <c r="C680" s="2">
        <v>2.6646174830516501E-5</v>
      </c>
      <c r="G680" s="26">
        <v>2.2900000000000001E-5</v>
      </c>
    </row>
    <row r="681" spans="1:7">
      <c r="A681" s="1">
        <v>680</v>
      </c>
      <c r="B681" s="1" t="s">
        <v>4</v>
      </c>
      <c r="C681" s="2">
        <v>2.9011324805938399E-5</v>
      </c>
      <c r="G681" s="26">
        <v>1.2300000000000001E-6</v>
      </c>
    </row>
    <row r="682" spans="1:7">
      <c r="A682" s="1">
        <v>681</v>
      </c>
      <c r="B682" s="1" t="s">
        <v>4</v>
      </c>
      <c r="C682" s="2">
        <v>1.2831234178851599E-5</v>
      </c>
      <c r="G682" s="26">
        <v>3.04E-5</v>
      </c>
    </row>
    <row r="683" spans="1:7">
      <c r="A683" s="1">
        <v>682</v>
      </c>
      <c r="B683" s="1" t="s">
        <v>4</v>
      </c>
      <c r="C683" s="2">
        <v>2.8830651509212601E-6</v>
      </c>
      <c r="G683" s="26">
        <v>3.0199999999999999E-5</v>
      </c>
    </row>
    <row r="684" spans="1:7">
      <c r="A684" s="1">
        <v>683</v>
      </c>
      <c r="B684" s="1" t="s">
        <v>4</v>
      </c>
      <c r="C684" s="2">
        <v>2.7328371167954201E-6</v>
      </c>
      <c r="G684" s="26">
        <v>1.49E-5</v>
      </c>
    </row>
    <row r="685" spans="1:7">
      <c r="A685" s="1">
        <v>684</v>
      </c>
      <c r="B685" s="1" t="s">
        <v>180</v>
      </c>
      <c r="C685" s="2">
        <v>3.3016688113970498E-6</v>
      </c>
      <c r="G685" s="26">
        <v>2.8399999999999999E-5</v>
      </c>
    </row>
    <row r="686" spans="1:7">
      <c r="A686" s="1">
        <v>685</v>
      </c>
      <c r="B686" s="1" t="s">
        <v>4</v>
      </c>
      <c r="C686" s="2">
        <v>7.4546161170668204E-6</v>
      </c>
      <c r="G686" s="26">
        <v>2.6699999999999998E-5</v>
      </c>
    </row>
    <row r="687" spans="1:7">
      <c r="A687" s="1">
        <v>686</v>
      </c>
      <c r="B687" s="1" t="s">
        <v>180</v>
      </c>
      <c r="C687" s="2">
        <v>2.6735609213516999E-7</v>
      </c>
      <c r="G687" s="26">
        <v>2.3E-5</v>
      </c>
    </row>
    <row r="688" spans="1:7">
      <c r="A688" s="1">
        <v>687</v>
      </c>
      <c r="B688" s="1" t="s">
        <v>4</v>
      </c>
      <c r="C688" s="2">
        <v>2.5705356970094701E-5</v>
      </c>
      <c r="G688" s="26">
        <v>1.9199999999999998E-6</v>
      </c>
    </row>
    <row r="689" spans="1:7">
      <c r="A689" s="1">
        <v>688</v>
      </c>
      <c r="B689" s="1" t="s">
        <v>180</v>
      </c>
      <c r="C689" s="2">
        <v>8.1099826949487298E-7</v>
      </c>
      <c r="G689" s="26">
        <v>3.0499999999999999E-5</v>
      </c>
    </row>
    <row r="690" spans="1:7">
      <c r="A690" s="1">
        <v>689</v>
      </c>
      <c r="B690" s="1" t="s">
        <v>4</v>
      </c>
      <c r="C690" s="2">
        <v>1.7271185550199599E-5</v>
      </c>
      <c r="G690" s="26">
        <v>8.2900000000000002E-6</v>
      </c>
    </row>
    <row r="691" spans="1:7">
      <c r="A691" s="1">
        <v>690</v>
      </c>
      <c r="B691" s="1" t="s">
        <v>4</v>
      </c>
      <c r="C691" s="2">
        <v>3.1207601723465699E-5</v>
      </c>
      <c r="G691" s="26">
        <v>1.17E-5</v>
      </c>
    </row>
    <row r="692" spans="1:7">
      <c r="A692" s="1">
        <v>691</v>
      </c>
      <c r="B692" s="1" t="s">
        <v>4</v>
      </c>
      <c r="C692" s="2">
        <v>2.8436762901135101E-5</v>
      </c>
      <c r="G692" s="26">
        <v>2.8099999999999999E-5</v>
      </c>
    </row>
    <row r="693" spans="1:7">
      <c r="A693" s="1">
        <v>692</v>
      </c>
      <c r="B693" s="1" t="s">
        <v>180</v>
      </c>
      <c r="C693" s="2">
        <v>4.7823851513336998E-6</v>
      </c>
      <c r="G693" s="26">
        <v>2.97E-5</v>
      </c>
    </row>
    <row r="694" spans="1:7">
      <c r="A694" s="1">
        <v>693</v>
      </c>
      <c r="B694" s="1" t="s">
        <v>180</v>
      </c>
      <c r="C694" s="2">
        <v>2.6178906303677398E-6</v>
      </c>
      <c r="G694" s="26">
        <v>3.0599999999999998E-5</v>
      </c>
    </row>
    <row r="695" spans="1:7">
      <c r="A695" s="1">
        <v>694</v>
      </c>
      <c r="B695" s="1" t="s">
        <v>4</v>
      </c>
      <c r="C695" s="2">
        <v>2.1740004404695499E-5</v>
      </c>
      <c r="G695" s="26">
        <v>2.9300000000000001E-5</v>
      </c>
    </row>
    <row r="696" spans="1:7">
      <c r="A696" s="1">
        <v>695</v>
      </c>
      <c r="B696" s="1" t="s">
        <v>180</v>
      </c>
      <c r="C696" s="2">
        <v>1.41100450245809E-6</v>
      </c>
      <c r="G696" s="26">
        <v>1.06E-6</v>
      </c>
    </row>
    <row r="697" spans="1:7">
      <c r="A697" s="1">
        <v>696</v>
      </c>
      <c r="B697" s="1" t="s">
        <v>4</v>
      </c>
      <c r="C697" s="2">
        <v>3.1156357658124598E-5</v>
      </c>
      <c r="G697" s="26">
        <v>9.5899999999999997E-6</v>
      </c>
    </row>
    <row r="698" spans="1:7">
      <c r="A698" s="1">
        <v>697</v>
      </c>
      <c r="B698" s="1" t="s">
        <v>4</v>
      </c>
      <c r="C698" s="2">
        <v>2.1907502406732399E-5</v>
      </c>
      <c r="G698" s="26">
        <v>3.0700000000000001E-5</v>
      </c>
    </row>
    <row r="699" spans="1:7">
      <c r="A699" s="1">
        <v>698</v>
      </c>
      <c r="B699" s="1" t="s">
        <v>4</v>
      </c>
      <c r="C699" s="2">
        <v>1.14014488378363E-6</v>
      </c>
      <c r="G699" s="26">
        <v>3.1199999999999999E-5</v>
      </c>
    </row>
    <row r="700" spans="1:7">
      <c r="A700" s="1">
        <v>699</v>
      </c>
      <c r="B700" s="1" t="s">
        <v>4</v>
      </c>
      <c r="C700" s="2">
        <v>1.46968094935638E-5</v>
      </c>
      <c r="G700" s="26">
        <v>2.0299999999999999E-5</v>
      </c>
    </row>
    <row r="701" spans="1:7">
      <c r="A701" s="1">
        <v>700</v>
      </c>
      <c r="B701" s="1" t="s">
        <v>180</v>
      </c>
      <c r="C701" s="2">
        <v>3.7068885823751999E-6</v>
      </c>
      <c r="G701" s="26">
        <v>2.6100000000000001E-5</v>
      </c>
    </row>
    <row r="702" spans="1:7">
      <c r="A702" s="1">
        <v>701</v>
      </c>
      <c r="B702" s="1" t="s">
        <v>4</v>
      </c>
      <c r="C702" s="2">
        <v>3.1170724364084497E-5</v>
      </c>
      <c r="G702" s="26">
        <v>2.7800000000000001E-5</v>
      </c>
    </row>
    <row r="703" spans="1:7">
      <c r="A703" s="1">
        <v>702</v>
      </c>
      <c r="B703" s="1" t="s">
        <v>180</v>
      </c>
      <c r="C703" s="2">
        <v>1.10927138883065E-5</v>
      </c>
      <c r="G703" s="26">
        <v>1.6399999999999999E-5</v>
      </c>
    </row>
    <row r="704" spans="1:7">
      <c r="A704" s="1">
        <v>703</v>
      </c>
      <c r="B704" s="1" t="s">
        <v>4</v>
      </c>
      <c r="C704" s="2">
        <v>2.5247497184842999E-5</v>
      </c>
      <c r="G704" s="26">
        <v>7.6299999999999998E-6</v>
      </c>
    </row>
    <row r="705" spans="1:7">
      <c r="A705" s="1">
        <v>704</v>
      </c>
      <c r="B705" s="1" t="s">
        <v>180</v>
      </c>
      <c r="C705" s="2">
        <v>2.7010185664112699E-6</v>
      </c>
      <c r="G705" s="26">
        <v>1.5800000000000001E-5</v>
      </c>
    </row>
    <row r="706" spans="1:7">
      <c r="A706" s="1">
        <v>705</v>
      </c>
      <c r="B706" s="1" t="s">
        <v>4</v>
      </c>
      <c r="C706" s="2">
        <v>2.2401375737519401E-5</v>
      </c>
      <c r="G706" s="26">
        <v>2.2799999999999999E-5</v>
      </c>
    </row>
    <row r="707" spans="1:7">
      <c r="A707" s="1">
        <v>706</v>
      </c>
      <c r="B707" s="1" t="s">
        <v>4</v>
      </c>
      <c r="C707" s="2">
        <v>2.2882747589037901E-5</v>
      </c>
      <c r="G707" s="26">
        <v>2.44E-5</v>
      </c>
    </row>
    <row r="708" spans="1:7">
      <c r="A708" s="1">
        <v>707</v>
      </c>
      <c r="B708" s="1" t="s">
        <v>4</v>
      </c>
      <c r="C708" s="2">
        <v>2.3563550008235199E-5</v>
      </c>
      <c r="G708" s="26">
        <v>3.04E-5</v>
      </c>
    </row>
    <row r="709" spans="1:7">
      <c r="A709" s="1">
        <v>708</v>
      </c>
      <c r="B709" s="1" t="s">
        <v>4</v>
      </c>
      <c r="C709" s="2">
        <v>2.8862966052365401E-5</v>
      </c>
      <c r="G709" s="26">
        <v>3.0899999999999999E-5</v>
      </c>
    </row>
    <row r="710" spans="1:7">
      <c r="A710" s="1">
        <v>709</v>
      </c>
      <c r="B710" s="1" t="s">
        <v>4</v>
      </c>
      <c r="C710" s="2">
        <v>2.22297121656218E-5</v>
      </c>
      <c r="G710" s="26">
        <v>1.72E-6</v>
      </c>
    </row>
    <row r="711" spans="1:7">
      <c r="A711" s="1">
        <v>710</v>
      </c>
      <c r="B711" s="1" t="s">
        <v>4</v>
      </c>
      <c r="C711" s="2">
        <v>2.72580702623648E-5</v>
      </c>
      <c r="G711" s="26">
        <v>3.1099999999999997E-5</v>
      </c>
    </row>
    <row r="712" spans="1:7">
      <c r="A712" s="1">
        <v>711</v>
      </c>
      <c r="B712" s="1" t="s">
        <v>4</v>
      </c>
      <c r="C712" s="2">
        <v>1.6221132724220899E-5</v>
      </c>
      <c r="G712" s="26">
        <v>2.0000000000000002E-5</v>
      </c>
    </row>
    <row r="713" spans="1:7">
      <c r="A713" s="1">
        <v>712</v>
      </c>
      <c r="B713" s="1" t="s">
        <v>4</v>
      </c>
      <c r="C713" s="2">
        <v>2.2886592700212298E-5</v>
      </c>
      <c r="G713" s="26">
        <v>2.5899999999999999E-5</v>
      </c>
    </row>
    <row r="714" spans="1:7">
      <c r="A714" s="1">
        <v>713</v>
      </c>
      <c r="B714" s="1" t="s">
        <v>180</v>
      </c>
      <c r="C714" s="2">
        <v>2.4418720175490599E-5</v>
      </c>
      <c r="G714" s="26">
        <v>3.1000000000000001E-5</v>
      </c>
    </row>
    <row r="715" spans="1:7">
      <c r="A715" s="1">
        <v>714</v>
      </c>
      <c r="B715" s="1" t="s">
        <v>180</v>
      </c>
      <c r="C715" s="2">
        <v>1.56228510468648E-6</v>
      </c>
      <c r="G715" s="26">
        <v>3.1099999999999997E-5</v>
      </c>
    </row>
    <row r="716" spans="1:7">
      <c r="A716" s="1">
        <v>715</v>
      </c>
      <c r="B716" s="1" t="s">
        <v>4</v>
      </c>
      <c r="C716" s="2">
        <v>3.0847515836919902E-5</v>
      </c>
      <c r="G716" s="26">
        <v>1.5999999999999999E-6</v>
      </c>
    </row>
    <row r="717" spans="1:7">
      <c r="A717" s="1">
        <v>716</v>
      </c>
      <c r="B717" s="1" t="s">
        <v>4</v>
      </c>
      <c r="C717" s="2">
        <v>2.5568753305194099E-5</v>
      </c>
      <c r="G717" s="26">
        <v>2.8799999999999999E-5</v>
      </c>
    </row>
    <row r="718" spans="1:7">
      <c r="A718" s="1">
        <v>717</v>
      </c>
      <c r="B718" s="1" t="s">
        <v>180</v>
      </c>
      <c r="C718" s="2">
        <v>2.6597900061209699E-5</v>
      </c>
      <c r="G718" s="26">
        <v>3.1000000000000001E-5</v>
      </c>
    </row>
    <row r="719" spans="1:7">
      <c r="A719" s="1">
        <v>718</v>
      </c>
      <c r="B719" s="1" t="s">
        <v>180</v>
      </c>
      <c r="C719" s="2">
        <v>1.59507334671814E-6</v>
      </c>
      <c r="G719" s="26">
        <v>4.4900000000000002E-6</v>
      </c>
    </row>
    <row r="720" spans="1:7">
      <c r="A720" s="1">
        <v>719</v>
      </c>
      <c r="B720" s="1" t="s">
        <v>180</v>
      </c>
      <c r="C720" s="2">
        <v>3.81886379784784E-7</v>
      </c>
      <c r="G720" s="26">
        <v>4.3599999999999998E-6</v>
      </c>
    </row>
    <row r="721" spans="1:7">
      <c r="A721" s="1">
        <v>720</v>
      </c>
      <c r="B721" s="1" t="s">
        <v>4</v>
      </c>
      <c r="C721" s="2">
        <v>2.9481279121196799E-5</v>
      </c>
      <c r="G721" s="26">
        <v>2.2099999999999998E-5</v>
      </c>
    </row>
    <row r="722" spans="1:7">
      <c r="A722" s="1">
        <v>721</v>
      </c>
      <c r="B722" s="1" t="s">
        <v>4</v>
      </c>
      <c r="C722" s="2">
        <v>2.62299207552998E-5</v>
      </c>
    </row>
    <row r="723" spans="1:7">
      <c r="A723" s="1">
        <v>722</v>
      </c>
      <c r="B723" s="1" t="s">
        <v>4</v>
      </c>
      <c r="C723" s="2">
        <v>3.5588175071480002E-6</v>
      </c>
    </row>
    <row r="724" spans="1:7">
      <c r="A724" s="1">
        <v>723</v>
      </c>
      <c r="B724" s="1" t="s">
        <v>4</v>
      </c>
      <c r="C724" s="2">
        <v>7.9238332986093997E-7</v>
      </c>
    </row>
    <row r="725" spans="1:7">
      <c r="A725" s="1">
        <v>724</v>
      </c>
      <c r="B725" s="1" t="s">
        <v>180</v>
      </c>
      <c r="C725" s="2">
        <v>4.6834365702381698E-6</v>
      </c>
    </row>
    <row r="726" spans="1:7">
      <c r="A726" s="1">
        <v>725</v>
      </c>
      <c r="B726" s="1" t="s">
        <v>180</v>
      </c>
      <c r="C726" s="2">
        <v>1.16590796403265E-7</v>
      </c>
    </row>
    <row r="727" spans="1:7">
      <c r="A727" s="1">
        <v>726</v>
      </c>
      <c r="B727" s="1" t="s">
        <v>4</v>
      </c>
      <c r="C727" s="2">
        <v>1.67144591569489E-6</v>
      </c>
    </row>
    <row r="728" spans="1:7">
      <c r="A728" s="1">
        <v>727</v>
      </c>
      <c r="B728" s="1" t="s">
        <v>4</v>
      </c>
      <c r="C728" s="2">
        <v>2.6487871632572501E-5</v>
      </c>
    </row>
    <row r="729" spans="1:7">
      <c r="A729" s="1">
        <v>728</v>
      </c>
      <c r="B729" s="1" t="s">
        <v>4</v>
      </c>
      <c r="C729" s="2">
        <v>7.5567244215933402E-6</v>
      </c>
    </row>
    <row r="730" spans="1:7">
      <c r="A730" s="1">
        <v>729</v>
      </c>
      <c r="B730" s="1" t="s">
        <v>4</v>
      </c>
      <c r="C730" s="2">
        <v>2.12754939181667E-5</v>
      </c>
    </row>
    <row r="731" spans="1:7">
      <c r="A731" s="1">
        <v>730</v>
      </c>
      <c r="B731" s="1" t="s">
        <v>4</v>
      </c>
      <c r="C731" s="2">
        <v>2.6251336066095501E-5</v>
      </c>
    </row>
    <row r="732" spans="1:7">
      <c r="A732" s="1">
        <v>731</v>
      </c>
      <c r="B732" s="1" t="s">
        <v>4</v>
      </c>
      <c r="C732" s="2">
        <v>1.6181825277640198E-5</v>
      </c>
    </row>
    <row r="733" spans="1:7">
      <c r="A733" s="1">
        <v>732</v>
      </c>
      <c r="B733" s="1" t="s">
        <v>4</v>
      </c>
      <c r="C733" s="2">
        <v>2.1035769365137198E-6</v>
      </c>
    </row>
    <row r="734" spans="1:7">
      <c r="A734" s="1">
        <v>733</v>
      </c>
      <c r="B734" s="1" t="s">
        <v>180</v>
      </c>
      <c r="C734" s="2">
        <v>1.2102546483534299E-6</v>
      </c>
    </row>
    <row r="735" spans="1:7">
      <c r="A735" s="1">
        <v>734</v>
      </c>
      <c r="B735" s="1" t="s">
        <v>4</v>
      </c>
      <c r="C735" s="2">
        <v>3.05979987701324E-5</v>
      </c>
    </row>
    <row r="736" spans="1:7">
      <c r="A736" s="1">
        <v>735</v>
      </c>
      <c r="B736" s="1" t="s">
        <v>4</v>
      </c>
      <c r="C736" s="2">
        <v>2.5259934116759099E-5</v>
      </c>
    </row>
    <row r="737" spans="1:3">
      <c r="A737" s="1">
        <v>736</v>
      </c>
      <c r="B737" s="1" t="s">
        <v>4</v>
      </c>
      <c r="C737" s="2">
        <v>2.4431632067797499E-5</v>
      </c>
    </row>
    <row r="738" spans="1:3">
      <c r="A738" s="1">
        <v>737</v>
      </c>
      <c r="B738" s="1" t="s">
        <v>4</v>
      </c>
      <c r="C738" s="2">
        <v>1.0028596577873199E-6</v>
      </c>
    </row>
    <row r="739" spans="1:3">
      <c r="A739" s="1">
        <v>738</v>
      </c>
      <c r="B739" s="1" t="s">
        <v>180</v>
      </c>
      <c r="C739" s="2">
        <v>1.00767796770868E-6</v>
      </c>
    </row>
    <row r="740" spans="1:3">
      <c r="A740" s="1">
        <v>739</v>
      </c>
      <c r="B740" s="1" t="s">
        <v>4</v>
      </c>
      <c r="C740" s="2">
        <v>5.9176753341881097E-6</v>
      </c>
    </row>
    <row r="741" spans="1:3">
      <c r="A741" s="1">
        <v>740</v>
      </c>
      <c r="B741" s="1" t="s">
        <v>4</v>
      </c>
      <c r="C741" s="2">
        <v>5.4481415914565003E-7</v>
      </c>
    </row>
    <row r="742" spans="1:3">
      <c r="A742" s="1">
        <v>741</v>
      </c>
      <c r="B742" s="1" t="s">
        <v>4</v>
      </c>
      <c r="C742" s="2">
        <v>2.8570215790171101E-5</v>
      </c>
    </row>
    <row r="743" spans="1:3">
      <c r="A743" s="1">
        <v>742</v>
      </c>
      <c r="B743" s="1" t="s">
        <v>180</v>
      </c>
      <c r="C743" s="2">
        <v>2.9301392045110898E-7</v>
      </c>
    </row>
    <row r="744" spans="1:3">
      <c r="A744" s="1">
        <v>743</v>
      </c>
      <c r="B744" s="1" t="s">
        <v>4</v>
      </c>
      <c r="C744" s="2">
        <v>2.54447601332492E-5</v>
      </c>
    </row>
    <row r="745" spans="1:3">
      <c r="A745" s="1">
        <v>744</v>
      </c>
      <c r="B745" s="1" t="s">
        <v>4</v>
      </c>
      <c r="C745" s="2">
        <v>3.0820743908271497E-5</v>
      </c>
    </row>
    <row r="746" spans="1:3">
      <c r="A746" s="1">
        <v>745</v>
      </c>
      <c r="B746" s="1" t="s">
        <v>4</v>
      </c>
      <c r="C746" s="2">
        <v>3.0665256056014898E-5</v>
      </c>
    </row>
    <row r="747" spans="1:3">
      <c r="A747" s="1">
        <v>746</v>
      </c>
      <c r="B747" s="1" t="s">
        <v>180</v>
      </c>
      <c r="C747" s="2">
        <v>5.4801210235933504E-7</v>
      </c>
    </row>
    <row r="748" spans="1:3">
      <c r="A748" s="1">
        <v>747</v>
      </c>
      <c r="B748" s="1" t="s">
        <v>4</v>
      </c>
      <c r="C748" s="2">
        <v>3.0778900109622697E-5</v>
      </c>
    </row>
    <row r="749" spans="1:3">
      <c r="A749" s="1">
        <v>748</v>
      </c>
      <c r="B749" s="1" t="s">
        <v>4</v>
      </c>
      <c r="C749" s="2">
        <v>3.12435032645141E-5</v>
      </c>
    </row>
    <row r="750" spans="1:3">
      <c r="A750" s="1">
        <v>749</v>
      </c>
      <c r="B750" s="1" t="s">
        <v>4</v>
      </c>
      <c r="C750" s="2">
        <v>3.0218960328553201E-5</v>
      </c>
    </row>
    <row r="751" spans="1:3">
      <c r="A751" s="1">
        <v>750</v>
      </c>
      <c r="B751" s="1" t="s">
        <v>4</v>
      </c>
      <c r="C751" s="2">
        <v>1.0796354426034301E-5</v>
      </c>
    </row>
    <row r="752" spans="1:3">
      <c r="A752" s="1">
        <v>751</v>
      </c>
      <c r="B752" s="1" t="s">
        <v>4</v>
      </c>
      <c r="C752" s="2">
        <v>2.72188494830826E-5</v>
      </c>
    </row>
    <row r="753" spans="1:3">
      <c r="A753" s="1">
        <v>752</v>
      </c>
      <c r="B753" s="1" t="s">
        <v>4</v>
      </c>
      <c r="C753" s="2">
        <v>2.3961114436251001E-6</v>
      </c>
    </row>
    <row r="754" spans="1:3">
      <c r="A754" s="1">
        <v>753</v>
      </c>
      <c r="B754" s="1" t="s">
        <v>4</v>
      </c>
      <c r="C754" s="2">
        <v>2.8289007983781099E-5</v>
      </c>
    </row>
    <row r="755" spans="1:3">
      <c r="A755" s="1">
        <v>754</v>
      </c>
      <c r="B755" s="1" t="s">
        <v>4</v>
      </c>
      <c r="C755" s="2">
        <v>1.31305657952783E-6</v>
      </c>
    </row>
    <row r="756" spans="1:3">
      <c r="A756" s="1">
        <v>755</v>
      </c>
      <c r="B756" s="1" t="s">
        <v>4</v>
      </c>
      <c r="C756" s="2">
        <v>2.8949843685900799E-5</v>
      </c>
    </row>
    <row r="757" spans="1:3">
      <c r="A757" s="1">
        <v>756</v>
      </c>
      <c r="B757" s="1" t="s">
        <v>4</v>
      </c>
      <c r="C757" s="2">
        <v>3.0490296370046801E-5</v>
      </c>
    </row>
    <row r="758" spans="1:3">
      <c r="A758" s="1">
        <v>757</v>
      </c>
      <c r="B758" s="1" t="s">
        <v>4</v>
      </c>
      <c r="C758" s="2">
        <v>7.1032432804260596E-6</v>
      </c>
    </row>
    <row r="759" spans="1:3">
      <c r="A759" s="1">
        <v>758</v>
      </c>
      <c r="B759" s="1" t="s">
        <v>4</v>
      </c>
      <c r="C759" s="2">
        <v>3.1121150123634602E-5</v>
      </c>
    </row>
    <row r="760" spans="1:3">
      <c r="A760" s="1">
        <v>759</v>
      </c>
      <c r="B760" s="1" t="s">
        <v>4</v>
      </c>
      <c r="C760" s="2">
        <v>2.4477791016354499E-5</v>
      </c>
    </row>
    <row r="761" spans="1:3">
      <c r="A761" s="1">
        <v>760</v>
      </c>
      <c r="B761" s="1" t="s">
        <v>4</v>
      </c>
      <c r="C761" s="2">
        <v>6.2590297469664797E-7</v>
      </c>
    </row>
    <row r="762" spans="1:3">
      <c r="A762" s="1">
        <v>761</v>
      </c>
      <c r="B762" s="1" t="s">
        <v>4</v>
      </c>
      <c r="C762" s="2">
        <v>3.1195078939593003E-5</v>
      </c>
    </row>
    <row r="763" spans="1:3">
      <c r="A763" s="1">
        <v>762</v>
      </c>
      <c r="B763" s="1" t="s">
        <v>180</v>
      </c>
      <c r="C763" s="2">
        <v>2.0504356784289302E-6</v>
      </c>
    </row>
    <row r="764" spans="1:3">
      <c r="A764" s="1">
        <v>763</v>
      </c>
      <c r="B764" s="1" t="s">
        <v>4</v>
      </c>
      <c r="C764" s="2">
        <v>5.7790810021193399E-6</v>
      </c>
    </row>
    <row r="765" spans="1:3">
      <c r="A765" s="1">
        <v>764</v>
      </c>
      <c r="B765" s="1" t="s">
        <v>180</v>
      </c>
      <c r="C765" s="2">
        <v>2.3298970081997999E-6</v>
      </c>
    </row>
    <row r="766" spans="1:3">
      <c r="A766" s="1">
        <v>765</v>
      </c>
      <c r="B766" s="1" t="s">
        <v>4</v>
      </c>
      <c r="C766" s="2">
        <v>2.0831066356890602E-5</v>
      </c>
    </row>
    <row r="767" spans="1:3">
      <c r="A767" s="1">
        <v>766</v>
      </c>
      <c r="B767" s="1" t="s">
        <v>180</v>
      </c>
      <c r="C767" s="2">
        <v>3.7311007521862798E-6</v>
      </c>
    </row>
    <row r="768" spans="1:3">
      <c r="A768" s="1">
        <v>767</v>
      </c>
      <c r="B768" s="1" t="s">
        <v>4</v>
      </c>
      <c r="C768" s="2">
        <v>1.1874148280061E-6</v>
      </c>
    </row>
    <row r="769" spans="1:3">
      <c r="A769" s="1">
        <v>768</v>
      </c>
      <c r="B769" s="1" t="s">
        <v>180</v>
      </c>
      <c r="C769" s="2">
        <v>8.1787417369547094E-6</v>
      </c>
    </row>
    <row r="770" spans="1:3">
      <c r="A770" s="1">
        <v>769</v>
      </c>
      <c r="B770" s="1" t="s">
        <v>180</v>
      </c>
      <c r="C770" s="2">
        <v>1.9389986123297801E-7</v>
      </c>
    </row>
    <row r="771" spans="1:3">
      <c r="A771" s="1">
        <v>770</v>
      </c>
      <c r="B771" s="1" t="s">
        <v>4</v>
      </c>
      <c r="C771" s="2">
        <v>1.8135554628617201E-5</v>
      </c>
    </row>
    <row r="772" spans="1:3">
      <c r="A772" s="1">
        <v>771</v>
      </c>
      <c r="B772" s="1" t="s">
        <v>4</v>
      </c>
      <c r="C772" s="2">
        <v>6.0345345603272397E-6</v>
      </c>
    </row>
    <row r="773" spans="1:3">
      <c r="A773" s="1">
        <v>772</v>
      </c>
      <c r="B773" s="1" t="s">
        <v>4</v>
      </c>
      <c r="C773" s="2">
        <v>2.5426261826413002E-5</v>
      </c>
    </row>
    <row r="774" spans="1:3">
      <c r="A774" s="1">
        <v>773</v>
      </c>
      <c r="B774" s="1" t="s">
        <v>180</v>
      </c>
      <c r="C774" s="2">
        <v>1.29706551575828E-6</v>
      </c>
    </row>
    <row r="775" spans="1:3">
      <c r="A775" s="1">
        <v>774</v>
      </c>
      <c r="B775" s="1" t="s">
        <v>180</v>
      </c>
      <c r="C775" s="2">
        <v>4.9986756351109799E-6</v>
      </c>
    </row>
    <row r="776" spans="1:3">
      <c r="A776" s="1">
        <v>775</v>
      </c>
      <c r="B776" s="1" t="s">
        <v>180</v>
      </c>
      <c r="C776" s="2">
        <v>1.39718081920874E-5</v>
      </c>
    </row>
    <row r="777" spans="1:3">
      <c r="A777" s="1">
        <v>776</v>
      </c>
      <c r="B777" s="1" t="s">
        <v>180</v>
      </c>
      <c r="C777" s="2">
        <v>4.3011834379620198E-7</v>
      </c>
    </row>
    <row r="778" spans="1:3">
      <c r="A778" s="1">
        <v>777</v>
      </c>
      <c r="B778" s="1" t="s">
        <v>4</v>
      </c>
      <c r="C778" s="2">
        <v>2.5770770373932498E-5</v>
      </c>
    </row>
    <row r="779" spans="1:3">
      <c r="A779" s="1">
        <v>778</v>
      </c>
      <c r="B779" s="1" t="s">
        <v>180</v>
      </c>
      <c r="C779" s="2">
        <v>2.17238146334725E-6</v>
      </c>
    </row>
    <row r="780" spans="1:3">
      <c r="A780" s="1">
        <v>779</v>
      </c>
      <c r="B780" s="1" t="s">
        <v>4</v>
      </c>
      <c r="C780" s="2">
        <v>2.9718878808605899E-5</v>
      </c>
    </row>
    <row r="781" spans="1:3">
      <c r="A781" s="1">
        <v>780</v>
      </c>
      <c r="B781" s="1" t="s">
        <v>180</v>
      </c>
      <c r="C781" s="2">
        <v>1.9197788247036401E-6</v>
      </c>
    </row>
    <row r="782" spans="1:3">
      <c r="A782" s="1">
        <v>781</v>
      </c>
      <c r="B782" s="1" t="s">
        <v>4</v>
      </c>
      <c r="C782" s="2">
        <v>1.4579399020434299E-5</v>
      </c>
    </row>
    <row r="783" spans="1:3">
      <c r="A783" s="1">
        <v>782</v>
      </c>
      <c r="B783" s="1" t="s">
        <v>4</v>
      </c>
      <c r="C783" s="2">
        <v>1.0778530416391701E-5</v>
      </c>
    </row>
    <row r="784" spans="1:3">
      <c r="A784" s="1">
        <v>783</v>
      </c>
      <c r="B784" s="1" t="s">
        <v>4</v>
      </c>
      <c r="C784" s="2">
        <v>2.5201495821989099E-5</v>
      </c>
    </row>
    <row r="785" spans="1:3">
      <c r="A785" s="1">
        <v>784</v>
      </c>
      <c r="B785" s="1" t="s">
        <v>180</v>
      </c>
      <c r="C785" s="2">
        <v>1.5889511278681601E-6</v>
      </c>
    </row>
    <row r="786" spans="1:3">
      <c r="A786" s="1">
        <v>785</v>
      </c>
      <c r="B786" s="1" t="s">
        <v>4</v>
      </c>
      <c r="C786" s="2">
        <v>1.5467685260874601E-6</v>
      </c>
    </row>
    <row r="787" spans="1:3">
      <c r="A787" s="1">
        <v>786</v>
      </c>
      <c r="B787" s="1" t="s">
        <v>4</v>
      </c>
      <c r="C787" s="2">
        <v>2.2861021114414999E-5</v>
      </c>
    </row>
    <row r="788" spans="1:3">
      <c r="A788" s="1">
        <v>787</v>
      </c>
      <c r="B788" s="1" t="s">
        <v>4</v>
      </c>
      <c r="C788" s="2">
        <v>1.22797538175817E-6</v>
      </c>
    </row>
    <row r="789" spans="1:3">
      <c r="A789" s="1">
        <v>788</v>
      </c>
      <c r="B789" s="1" t="s">
        <v>180</v>
      </c>
      <c r="C789" s="2">
        <v>3.4914056882066498E-6</v>
      </c>
    </row>
    <row r="790" spans="1:3">
      <c r="A790" s="1">
        <v>789</v>
      </c>
      <c r="B790" s="1" t="s">
        <v>180</v>
      </c>
      <c r="C790" s="2">
        <v>4.2148511090244196E-6</v>
      </c>
    </row>
    <row r="791" spans="1:3">
      <c r="A791" s="1">
        <v>790</v>
      </c>
      <c r="B791" s="1" t="s">
        <v>180</v>
      </c>
      <c r="C791" s="2">
        <v>7.9423681008229102E-7</v>
      </c>
    </row>
    <row r="792" spans="1:3">
      <c r="A792" s="1">
        <v>791</v>
      </c>
      <c r="B792" s="1" t="s">
        <v>4</v>
      </c>
      <c r="C792" s="2">
        <v>3.0436458364090899E-5</v>
      </c>
    </row>
    <row r="793" spans="1:3">
      <c r="A793" s="1">
        <v>792</v>
      </c>
      <c r="B793" s="1" t="s">
        <v>180</v>
      </c>
      <c r="C793" s="2">
        <v>1.0685333844869899E-6</v>
      </c>
    </row>
    <row r="794" spans="1:3">
      <c r="A794" s="1">
        <v>793</v>
      </c>
      <c r="B794" s="1" t="s">
        <v>4</v>
      </c>
      <c r="C794" s="2">
        <v>3.0209575221536098E-5</v>
      </c>
    </row>
    <row r="795" spans="1:3">
      <c r="A795" s="1">
        <v>794</v>
      </c>
      <c r="B795" s="1" t="s">
        <v>4</v>
      </c>
      <c r="C795" s="2">
        <v>1.4944504858528401E-5</v>
      </c>
    </row>
    <row r="796" spans="1:3">
      <c r="A796" s="1">
        <v>795</v>
      </c>
      <c r="B796" s="1" t="s">
        <v>180</v>
      </c>
      <c r="C796" s="2">
        <v>6.9198891007831602E-6</v>
      </c>
    </row>
    <row r="797" spans="1:3">
      <c r="A797" s="1">
        <v>796</v>
      </c>
      <c r="B797" s="1" t="s">
        <v>4</v>
      </c>
      <c r="C797" s="2">
        <v>2.8398417829369399E-5</v>
      </c>
    </row>
    <row r="798" spans="1:3">
      <c r="A798" s="1">
        <v>797</v>
      </c>
      <c r="B798" s="1" t="s">
        <v>4</v>
      </c>
      <c r="C798" s="2">
        <v>2.67224864866783E-5</v>
      </c>
    </row>
    <row r="799" spans="1:3">
      <c r="A799" s="1">
        <v>798</v>
      </c>
      <c r="B799" s="1" t="s">
        <v>4</v>
      </c>
      <c r="C799" s="2">
        <v>2.2990664913847501E-5</v>
      </c>
    </row>
    <row r="800" spans="1:3">
      <c r="A800" s="1">
        <v>799</v>
      </c>
      <c r="B800" s="1" t="s">
        <v>4</v>
      </c>
      <c r="C800" s="2">
        <v>1.92168362784826E-6</v>
      </c>
    </row>
    <row r="801" spans="1:3">
      <c r="A801" s="1">
        <v>800</v>
      </c>
      <c r="B801" s="1" t="s">
        <v>4</v>
      </c>
      <c r="C801" s="2">
        <v>3.0517107286848899E-5</v>
      </c>
    </row>
    <row r="802" spans="1:3">
      <c r="A802" s="1">
        <v>801</v>
      </c>
      <c r="B802" s="1" t="s">
        <v>180</v>
      </c>
      <c r="C802" s="2">
        <v>4.8611002984876597E-6</v>
      </c>
    </row>
    <row r="803" spans="1:3">
      <c r="A803" s="1">
        <v>802</v>
      </c>
      <c r="B803" s="1" t="s">
        <v>180</v>
      </c>
      <c r="C803" s="2">
        <v>6.7803106582322399E-6</v>
      </c>
    </row>
    <row r="804" spans="1:3">
      <c r="A804" s="1">
        <v>803</v>
      </c>
      <c r="B804" s="1" t="s">
        <v>180</v>
      </c>
      <c r="C804" s="2">
        <v>4.1206804738299301E-7</v>
      </c>
    </row>
    <row r="805" spans="1:3">
      <c r="A805" s="1">
        <v>804</v>
      </c>
      <c r="B805" s="1" t="s">
        <v>4</v>
      </c>
      <c r="C805" s="2">
        <v>8.2868587737457901E-6</v>
      </c>
    </row>
    <row r="806" spans="1:3">
      <c r="A806" s="1">
        <v>805</v>
      </c>
      <c r="B806" s="1" t="s">
        <v>180</v>
      </c>
      <c r="C806" s="2">
        <v>1.0555630394397299E-6</v>
      </c>
    </row>
    <row r="807" spans="1:3">
      <c r="A807" s="1">
        <v>806</v>
      </c>
      <c r="B807" s="1" t="s">
        <v>180</v>
      </c>
      <c r="C807" s="2">
        <v>4.14192288376414E-6</v>
      </c>
    </row>
    <row r="808" spans="1:3">
      <c r="A808" s="1">
        <v>807</v>
      </c>
      <c r="B808" s="1" t="s">
        <v>4</v>
      </c>
      <c r="C808" s="2">
        <v>1.16592202911801E-5</v>
      </c>
    </row>
    <row r="809" spans="1:3">
      <c r="A809" s="1">
        <v>808</v>
      </c>
      <c r="B809" s="1" t="s">
        <v>4</v>
      </c>
      <c r="C809" s="2">
        <v>2.8143280912856099E-5</v>
      </c>
    </row>
    <row r="810" spans="1:3">
      <c r="A810" s="1">
        <v>809</v>
      </c>
      <c r="B810" s="1" t="s">
        <v>4</v>
      </c>
      <c r="C810" s="2">
        <v>2.96975533585363E-5</v>
      </c>
    </row>
    <row r="811" spans="1:3">
      <c r="A811" s="1">
        <v>810</v>
      </c>
      <c r="B811" s="1" t="s">
        <v>4</v>
      </c>
      <c r="C811" s="2">
        <v>3.0552005090916297E-5</v>
      </c>
    </row>
    <row r="812" spans="1:3">
      <c r="A812" s="1">
        <v>811</v>
      </c>
      <c r="B812" s="1" t="s">
        <v>180</v>
      </c>
      <c r="C812" s="2">
        <v>2.5120405745385099E-6</v>
      </c>
    </row>
    <row r="813" spans="1:3">
      <c r="A813" s="1">
        <v>812</v>
      </c>
      <c r="B813" s="1" t="s">
        <v>180</v>
      </c>
      <c r="C813" s="2">
        <v>4.5832457688389696E-6</v>
      </c>
    </row>
    <row r="814" spans="1:3">
      <c r="A814" s="1">
        <v>813</v>
      </c>
      <c r="B814" s="1" t="s">
        <v>4</v>
      </c>
      <c r="C814" s="2">
        <v>2.9296669520518499E-5</v>
      </c>
    </row>
    <row r="815" spans="1:3">
      <c r="A815" s="1">
        <v>814</v>
      </c>
      <c r="B815" s="1" t="s">
        <v>180</v>
      </c>
      <c r="C815" s="2">
        <v>5.5996603497717097E-6</v>
      </c>
    </row>
    <row r="816" spans="1:3">
      <c r="A816" s="1">
        <v>815</v>
      </c>
      <c r="B816" s="1" t="s">
        <v>4</v>
      </c>
      <c r="C816" s="2">
        <v>1.05848036808191E-6</v>
      </c>
    </row>
    <row r="817" spans="1:3">
      <c r="A817" s="1">
        <v>816</v>
      </c>
      <c r="B817" s="1" t="s">
        <v>180</v>
      </c>
      <c r="C817" s="2">
        <v>1.0658846539781E-6</v>
      </c>
    </row>
    <row r="818" spans="1:3">
      <c r="A818" s="1">
        <v>817</v>
      </c>
      <c r="B818" s="1" t="s">
        <v>4</v>
      </c>
      <c r="C818" s="2">
        <v>9.5946258831005093E-6</v>
      </c>
    </row>
    <row r="819" spans="1:3">
      <c r="A819" s="1">
        <v>818</v>
      </c>
      <c r="B819" s="1" t="s">
        <v>180</v>
      </c>
      <c r="C819" s="2">
        <v>9.9832537955665109E-7</v>
      </c>
    </row>
    <row r="820" spans="1:3">
      <c r="A820" s="1">
        <v>819</v>
      </c>
      <c r="B820" s="1" t="s">
        <v>4</v>
      </c>
      <c r="C820" s="2">
        <v>3.0711706100894298E-5</v>
      </c>
    </row>
    <row r="821" spans="1:3">
      <c r="A821" s="1">
        <v>820</v>
      </c>
      <c r="B821" s="1" t="s">
        <v>4</v>
      </c>
      <c r="C821" s="2">
        <v>3.1212170356626401E-5</v>
      </c>
    </row>
    <row r="822" spans="1:3">
      <c r="A822" s="1">
        <v>821</v>
      </c>
      <c r="B822" s="1" t="s">
        <v>4</v>
      </c>
      <c r="C822" s="2">
        <v>2.03066314939173E-5</v>
      </c>
    </row>
    <row r="823" spans="1:3">
      <c r="A823" s="1">
        <v>822</v>
      </c>
      <c r="B823" s="1" t="s">
        <v>4</v>
      </c>
      <c r="C823" s="2">
        <v>2.60977312784634E-5</v>
      </c>
    </row>
    <row r="824" spans="1:3">
      <c r="A824" s="1">
        <v>823</v>
      </c>
      <c r="B824" s="1" t="s">
        <v>4</v>
      </c>
      <c r="C824" s="2">
        <v>2.7823450393859101E-5</v>
      </c>
    </row>
    <row r="825" spans="1:3">
      <c r="A825" s="1">
        <v>824</v>
      </c>
      <c r="B825" s="1" t="s">
        <v>4</v>
      </c>
      <c r="C825" s="2">
        <v>1.6362311351164201E-5</v>
      </c>
    </row>
    <row r="826" spans="1:3">
      <c r="A826" s="1">
        <v>825</v>
      </c>
      <c r="B826" s="1" t="s">
        <v>4</v>
      </c>
      <c r="C826" s="2">
        <v>7.6322931979988208E-6</v>
      </c>
    </row>
    <row r="827" spans="1:3">
      <c r="A827" s="1">
        <v>826</v>
      </c>
      <c r="B827" s="1" t="s">
        <v>180</v>
      </c>
      <c r="C827" s="2">
        <v>5.2907311355501403E-6</v>
      </c>
    </row>
    <row r="828" spans="1:3">
      <c r="A828" s="1">
        <v>827</v>
      </c>
      <c r="B828" s="1" t="s">
        <v>4</v>
      </c>
      <c r="C828" s="2">
        <v>1.5801601350190899E-5</v>
      </c>
    </row>
    <row r="829" spans="1:3">
      <c r="A829" s="1">
        <v>828</v>
      </c>
      <c r="B829" s="1" t="s">
        <v>4</v>
      </c>
      <c r="C829" s="2">
        <v>2.27642930221027E-5</v>
      </c>
    </row>
    <row r="830" spans="1:3">
      <c r="A830" s="1">
        <v>829</v>
      </c>
      <c r="B830" s="1" t="s">
        <v>4</v>
      </c>
      <c r="C830" s="2">
        <v>2.4380291169880199E-5</v>
      </c>
    </row>
    <row r="831" spans="1:3">
      <c r="A831" s="1">
        <v>830</v>
      </c>
      <c r="B831" s="1" t="s">
        <v>4</v>
      </c>
      <c r="C831" s="2">
        <v>3.03987743591385E-5</v>
      </c>
    </row>
    <row r="832" spans="1:3">
      <c r="A832" s="1">
        <v>831</v>
      </c>
      <c r="B832" s="1" t="s">
        <v>180</v>
      </c>
      <c r="C832" s="2">
        <v>1.6130171662921E-6</v>
      </c>
    </row>
    <row r="833" spans="1:3">
      <c r="A833" s="1">
        <v>832</v>
      </c>
      <c r="B833" s="1" t="s">
        <v>4</v>
      </c>
      <c r="C833" s="2">
        <v>3.0939762857121998E-5</v>
      </c>
    </row>
    <row r="834" spans="1:3">
      <c r="A834" s="1">
        <v>833</v>
      </c>
      <c r="B834" s="1" t="s">
        <v>4</v>
      </c>
      <c r="C834" s="2">
        <v>1.7244515838818199E-6</v>
      </c>
    </row>
    <row r="835" spans="1:3">
      <c r="A835" s="1">
        <v>834</v>
      </c>
      <c r="B835" s="1" t="s">
        <v>180</v>
      </c>
      <c r="C835" s="2">
        <v>1.61885296001093E-6</v>
      </c>
    </row>
    <row r="836" spans="1:3">
      <c r="A836" s="1">
        <v>835</v>
      </c>
      <c r="B836" s="1" t="s">
        <v>4</v>
      </c>
      <c r="C836" s="2">
        <v>3.1115999983713398E-5</v>
      </c>
    </row>
    <row r="837" spans="1:3">
      <c r="A837" s="1">
        <v>836</v>
      </c>
      <c r="B837" s="1" t="s">
        <v>180</v>
      </c>
      <c r="C837" s="2">
        <v>2.99127437541246E-5</v>
      </c>
    </row>
    <row r="838" spans="1:3">
      <c r="A838" s="1">
        <v>837</v>
      </c>
      <c r="B838" s="1" t="s">
        <v>4</v>
      </c>
      <c r="C838" s="2">
        <v>2.00113570280952E-5</v>
      </c>
    </row>
    <row r="839" spans="1:3">
      <c r="A839" s="1">
        <v>838</v>
      </c>
      <c r="B839" s="1" t="s">
        <v>4</v>
      </c>
      <c r="C839" s="2">
        <v>2.59349166694623E-5</v>
      </c>
    </row>
    <row r="840" spans="1:3">
      <c r="A840" s="1">
        <v>839</v>
      </c>
      <c r="B840" s="1" t="s">
        <v>4</v>
      </c>
      <c r="C840" s="2">
        <v>3.0996486823479897E-5</v>
      </c>
    </row>
    <row r="841" spans="1:3">
      <c r="A841" s="1">
        <v>840</v>
      </c>
      <c r="B841" s="1" t="s">
        <v>4</v>
      </c>
      <c r="C841" s="2">
        <v>3.1064397282327803E-5</v>
      </c>
    </row>
    <row r="842" spans="1:3">
      <c r="A842" s="1">
        <v>841</v>
      </c>
      <c r="B842" s="1" t="s">
        <v>180</v>
      </c>
      <c r="C842" s="2">
        <v>4.5433095637157101E-7</v>
      </c>
    </row>
    <row r="843" spans="1:3">
      <c r="A843" s="1">
        <v>842</v>
      </c>
      <c r="B843" s="1" t="s">
        <v>4</v>
      </c>
      <c r="C843" s="2">
        <v>1.5997167440704099E-6</v>
      </c>
    </row>
    <row r="844" spans="1:3">
      <c r="A844" s="1">
        <v>843</v>
      </c>
      <c r="B844" s="1" t="s">
        <v>4</v>
      </c>
      <c r="C844" s="2">
        <v>2.8811295772462599E-5</v>
      </c>
    </row>
    <row r="845" spans="1:3">
      <c r="A845" s="1">
        <v>844</v>
      </c>
      <c r="B845" s="1" t="s">
        <v>180</v>
      </c>
      <c r="C845" s="2">
        <v>6.32013759708173E-6</v>
      </c>
    </row>
    <row r="846" spans="1:3">
      <c r="A846" s="1">
        <v>845</v>
      </c>
      <c r="B846" s="1" t="s">
        <v>180</v>
      </c>
      <c r="C846" s="2">
        <v>4.3735407379976697E-6</v>
      </c>
    </row>
    <row r="847" spans="1:3">
      <c r="A847" s="1">
        <v>846</v>
      </c>
      <c r="B847" s="1" t="s">
        <v>180</v>
      </c>
      <c r="C847" s="2">
        <v>2.7679705812592602E-7</v>
      </c>
    </row>
    <row r="848" spans="1:3">
      <c r="A848" s="1">
        <v>847</v>
      </c>
      <c r="B848" s="1" t="s">
        <v>4</v>
      </c>
      <c r="C848" s="2">
        <v>3.10115404908184E-5</v>
      </c>
    </row>
    <row r="849" spans="1:3">
      <c r="A849" s="1">
        <v>848</v>
      </c>
      <c r="B849" s="1" t="s">
        <v>4</v>
      </c>
      <c r="C849" s="2">
        <v>4.4894465343965802E-6</v>
      </c>
    </row>
    <row r="850" spans="1:3">
      <c r="A850" s="1">
        <v>849</v>
      </c>
      <c r="B850" s="1" t="s">
        <v>180</v>
      </c>
      <c r="C850" s="2">
        <v>9.3469423353955402E-7</v>
      </c>
    </row>
    <row r="851" spans="1:3">
      <c r="A851" s="1">
        <v>850</v>
      </c>
      <c r="B851" s="1" t="s">
        <v>180</v>
      </c>
      <c r="C851" s="2">
        <v>3.9557010508916998E-6</v>
      </c>
    </row>
    <row r="852" spans="1:3">
      <c r="A852" s="1">
        <v>851</v>
      </c>
      <c r="B852" s="1" t="s">
        <v>4</v>
      </c>
      <c r="C852" s="2">
        <v>4.3619086984606899E-6</v>
      </c>
    </row>
    <row r="853" spans="1:3">
      <c r="A853" s="1">
        <v>852</v>
      </c>
      <c r="B853" s="1" t="s">
        <v>4</v>
      </c>
      <c r="C853" s="2">
        <v>2.20737765758779E-5</v>
      </c>
    </row>
  </sheetData>
  <autoFilter ref="A1:C853" xr:uid="{01C5EE95-1654-E348-804C-A95F9F144B46}"/>
  <sortState xmlns:xlrd2="http://schemas.microsoft.com/office/spreadsheetml/2017/richdata2" ref="S28:S47">
    <sortCondition ref="S28"/>
  </sortState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C631-5210-3841-A5CF-548FE86785B9}">
  <dimension ref="A1:N853"/>
  <sheetViews>
    <sheetView workbookViewId="0">
      <selection activeCell="J1" sqref="J1:J1048576"/>
    </sheetView>
  </sheetViews>
  <sheetFormatPr baseColWidth="10" defaultRowHeight="16"/>
  <cols>
    <col min="1" max="1" width="6.83203125" bestFit="1" customWidth="1"/>
    <col min="11" max="11" width="57" customWidth="1"/>
  </cols>
  <sheetData>
    <row r="1" spans="1:14">
      <c r="A1" s="3" t="s">
        <v>2334</v>
      </c>
      <c r="B1" s="3" t="s">
        <v>2324</v>
      </c>
      <c r="C1" s="3" t="s">
        <v>2415</v>
      </c>
      <c r="D1" s="4" t="s">
        <v>2335</v>
      </c>
      <c r="E1" s="3" t="s">
        <v>2325</v>
      </c>
      <c r="F1" s="6" t="s">
        <v>2326</v>
      </c>
      <c r="G1" s="3" t="s">
        <v>2327</v>
      </c>
      <c r="H1" s="3" t="s">
        <v>2328</v>
      </c>
      <c r="I1" s="3" t="s">
        <v>2329</v>
      </c>
      <c r="J1" s="3" t="s">
        <v>1727</v>
      </c>
      <c r="K1" s="3" t="s">
        <v>2458</v>
      </c>
      <c r="L1" s="3" t="s">
        <v>2331</v>
      </c>
      <c r="M1" s="3" t="s">
        <v>2332</v>
      </c>
      <c r="N1" s="3" t="s">
        <v>2333</v>
      </c>
    </row>
    <row r="2" spans="1:14">
      <c r="A2" s="1">
        <v>1</v>
      </c>
      <c r="B2" t="s">
        <v>0</v>
      </c>
      <c r="C2" t="s">
        <v>1</v>
      </c>
      <c r="D2" t="s">
        <v>2</v>
      </c>
      <c r="E2" t="s">
        <v>0</v>
      </c>
      <c r="F2">
        <v>4</v>
      </c>
      <c r="G2">
        <v>4</v>
      </c>
      <c r="H2" t="s">
        <v>3</v>
      </c>
      <c r="I2" t="s">
        <v>3</v>
      </c>
      <c r="J2" t="s">
        <v>4</v>
      </c>
      <c r="K2">
        <v>0.94612634181976296</v>
      </c>
      <c r="L2" s="26">
        <v>2.79823816733228E-5</v>
      </c>
      <c r="M2">
        <v>-1.98670323355827E-2</v>
      </c>
      <c r="N2">
        <v>3.7934913346834902</v>
      </c>
    </row>
    <row r="3" spans="1:14">
      <c r="A3" s="1">
        <v>2</v>
      </c>
      <c r="B3" t="s">
        <v>5</v>
      </c>
      <c r="C3" t="s">
        <v>6</v>
      </c>
      <c r="D3" t="s">
        <v>7</v>
      </c>
      <c r="E3" t="s">
        <v>5</v>
      </c>
      <c r="F3">
        <v>4</v>
      </c>
      <c r="G3">
        <v>3</v>
      </c>
      <c r="H3" t="s">
        <v>8</v>
      </c>
      <c r="I3" t="s">
        <v>8</v>
      </c>
      <c r="J3" t="s">
        <v>4</v>
      </c>
      <c r="K3">
        <v>0.95376831293106001</v>
      </c>
      <c r="L3" s="26">
        <v>2.8429201080689499E-5</v>
      </c>
      <c r="M3">
        <v>-1.2834970961279101E-2</v>
      </c>
      <c r="N3">
        <v>3.6798288727160999</v>
      </c>
    </row>
    <row r="4" spans="1:14">
      <c r="A4" s="1">
        <v>3</v>
      </c>
      <c r="B4" t="s">
        <v>9</v>
      </c>
      <c r="C4" t="s">
        <v>10</v>
      </c>
      <c r="D4" t="s">
        <v>11</v>
      </c>
      <c r="E4" t="s">
        <v>9</v>
      </c>
      <c r="F4">
        <v>4</v>
      </c>
      <c r="G4">
        <v>4</v>
      </c>
      <c r="H4" t="s">
        <v>12</v>
      </c>
      <c r="I4" t="s">
        <v>12</v>
      </c>
      <c r="J4" t="s">
        <v>4</v>
      </c>
      <c r="K4">
        <v>0.81047523021697998</v>
      </c>
      <c r="L4" s="26">
        <v>2.0558035593955601E-5</v>
      </c>
      <c r="M4">
        <v>-9.06875585813793E-3</v>
      </c>
      <c r="N4">
        <v>3.6341080730370199</v>
      </c>
    </row>
    <row r="5" spans="1:14">
      <c r="A5" s="1">
        <v>4</v>
      </c>
      <c r="B5" t="s">
        <v>13</v>
      </c>
      <c r="C5" t="s">
        <v>14</v>
      </c>
      <c r="D5" t="s">
        <v>15</v>
      </c>
      <c r="E5" t="s">
        <v>13</v>
      </c>
      <c r="F5">
        <v>4</v>
      </c>
      <c r="G5">
        <v>4</v>
      </c>
      <c r="H5" t="s">
        <v>8</v>
      </c>
      <c r="I5" t="s">
        <v>8</v>
      </c>
      <c r="J5" t="s">
        <v>4</v>
      </c>
      <c r="K5">
        <v>0.76108717918395996</v>
      </c>
      <c r="L5" s="26">
        <v>1.8170960749982101E-5</v>
      </c>
      <c r="M5">
        <v>-3.98615789611085E-2</v>
      </c>
      <c r="N5">
        <v>3.47365306367251</v>
      </c>
    </row>
    <row r="6" spans="1:14">
      <c r="A6" s="1">
        <v>5</v>
      </c>
      <c r="B6" t="s">
        <v>16</v>
      </c>
      <c r="C6" t="s">
        <v>17</v>
      </c>
      <c r="D6" t="s">
        <v>18</v>
      </c>
      <c r="E6" t="s">
        <v>16</v>
      </c>
      <c r="F6">
        <v>4</v>
      </c>
      <c r="G6">
        <v>7</v>
      </c>
      <c r="H6" t="s">
        <v>8</v>
      </c>
      <c r="I6" t="s">
        <v>8</v>
      </c>
      <c r="J6" t="s">
        <v>4</v>
      </c>
      <c r="K6">
        <v>0.998415827751159</v>
      </c>
      <c r="L6" s="26">
        <v>3.1151101140115597E-5</v>
      </c>
      <c r="M6">
        <v>-1.83969982169074E-2</v>
      </c>
      <c r="N6">
        <v>2.7875613915069599</v>
      </c>
    </row>
    <row r="7" spans="1:14">
      <c r="A7" s="1">
        <v>6</v>
      </c>
      <c r="B7" t="s">
        <v>19</v>
      </c>
      <c r="C7" t="s">
        <v>20</v>
      </c>
      <c r="D7" t="s">
        <v>21</v>
      </c>
      <c r="E7" t="s">
        <v>19</v>
      </c>
      <c r="F7">
        <v>4</v>
      </c>
      <c r="G7">
        <v>7</v>
      </c>
      <c r="H7" t="s">
        <v>22</v>
      </c>
      <c r="I7" t="s">
        <v>22</v>
      </c>
      <c r="J7" t="s">
        <v>4</v>
      </c>
      <c r="K7">
        <v>0.92526888847350997</v>
      </c>
      <c r="L7" s="26">
        <v>2.6765574452641399E-5</v>
      </c>
      <c r="M7">
        <v>3.1722287843528797E-2</v>
      </c>
      <c r="N7">
        <v>3.6223115744392</v>
      </c>
    </row>
    <row r="8" spans="1:14">
      <c r="A8" s="1">
        <v>7</v>
      </c>
      <c r="B8" t="s">
        <v>23</v>
      </c>
      <c r="C8" t="s">
        <v>24</v>
      </c>
      <c r="D8" t="s">
        <v>25</v>
      </c>
      <c r="E8" t="s">
        <v>23</v>
      </c>
      <c r="F8">
        <v>4</v>
      </c>
      <c r="G8">
        <v>5</v>
      </c>
      <c r="H8" t="s">
        <v>8</v>
      </c>
      <c r="I8" t="s">
        <v>8</v>
      </c>
      <c r="J8" t="s">
        <v>4</v>
      </c>
      <c r="K8">
        <v>0.21653416752815199</v>
      </c>
      <c r="L8" s="26">
        <v>2.3754532278150301E-6</v>
      </c>
      <c r="M8">
        <v>1.43140618632031E-3</v>
      </c>
      <c r="N8">
        <v>3.1323331862985002</v>
      </c>
    </row>
    <row r="9" spans="1:14">
      <c r="A9" s="1">
        <v>8</v>
      </c>
      <c r="B9" t="s">
        <v>26</v>
      </c>
      <c r="C9" t="s">
        <v>27</v>
      </c>
      <c r="D9" t="s">
        <v>28</v>
      </c>
      <c r="E9" t="s">
        <v>26</v>
      </c>
      <c r="F9">
        <v>6</v>
      </c>
      <c r="G9">
        <v>3</v>
      </c>
      <c r="H9" t="s">
        <v>8</v>
      </c>
      <c r="I9" t="s">
        <v>8</v>
      </c>
      <c r="J9" t="s">
        <v>4</v>
      </c>
      <c r="K9">
        <v>0.21579763293266199</v>
      </c>
      <c r="L9" s="26">
        <v>1.7038221905999199E-6</v>
      </c>
      <c r="M9">
        <v>3.6651894407641203E-2</v>
      </c>
      <c r="N9">
        <v>3.1547179889033501</v>
      </c>
    </row>
    <row r="10" spans="1:14">
      <c r="A10" s="1">
        <v>9</v>
      </c>
      <c r="B10" t="s">
        <v>29</v>
      </c>
      <c r="C10" t="s">
        <v>30</v>
      </c>
      <c r="D10" t="s">
        <v>11</v>
      </c>
      <c r="E10" t="s">
        <v>29</v>
      </c>
      <c r="F10">
        <v>4</v>
      </c>
      <c r="G10">
        <v>4</v>
      </c>
      <c r="H10" t="s">
        <v>12</v>
      </c>
      <c r="I10" t="s">
        <v>12</v>
      </c>
      <c r="J10" t="s">
        <v>4</v>
      </c>
      <c r="K10">
        <v>0.52473461627960205</v>
      </c>
      <c r="L10" s="26">
        <v>8.9662590729610095E-6</v>
      </c>
      <c r="M10">
        <v>-9.6513906428157201E-3</v>
      </c>
      <c r="N10">
        <v>3.4741733644021799</v>
      </c>
    </row>
    <row r="11" spans="1:14">
      <c r="A11" s="1">
        <v>10</v>
      </c>
      <c r="B11" t="s">
        <v>31</v>
      </c>
      <c r="C11" t="s">
        <v>32</v>
      </c>
      <c r="D11" t="s">
        <v>33</v>
      </c>
      <c r="E11" t="s">
        <v>31</v>
      </c>
      <c r="F11">
        <v>4</v>
      </c>
      <c r="G11">
        <v>2</v>
      </c>
      <c r="H11" t="s">
        <v>34</v>
      </c>
      <c r="I11" t="s">
        <v>34</v>
      </c>
      <c r="J11" t="s">
        <v>4</v>
      </c>
      <c r="K11">
        <v>0.72899508476257302</v>
      </c>
      <c r="L11" s="26">
        <v>1.71203031680451E-5</v>
      </c>
      <c r="M11">
        <v>4.3267394313772902E-3</v>
      </c>
      <c r="N11">
        <v>3.7360244756713699</v>
      </c>
    </row>
    <row r="12" spans="1:14">
      <c r="A12" s="1">
        <v>11</v>
      </c>
      <c r="B12" t="s">
        <v>35</v>
      </c>
      <c r="C12" t="s">
        <v>36</v>
      </c>
      <c r="D12" t="s">
        <v>37</v>
      </c>
      <c r="E12" t="s">
        <v>35</v>
      </c>
      <c r="F12">
        <v>4</v>
      </c>
      <c r="G12">
        <v>3</v>
      </c>
      <c r="H12" t="s">
        <v>8</v>
      </c>
      <c r="I12" t="s">
        <v>8</v>
      </c>
      <c r="J12" t="s">
        <v>4</v>
      </c>
      <c r="K12">
        <v>0.42412596940994202</v>
      </c>
      <c r="L12" s="26">
        <v>6.4012589456800799E-6</v>
      </c>
      <c r="M12">
        <v>-1.68375004250815E-2</v>
      </c>
      <c r="N12">
        <v>3.5126577644563599</v>
      </c>
    </row>
    <row r="13" spans="1:14">
      <c r="A13" s="1">
        <v>12</v>
      </c>
      <c r="B13" t="s">
        <v>38</v>
      </c>
      <c r="C13" t="s">
        <v>39</v>
      </c>
      <c r="D13" t="s">
        <v>40</v>
      </c>
      <c r="E13" t="s">
        <v>38</v>
      </c>
      <c r="F13">
        <v>4</v>
      </c>
      <c r="G13">
        <v>7</v>
      </c>
      <c r="H13" t="s">
        <v>8</v>
      </c>
      <c r="I13" t="s">
        <v>8</v>
      </c>
      <c r="J13" t="s">
        <v>4</v>
      </c>
      <c r="K13">
        <v>0.884255111217498</v>
      </c>
      <c r="L13" s="26">
        <v>2.4443450443438299E-5</v>
      </c>
      <c r="M13">
        <v>-5.6708616062763799E-3</v>
      </c>
      <c r="N13">
        <v>2.93305916565361</v>
      </c>
    </row>
    <row r="14" spans="1:14">
      <c r="A14" s="1">
        <v>13</v>
      </c>
      <c r="B14" t="s">
        <v>41</v>
      </c>
      <c r="C14" t="s">
        <v>42</v>
      </c>
      <c r="D14" t="s">
        <v>43</v>
      </c>
      <c r="E14" t="s">
        <v>41</v>
      </c>
      <c r="F14">
        <v>5</v>
      </c>
      <c r="G14">
        <v>2</v>
      </c>
      <c r="H14" t="s">
        <v>44</v>
      </c>
      <c r="I14" t="s">
        <v>44</v>
      </c>
      <c r="J14" t="s">
        <v>4</v>
      </c>
      <c r="K14">
        <v>0.886244416236877</v>
      </c>
      <c r="L14" s="26">
        <v>2.4586191895520099E-5</v>
      </c>
      <c r="M14">
        <v>1.4390976549826399E-2</v>
      </c>
      <c r="N14">
        <v>3.6929363185608</v>
      </c>
    </row>
    <row r="15" spans="1:14">
      <c r="A15" s="1">
        <v>14</v>
      </c>
      <c r="B15" t="s">
        <v>45</v>
      </c>
      <c r="C15" t="s">
        <v>46</v>
      </c>
      <c r="D15" t="s">
        <v>47</v>
      </c>
      <c r="E15" t="s">
        <v>45</v>
      </c>
      <c r="F15">
        <v>4</v>
      </c>
      <c r="G15">
        <v>2</v>
      </c>
      <c r="H15" t="s">
        <v>12</v>
      </c>
      <c r="I15" t="s">
        <v>12</v>
      </c>
      <c r="J15" t="s">
        <v>4</v>
      </c>
      <c r="K15">
        <v>0.84784150123596103</v>
      </c>
      <c r="L15" s="26">
        <v>2.25069022340522E-5</v>
      </c>
      <c r="M15">
        <v>9.8547988728903092E-4</v>
      </c>
      <c r="N15">
        <v>3.7547292195349198</v>
      </c>
    </row>
    <row r="16" spans="1:14">
      <c r="A16" s="1">
        <v>15</v>
      </c>
      <c r="B16" t="s">
        <v>48</v>
      </c>
      <c r="C16" t="s">
        <v>49</v>
      </c>
      <c r="D16" t="s">
        <v>50</v>
      </c>
      <c r="E16" t="s">
        <v>48</v>
      </c>
      <c r="F16">
        <v>6</v>
      </c>
      <c r="G16">
        <v>3</v>
      </c>
      <c r="H16" t="s">
        <v>8</v>
      </c>
      <c r="I16" t="s">
        <v>8</v>
      </c>
      <c r="J16" t="s">
        <v>4</v>
      </c>
      <c r="K16">
        <v>0.96253168582916204</v>
      </c>
      <c r="L16" s="26">
        <v>2.8956627490769399E-5</v>
      </c>
      <c r="M16">
        <v>-1.14794135942872E-2</v>
      </c>
      <c r="N16">
        <v>3.49315927408164</v>
      </c>
    </row>
    <row r="17" spans="1:14">
      <c r="A17" s="1">
        <v>16</v>
      </c>
      <c r="B17" t="s">
        <v>51</v>
      </c>
      <c r="C17" t="s">
        <v>52</v>
      </c>
      <c r="D17" t="s">
        <v>53</v>
      </c>
      <c r="E17" t="s">
        <v>51</v>
      </c>
      <c r="F17">
        <v>4</v>
      </c>
      <c r="G17">
        <v>4</v>
      </c>
      <c r="H17" t="s">
        <v>8</v>
      </c>
      <c r="I17" t="s">
        <v>8</v>
      </c>
      <c r="J17" t="s">
        <v>4</v>
      </c>
      <c r="K17">
        <v>0.63757228851318304</v>
      </c>
      <c r="L17" s="26">
        <v>1.32811617673115E-5</v>
      </c>
      <c r="M17">
        <v>-6.5020669637831903E-3</v>
      </c>
      <c r="N17">
        <v>3.51534499393428</v>
      </c>
    </row>
    <row r="18" spans="1:14">
      <c r="A18" s="1">
        <v>17</v>
      </c>
      <c r="B18" t="s">
        <v>54</v>
      </c>
      <c r="C18" t="s">
        <v>55</v>
      </c>
      <c r="D18" t="s">
        <v>56</v>
      </c>
      <c r="E18" t="s">
        <v>54</v>
      </c>
      <c r="F18">
        <v>4</v>
      </c>
      <c r="G18">
        <v>7</v>
      </c>
      <c r="H18" t="s">
        <v>8</v>
      </c>
      <c r="I18" t="s">
        <v>8</v>
      </c>
      <c r="J18" t="s">
        <v>4</v>
      </c>
      <c r="K18">
        <v>0.951255023479461</v>
      </c>
      <c r="L18" s="26">
        <v>2.83107966774932E-5</v>
      </c>
      <c r="M18">
        <v>-1.9163659703560001E-2</v>
      </c>
      <c r="N18">
        <v>3.4882051664001801</v>
      </c>
    </row>
    <row r="19" spans="1:14">
      <c r="A19" s="1">
        <v>18</v>
      </c>
      <c r="B19" t="s">
        <v>57</v>
      </c>
      <c r="C19" t="s">
        <v>58</v>
      </c>
      <c r="D19" t="s">
        <v>47</v>
      </c>
      <c r="E19" t="s">
        <v>57</v>
      </c>
      <c r="F19">
        <v>4</v>
      </c>
      <c r="G19">
        <v>2</v>
      </c>
      <c r="H19" t="s">
        <v>12</v>
      </c>
      <c r="I19" t="s">
        <v>12</v>
      </c>
      <c r="J19" t="s">
        <v>4</v>
      </c>
      <c r="K19">
        <v>0.89450836181640603</v>
      </c>
      <c r="L19" s="26">
        <v>2.5028258601513699E-5</v>
      </c>
      <c r="M19">
        <v>2.14942978558596E-3</v>
      </c>
      <c r="N19">
        <v>3.6342867600491702</v>
      </c>
    </row>
    <row r="20" spans="1:14">
      <c r="A20" s="1">
        <v>19</v>
      </c>
      <c r="B20" t="s">
        <v>59</v>
      </c>
      <c r="C20" t="s">
        <v>60</v>
      </c>
      <c r="D20" t="s">
        <v>61</v>
      </c>
      <c r="E20" t="s">
        <v>59</v>
      </c>
      <c r="F20">
        <v>5</v>
      </c>
      <c r="G20">
        <v>2</v>
      </c>
      <c r="H20" t="s">
        <v>22</v>
      </c>
      <c r="I20" t="s">
        <v>22</v>
      </c>
      <c r="J20" t="s">
        <v>4</v>
      </c>
      <c r="K20">
        <v>0.74304491281509399</v>
      </c>
      <c r="L20" s="26">
        <v>1.77372661651715E-5</v>
      </c>
      <c r="M20">
        <v>-1.7562112183050201E-2</v>
      </c>
      <c r="N20">
        <v>3.5344353191870002</v>
      </c>
    </row>
    <row r="21" spans="1:14">
      <c r="A21" s="1">
        <v>20</v>
      </c>
      <c r="B21" t="s">
        <v>62</v>
      </c>
      <c r="C21" t="s">
        <v>63</v>
      </c>
      <c r="D21" t="s">
        <v>64</v>
      </c>
      <c r="E21" t="s">
        <v>62</v>
      </c>
      <c r="F21">
        <v>6</v>
      </c>
      <c r="G21">
        <v>6</v>
      </c>
      <c r="H21" t="s">
        <v>8</v>
      </c>
      <c r="I21" t="s">
        <v>8</v>
      </c>
      <c r="J21" t="s">
        <v>4</v>
      </c>
      <c r="K21">
        <v>0.95761412382125799</v>
      </c>
      <c r="L21" s="26">
        <v>2.8657899731398299E-5</v>
      </c>
      <c r="M21">
        <v>8.1658027068840493E-3</v>
      </c>
      <c r="N21">
        <v>3.5921744904095601</v>
      </c>
    </row>
    <row r="22" spans="1:14">
      <c r="A22" s="1">
        <v>21</v>
      </c>
      <c r="B22" t="s">
        <v>65</v>
      </c>
      <c r="C22" t="s">
        <v>66</v>
      </c>
      <c r="D22" t="s">
        <v>67</v>
      </c>
      <c r="E22" t="s">
        <v>65</v>
      </c>
      <c r="F22">
        <v>5</v>
      </c>
      <c r="G22">
        <v>7</v>
      </c>
      <c r="H22" t="s">
        <v>68</v>
      </c>
      <c r="I22" t="s">
        <v>68</v>
      </c>
      <c r="J22" t="s">
        <v>4</v>
      </c>
      <c r="K22">
        <v>0.99819594621658303</v>
      </c>
      <c r="L22" s="26">
        <v>3.1137365485689602E-5</v>
      </c>
      <c r="M22">
        <v>-5.9042653517522503E-3</v>
      </c>
      <c r="N22">
        <v>2.9075666206470698</v>
      </c>
    </row>
    <row r="23" spans="1:14">
      <c r="A23" s="1">
        <v>22</v>
      </c>
      <c r="B23" t="s">
        <v>69</v>
      </c>
      <c r="C23" t="s">
        <v>70</v>
      </c>
      <c r="D23" t="s">
        <v>71</v>
      </c>
      <c r="E23" t="s">
        <v>69</v>
      </c>
      <c r="F23">
        <v>4</v>
      </c>
      <c r="G23">
        <v>6</v>
      </c>
      <c r="H23" t="s">
        <v>8</v>
      </c>
      <c r="I23" t="s">
        <v>8</v>
      </c>
      <c r="J23" t="s">
        <v>4</v>
      </c>
      <c r="K23">
        <v>0.98494869470596302</v>
      </c>
      <c r="L23" s="26">
        <v>3.0316602347732001E-5</v>
      </c>
      <c r="M23">
        <v>1.51035591449186E-2</v>
      </c>
      <c r="N23">
        <v>3.5152074228585799</v>
      </c>
    </row>
    <row r="24" spans="1:14">
      <c r="A24" s="1">
        <v>23</v>
      </c>
      <c r="B24" t="s">
        <v>72</v>
      </c>
      <c r="C24" t="s">
        <v>73</v>
      </c>
      <c r="D24" t="s">
        <v>74</v>
      </c>
      <c r="E24" t="s">
        <v>72</v>
      </c>
      <c r="F24">
        <v>4</v>
      </c>
      <c r="G24">
        <v>5</v>
      </c>
      <c r="H24" t="s">
        <v>8</v>
      </c>
      <c r="I24" t="s">
        <v>8</v>
      </c>
      <c r="J24" t="s">
        <v>4</v>
      </c>
      <c r="K24">
        <v>0.96878492832183805</v>
      </c>
      <c r="L24" s="26">
        <v>2.9330910616516202E-5</v>
      </c>
      <c r="M24">
        <v>9.7502497125745401E-3</v>
      </c>
      <c r="N24">
        <v>3.4030707070845199</v>
      </c>
    </row>
    <row r="25" spans="1:14">
      <c r="A25" s="1">
        <v>24</v>
      </c>
      <c r="B25" t="s">
        <v>75</v>
      </c>
      <c r="C25" t="s">
        <v>76</v>
      </c>
      <c r="D25" t="s">
        <v>77</v>
      </c>
      <c r="E25" t="s">
        <v>75</v>
      </c>
      <c r="F25">
        <v>4</v>
      </c>
      <c r="G25">
        <v>5</v>
      </c>
      <c r="H25" t="s">
        <v>8</v>
      </c>
      <c r="I25" t="s">
        <v>8</v>
      </c>
      <c r="J25" t="s">
        <v>4</v>
      </c>
      <c r="K25">
        <v>0.77342295646667403</v>
      </c>
      <c r="L25" s="26">
        <v>1.8712507865415399E-5</v>
      </c>
      <c r="M25">
        <v>5.2074330650382798E-2</v>
      </c>
      <c r="N25">
        <v>3.2108870059750299</v>
      </c>
    </row>
    <row r="26" spans="1:14">
      <c r="A26" s="1">
        <v>25</v>
      </c>
      <c r="B26" t="s">
        <v>78</v>
      </c>
      <c r="C26" t="s">
        <v>79</v>
      </c>
      <c r="D26" t="s">
        <v>80</v>
      </c>
      <c r="E26" t="s">
        <v>78</v>
      </c>
      <c r="F26">
        <v>6</v>
      </c>
      <c r="G26">
        <v>4</v>
      </c>
      <c r="H26" t="s">
        <v>8</v>
      </c>
      <c r="I26" t="s">
        <v>8</v>
      </c>
      <c r="J26" t="s">
        <v>4</v>
      </c>
      <c r="K26">
        <v>0.98773163557052601</v>
      </c>
      <c r="L26" s="26">
        <v>3.0488460540173299E-5</v>
      </c>
      <c r="M26">
        <v>-1.59104842184376E-2</v>
      </c>
      <c r="N26">
        <v>3.53375946414811</v>
      </c>
    </row>
    <row r="27" spans="1:14">
      <c r="A27" s="1">
        <v>26</v>
      </c>
      <c r="B27" t="s">
        <v>81</v>
      </c>
      <c r="C27" t="s">
        <v>82</v>
      </c>
      <c r="D27" t="s">
        <v>83</v>
      </c>
      <c r="E27" t="s">
        <v>81</v>
      </c>
      <c r="F27">
        <v>4</v>
      </c>
      <c r="G27">
        <v>5</v>
      </c>
      <c r="H27" t="s">
        <v>44</v>
      </c>
      <c r="I27" t="s">
        <v>44</v>
      </c>
      <c r="J27" t="s">
        <v>4</v>
      </c>
      <c r="K27">
        <v>0.55985850095748901</v>
      </c>
      <c r="L27" s="26">
        <v>1.00185405307432E-5</v>
      </c>
      <c r="M27">
        <v>-1.99230579404314E-2</v>
      </c>
      <c r="N27">
        <v>3.4634541573501298</v>
      </c>
    </row>
    <row r="28" spans="1:14">
      <c r="A28" s="1">
        <v>27</v>
      </c>
      <c r="B28" t="s">
        <v>84</v>
      </c>
      <c r="C28" t="s">
        <v>85</v>
      </c>
      <c r="D28" t="s">
        <v>47</v>
      </c>
      <c r="E28" t="s">
        <v>84</v>
      </c>
      <c r="F28">
        <v>5</v>
      </c>
      <c r="G28">
        <v>2</v>
      </c>
      <c r="H28" t="s">
        <v>12</v>
      </c>
      <c r="I28" t="s">
        <v>12</v>
      </c>
      <c r="J28" t="s">
        <v>4</v>
      </c>
      <c r="K28">
        <v>0.58529895544052102</v>
      </c>
      <c r="L28" s="26">
        <v>1.12420171714199E-5</v>
      </c>
      <c r="M28">
        <v>-2.6313689382412499E-2</v>
      </c>
      <c r="N28">
        <v>3.6240954014109499</v>
      </c>
    </row>
    <row r="29" spans="1:14">
      <c r="A29" s="1">
        <v>28</v>
      </c>
      <c r="B29" t="s">
        <v>86</v>
      </c>
      <c r="C29" t="s">
        <v>87</v>
      </c>
      <c r="D29" t="s">
        <v>88</v>
      </c>
      <c r="E29" t="s">
        <v>86</v>
      </c>
      <c r="F29">
        <v>5</v>
      </c>
      <c r="G29">
        <v>4</v>
      </c>
      <c r="H29" t="s">
        <v>8</v>
      </c>
      <c r="I29" t="s">
        <v>8</v>
      </c>
      <c r="J29" t="s">
        <v>4</v>
      </c>
      <c r="K29">
        <v>0.78013092279434204</v>
      </c>
      <c r="L29" s="26">
        <v>1.9031921230566499E-5</v>
      </c>
      <c r="M29">
        <v>5.1901236373410597E-3</v>
      </c>
      <c r="N29">
        <v>3.2805304636294501</v>
      </c>
    </row>
    <row r="30" spans="1:14">
      <c r="A30" s="1">
        <v>29</v>
      </c>
      <c r="B30" t="s">
        <v>89</v>
      </c>
      <c r="C30" t="s">
        <v>90</v>
      </c>
      <c r="D30" t="s">
        <v>91</v>
      </c>
      <c r="E30" t="s">
        <v>89</v>
      </c>
      <c r="F30">
        <v>4</v>
      </c>
      <c r="G30">
        <v>4</v>
      </c>
      <c r="H30" t="s">
        <v>8</v>
      </c>
      <c r="I30" t="s">
        <v>8</v>
      </c>
      <c r="J30" t="s">
        <v>4</v>
      </c>
      <c r="K30">
        <v>0.98144781589508001</v>
      </c>
      <c r="L30" s="26">
        <v>3.0102128407947599E-5</v>
      </c>
      <c r="M30">
        <v>4.7286883882762202E-3</v>
      </c>
      <c r="N30">
        <v>3.7896497637766098</v>
      </c>
    </row>
    <row r="31" spans="1:14">
      <c r="A31" s="1">
        <v>30</v>
      </c>
      <c r="B31" t="s">
        <v>92</v>
      </c>
      <c r="C31" t="s">
        <v>93</v>
      </c>
      <c r="D31" t="s">
        <v>94</v>
      </c>
      <c r="E31" t="s">
        <v>92</v>
      </c>
      <c r="F31">
        <v>4</v>
      </c>
      <c r="G31">
        <v>4</v>
      </c>
      <c r="H31" t="s">
        <v>8</v>
      </c>
      <c r="I31" t="s">
        <v>8</v>
      </c>
      <c r="J31" t="s">
        <v>4</v>
      </c>
      <c r="K31">
        <v>0.97245287895202603</v>
      </c>
      <c r="L31" s="26">
        <v>2.95555520760197E-5</v>
      </c>
      <c r="M31">
        <v>-1.97054760674575E-3</v>
      </c>
      <c r="N31">
        <v>3.70168289473113</v>
      </c>
    </row>
    <row r="32" spans="1:14">
      <c r="A32" s="1">
        <v>31</v>
      </c>
      <c r="B32" t="s">
        <v>95</v>
      </c>
      <c r="C32" t="s">
        <v>96</v>
      </c>
      <c r="D32" t="s">
        <v>97</v>
      </c>
      <c r="E32" t="s">
        <v>95</v>
      </c>
      <c r="F32">
        <v>4</v>
      </c>
      <c r="G32">
        <v>3</v>
      </c>
      <c r="H32" t="s">
        <v>98</v>
      </c>
      <c r="I32" t="s">
        <v>98</v>
      </c>
      <c r="J32" t="s">
        <v>4</v>
      </c>
      <c r="K32">
        <v>0.95871227979660001</v>
      </c>
      <c r="L32" s="26">
        <v>2.8724658922082999E-5</v>
      </c>
      <c r="M32">
        <v>2.7576008241652499E-2</v>
      </c>
      <c r="N32">
        <v>3.3835269669847401</v>
      </c>
    </row>
    <row r="33" spans="1:14">
      <c r="A33" s="1">
        <v>32</v>
      </c>
      <c r="B33" t="s">
        <v>99</v>
      </c>
      <c r="C33" t="s">
        <v>100</v>
      </c>
      <c r="D33" t="s">
        <v>101</v>
      </c>
      <c r="E33" t="s">
        <v>99</v>
      </c>
      <c r="F33">
        <v>5</v>
      </c>
      <c r="G33">
        <v>3</v>
      </c>
      <c r="H33" t="s">
        <v>8</v>
      </c>
      <c r="I33" t="s">
        <v>8</v>
      </c>
      <c r="J33" t="s">
        <v>4</v>
      </c>
      <c r="K33">
        <v>0.79340606927871704</v>
      </c>
      <c r="L33" s="26">
        <v>2.0087331891979E-5</v>
      </c>
      <c r="M33">
        <v>-1.4327410780738899E-2</v>
      </c>
      <c r="N33">
        <v>3.7057564204565798</v>
      </c>
    </row>
    <row r="34" spans="1:14">
      <c r="A34" s="1">
        <v>33</v>
      </c>
      <c r="B34" t="s">
        <v>102</v>
      </c>
      <c r="C34" t="s">
        <v>103</v>
      </c>
      <c r="D34" t="s">
        <v>104</v>
      </c>
      <c r="E34" t="s">
        <v>102</v>
      </c>
      <c r="F34">
        <v>4</v>
      </c>
      <c r="G34">
        <v>3</v>
      </c>
      <c r="H34" t="s">
        <v>8</v>
      </c>
      <c r="I34" t="s">
        <v>8</v>
      </c>
      <c r="J34" t="s">
        <v>4</v>
      </c>
      <c r="K34">
        <v>0.93856209516525202</v>
      </c>
      <c r="L34" s="26">
        <v>2.75311873241598E-5</v>
      </c>
      <c r="M34">
        <v>-3.1025130392898701E-2</v>
      </c>
      <c r="N34">
        <v>3.3266620968717802</v>
      </c>
    </row>
    <row r="35" spans="1:14">
      <c r="A35" s="1">
        <v>34</v>
      </c>
      <c r="B35" t="s">
        <v>105</v>
      </c>
      <c r="C35" t="s">
        <v>106</v>
      </c>
      <c r="D35" t="s">
        <v>61</v>
      </c>
      <c r="E35" t="s">
        <v>105</v>
      </c>
      <c r="F35">
        <v>5</v>
      </c>
      <c r="G35">
        <v>2</v>
      </c>
      <c r="H35" t="s">
        <v>22</v>
      </c>
      <c r="I35" t="s">
        <v>22</v>
      </c>
      <c r="J35" t="s">
        <v>4</v>
      </c>
      <c r="K35">
        <v>0.95909833908080999</v>
      </c>
      <c r="L35" s="26">
        <v>2.8747300770060399E-5</v>
      </c>
      <c r="M35">
        <v>-7.1602318261483298E-3</v>
      </c>
      <c r="N35">
        <v>3.7168644615527802</v>
      </c>
    </row>
    <row r="36" spans="1:14">
      <c r="A36" s="1">
        <v>35</v>
      </c>
      <c r="B36" t="s">
        <v>107</v>
      </c>
      <c r="C36" t="s">
        <v>108</v>
      </c>
      <c r="D36" t="s">
        <v>109</v>
      </c>
      <c r="E36" t="s">
        <v>107</v>
      </c>
      <c r="F36">
        <v>5</v>
      </c>
      <c r="G36">
        <v>8</v>
      </c>
      <c r="H36" t="s">
        <v>8</v>
      </c>
      <c r="I36" t="s">
        <v>8</v>
      </c>
      <c r="J36" t="s">
        <v>4</v>
      </c>
      <c r="K36">
        <v>0.94654899835586503</v>
      </c>
      <c r="L36" s="26">
        <v>2.8010310658578599E-5</v>
      </c>
      <c r="M36">
        <v>1.2853521237353499E-2</v>
      </c>
      <c r="N36">
        <v>3.6661354193284899</v>
      </c>
    </row>
    <row r="37" spans="1:14">
      <c r="A37" s="1">
        <v>36</v>
      </c>
      <c r="B37" t="s">
        <v>110</v>
      </c>
      <c r="C37" t="s">
        <v>111</v>
      </c>
      <c r="D37" t="s">
        <v>112</v>
      </c>
      <c r="E37" t="s">
        <v>110</v>
      </c>
      <c r="F37">
        <v>4</v>
      </c>
      <c r="G37">
        <v>3</v>
      </c>
      <c r="H37" t="s">
        <v>113</v>
      </c>
      <c r="I37" t="s">
        <v>113</v>
      </c>
      <c r="J37" t="s">
        <v>4</v>
      </c>
      <c r="K37">
        <v>0.84923958778381303</v>
      </c>
      <c r="L37" s="26">
        <v>2.2596803491893302E-5</v>
      </c>
      <c r="M37">
        <v>2.1733521347357499E-2</v>
      </c>
      <c r="N37">
        <v>3.46005367009771</v>
      </c>
    </row>
    <row r="38" spans="1:14">
      <c r="A38" s="1">
        <v>37</v>
      </c>
      <c r="B38" t="s">
        <v>114</v>
      </c>
      <c r="C38" t="s">
        <v>115</v>
      </c>
      <c r="D38" t="s">
        <v>116</v>
      </c>
      <c r="E38" t="s">
        <v>114</v>
      </c>
      <c r="F38">
        <v>8</v>
      </c>
      <c r="G38">
        <v>4</v>
      </c>
      <c r="H38" t="s">
        <v>8</v>
      </c>
      <c r="I38" t="s">
        <v>8</v>
      </c>
      <c r="J38" t="s">
        <v>4</v>
      </c>
      <c r="K38">
        <v>0.50041496753692605</v>
      </c>
      <c r="L38" s="26">
        <v>1.4499754312213101E-5</v>
      </c>
      <c r="M38">
        <v>1.35682830735106E-3</v>
      </c>
      <c r="N38">
        <v>3.8523970363900601</v>
      </c>
    </row>
    <row r="39" spans="1:14">
      <c r="A39" s="1">
        <v>38</v>
      </c>
      <c r="B39" t="s">
        <v>117</v>
      </c>
      <c r="C39" t="s">
        <v>118</v>
      </c>
      <c r="D39" t="s">
        <v>119</v>
      </c>
      <c r="E39" t="s">
        <v>117</v>
      </c>
      <c r="F39">
        <v>4</v>
      </c>
      <c r="G39">
        <v>4</v>
      </c>
      <c r="H39" t="s">
        <v>8</v>
      </c>
      <c r="I39" t="s">
        <v>8</v>
      </c>
      <c r="J39" t="s">
        <v>4</v>
      </c>
      <c r="K39">
        <v>0.93968683481216397</v>
      </c>
      <c r="L39" s="26">
        <v>2.76139993489523E-5</v>
      </c>
      <c r="M39">
        <v>-5.4338473748671802E-3</v>
      </c>
      <c r="N39">
        <v>3.6936473481889802</v>
      </c>
    </row>
    <row r="40" spans="1:14">
      <c r="A40" s="1">
        <v>39</v>
      </c>
      <c r="B40" t="s">
        <v>120</v>
      </c>
      <c r="C40" t="s">
        <v>121</v>
      </c>
      <c r="D40" t="s">
        <v>122</v>
      </c>
      <c r="E40" t="s">
        <v>120</v>
      </c>
      <c r="F40">
        <v>5</v>
      </c>
      <c r="G40">
        <v>5</v>
      </c>
      <c r="H40" t="s">
        <v>123</v>
      </c>
      <c r="I40" t="s">
        <v>123</v>
      </c>
      <c r="J40" t="s">
        <v>4</v>
      </c>
      <c r="K40">
        <v>0.99322915077209395</v>
      </c>
      <c r="L40" s="26">
        <v>3.0828442811943902E-5</v>
      </c>
      <c r="M40">
        <v>1.13720533752541E-2</v>
      </c>
      <c r="N40">
        <v>2.7713899745280499</v>
      </c>
    </row>
    <row r="41" spans="1:14">
      <c r="A41" s="1">
        <v>40</v>
      </c>
      <c r="B41" t="s">
        <v>124</v>
      </c>
      <c r="C41" t="s">
        <v>125</v>
      </c>
      <c r="D41" t="s">
        <v>126</v>
      </c>
      <c r="E41" t="s">
        <v>124</v>
      </c>
      <c r="F41">
        <v>5</v>
      </c>
      <c r="G41">
        <v>8</v>
      </c>
      <c r="H41" t="s">
        <v>8</v>
      </c>
      <c r="I41" t="s">
        <v>8</v>
      </c>
      <c r="J41" t="s">
        <v>4</v>
      </c>
      <c r="K41">
        <v>0.95962816476821899</v>
      </c>
      <c r="L41" s="26">
        <v>2.87805487697724E-5</v>
      </c>
      <c r="M41">
        <v>-2.1619558074533501E-2</v>
      </c>
      <c r="N41">
        <v>3.5764683912631101</v>
      </c>
    </row>
    <row r="42" spans="1:14">
      <c r="A42" s="1">
        <v>41</v>
      </c>
      <c r="B42" t="s">
        <v>127</v>
      </c>
      <c r="C42" t="s">
        <v>128</v>
      </c>
      <c r="D42" t="s">
        <v>129</v>
      </c>
      <c r="E42" t="s">
        <v>127</v>
      </c>
      <c r="F42">
        <v>5</v>
      </c>
      <c r="G42">
        <v>3</v>
      </c>
      <c r="H42" t="s">
        <v>8</v>
      </c>
      <c r="I42" t="s">
        <v>8</v>
      </c>
      <c r="J42" t="s">
        <v>4</v>
      </c>
      <c r="K42">
        <v>0.94158697128295898</v>
      </c>
      <c r="L42" s="26">
        <v>2.7737770964355801E-5</v>
      </c>
      <c r="M42">
        <v>-1.67140352761663E-3</v>
      </c>
      <c r="N42">
        <v>3.6698111537807101</v>
      </c>
    </row>
    <row r="43" spans="1:14">
      <c r="A43" s="1">
        <v>42</v>
      </c>
      <c r="B43" t="s">
        <v>130</v>
      </c>
      <c r="C43" t="s">
        <v>131</v>
      </c>
      <c r="D43" t="s">
        <v>132</v>
      </c>
      <c r="E43" t="s">
        <v>130</v>
      </c>
      <c r="F43">
        <v>4</v>
      </c>
      <c r="G43">
        <v>4</v>
      </c>
      <c r="H43" t="s">
        <v>8</v>
      </c>
      <c r="I43" t="s">
        <v>8</v>
      </c>
      <c r="J43" t="s">
        <v>4</v>
      </c>
      <c r="K43">
        <v>0.99440068006515503</v>
      </c>
      <c r="L43" s="26">
        <v>3.0901500270045097E-5</v>
      </c>
      <c r="M43">
        <v>-4.5762277704163502E-2</v>
      </c>
      <c r="N43">
        <v>2.9003462727488798</v>
      </c>
    </row>
    <row r="44" spans="1:14">
      <c r="A44" s="1">
        <v>43</v>
      </c>
      <c r="B44" t="s">
        <v>133</v>
      </c>
      <c r="C44" t="s">
        <v>134</v>
      </c>
      <c r="D44" t="s">
        <v>11</v>
      </c>
      <c r="E44" t="s">
        <v>133</v>
      </c>
      <c r="F44">
        <v>4</v>
      </c>
      <c r="G44">
        <v>4</v>
      </c>
      <c r="H44" t="s">
        <v>12</v>
      </c>
      <c r="I44" t="s">
        <v>12</v>
      </c>
      <c r="J44" t="s">
        <v>4</v>
      </c>
      <c r="K44">
        <v>0.55144518613815297</v>
      </c>
      <c r="L44" s="26">
        <v>9.7821711447280592E-6</v>
      </c>
      <c r="M44">
        <v>-9.2460733577297508E-3</v>
      </c>
      <c r="N44">
        <v>3.5916591170776999</v>
      </c>
    </row>
    <row r="45" spans="1:14">
      <c r="A45" s="1">
        <v>44</v>
      </c>
      <c r="B45" t="s">
        <v>135</v>
      </c>
      <c r="C45" t="s">
        <v>136</v>
      </c>
      <c r="D45" t="s">
        <v>11</v>
      </c>
      <c r="E45" t="s">
        <v>135</v>
      </c>
      <c r="F45">
        <v>4</v>
      </c>
      <c r="G45">
        <v>4</v>
      </c>
      <c r="H45" t="s">
        <v>12</v>
      </c>
      <c r="I45" t="s">
        <v>12</v>
      </c>
      <c r="J45" t="s">
        <v>4</v>
      </c>
      <c r="K45">
        <v>0.65376371145248402</v>
      </c>
      <c r="L45" s="26">
        <v>1.35155146067704E-5</v>
      </c>
      <c r="M45">
        <v>-2.9766834500282599E-2</v>
      </c>
      <c r="N45">
        <v>3.6788588228696102</v>
      </c>
    </row>
    <row r="46" spans="1:14">
      <c r="A46" s="1">
        <v>45</v>
      </c>
      <c r="B46" t="s">
        <v>137</v>
      </c>
      <c r="C46" t="s">
        <v>138</v>
      </c>
      <c r="D46" t="s">
        <v>139</v>
      </c>
      <c r="E46" t="s">
        <v>137</v>
      </c>
      <c r="F46">
        <v>5</v>
      </c>
      <c r="G46">
        <v>5</v>
      </c>
      <c r="H46" t="s">
        <v>8</v>
      </c>
      <c r="I46" t="s">
        <v>8</v>
      </c>
      <c r="J46" t="s">
        <v>4</v>
      </c>
      <c r="K46">
        <v>0.711514592170715</v>
      </c>
      <c r="L46" s="26">
        <v>1.58295337474513E-5</v>
      </c>
      <c r="M46">
        <v>1.0839481025225599E-2</v>
      </c>
      <c r="N46">
        <v>3.1104669617495002</v>
      </c>
    </row>
    <row r="47" spans="1:14">
      <c r="A47" s="1">
        <v>46</v>
      </c>
      <c r="B47" t="s">
        <v>140</v>
      </c>
      <c r="C47" t="s">
        <v>141</v>
      </c>
      <c r="D47" t="s">
        <v>142</v>
      </c>
      <c r="E47" t="s">
        <v>140</v>
      </c>
      <c r="F47">
        <v>4</v>
      </c>
      <c r="G47">
        <v>2</v>
      </c>
      <c r="H47" t="s">
        <v>12</v>
      </c>
      <c r="I47" t="s">
        <v>12</v>
      </c>
      <c r="J47" t="s">
        <v>4</v>
      </c>
      <c r="K47">
        <v>0.94055682420730502</v>
      </c>
      <c r="L47" s="26">
        <v>2.76488844427466E-5</v>
      </c>
      <c r="M47">
        <v>-1.1280227366507099E-2</v>
      </c>
      <c r="N47">
        <v>3.5469074085986501</v>
      </c>
    </row>
    <row r="48" spans="1:14">
      <c r="A48" s="1">
        <v>47</v>
      </c>
      <c r="B48" t="s">
        <v>143</v>
      </c>
      <c r="C48" t="s">
        <v>144</v>
      </c>
      <c r="D48" t="s">
        <v>145</v>
      </c>
      <c r="E48" t="s">
        <v>143</v>
      </c>
      <c r="F48">
        <v>4</v>
      </c>
      <c r="G48">
        <v>7</v>
      </c>
      <c r="H48" t="s">
        <v>12</v>
      </c>
      <c r="I48" t="s">
        <v>12</v>
      </c>
      <c r="J48" t="s">
        <v>4</v>
      </c>
      <c r="K48">
        <v>0.81903141736984197</v>
      </c>
      <c r="L48" s="26">
        <v>2.1021326284978502E-5</v>
      </c>
      <c r="M48">
        <v>-2.4932880845540201E-2</v>
      </c>
      <c r="N48">
        <v>3.71453803842466</v>
      </c>
    </row>
    <row r="49" spans="1:14">
      <c r="A49" s="1">
        <v>48</v>
      </c>
      <c r="B49" t="s">
        <v>146</v>
      </c>
      <c r="C49" t="s">
        <v>147</v>
      </c>
      <c r="D49" t="s">
        <v>148</v>
      </c>
      <c r="E49" t="s">
        <v>146</v>
      </c>
      <c r="F49">
        <v>4</v>
      </c>
      <c r="G49">
        <v>5</v>
      </c>
      <c r="H49" t="s">
        <v>3</v>
      </c>
      <c r="I49" t="s">
        <v>3</v>
      </c>
      <c r="J49" t="s">
        <v>4</v>
      </c>
      <c r="K49">
        <v>0.99585092067718495</v>
      </c>
      <c r="L49" s="26">
        <v>3.0991252776512499E-5</v>
      </c>
      <c r="M49">
        <v>3.3834254457417501E-2</v>
      </c>
      <c r="N49">
        <v>2.7594211562540298</v>
      </c>
    </row>
    <row r="50" spans="1:14">
      <c r="A50" s="1">
        <v>49</v>
      </c>
      <c r="B50" t="s">
        <v>149</v>
      </c>
      <c r="C50" t="s">
        <v>150</v>
      </c>
      <c r="D50" t="s">
        <v>151</v>
      </c>
      <c r="E50" t="s">
        <v>149</v>
      </c>
      <c r="F50">
        <v>4</v>
      </c>
      <c r="G50">
        <v>5</v>
      </c>
      <c r="H50" t="s">
        <v>68</v>
      </c>
      <c r="I50" t="s">
        <v>68</v>
      </c>
      <c r="J50" t="s">
        <v>4</v>
      </c>
      <c r="K50">
        <v>0.92808359861373901</v>
      </c>
      <c r="L50" s="26">
        <v>2.6980970075871099E-5</v>
      </c>
      <c r="M50">
        <v>1.97292128969195E-3</v>
      </c>
      <c r="N50">
        <v>3.7564075292191599</v>
      </c>
    </row>
    <row r="51" spans="1:14">
      <c r="A51" s="1">
        <v>50</v>
      </c>
      <c r="B51" t="s">
        <v>152</v>
      </c>
      <c r="C51" t="s">
        <v>153</v>
      </c>
      <c r="D51" t="s">
        <v>47</v>
      </c>
      <c r="E51" t="s">
        <v>152</v>
      </c>
      <c r="F51">
        <v>4</v>
      </c>
      <c r="G51">
        <v>2</v>
      </c>
      <c r="H51" t="s">
        <v>12</v>
      </c>
      <c r="I51" t="s">
        <v>12</v>
      </c>
      <c r="J51" t="s">
        <v>4</v>
      </c>
      <c r="K51">
        <v>0.71149492263793901</v>
      </c>
      <c r="L51" s="26">
        <v>1.5835484585847499E-5</v>
      </c>
      <c r="M51">
        <v>1.5749693368977798E-2</v>
      </c>
      <c r="N51">
        <v>3.5918500882152302</v>
      </c>
    </row>
    <row r="52" spans="1:14">
      <c r="A52" s="1">
        <v>51</v>
      </c>
      <c r="B52" t="s">
        <v>154</v>
      </c>
      <c r="C52" t="s">
        <v>155</v>
      </c>
      <c r="D52" t="s">
        <v>156</v>
      </c>
      <c r="E52" t="s">
        <v>154</v>
      </c>
      <c r="F52">
        <v>4</v>
      </c>
      <c r="G52">
        <v>4</v>
      </c>
      <c r="H52" t="s">
        <v>8</v>
      </c>
      <c r="I52" t="s">
        <v>8</v>
      </c>
      <c r="J52" t="s">
        <v>4</v>
      </c>
      <c r="K52">
        <v>0.99837839603423995</v>
      </c>
      <c r="L52" s="26">
        <v>3.1148736425718401E-5</v>
      </c>
      <c r="M52">
        <v>-1.39290172562596E-2</v>
      </c>
      <c r="N52">
        <v>2.9736027255719399</v>
      </c>
    </row>
    <row r="53" spans="1:14">
      <c r="A53" s="1">
        <v>52</v>
      </c>
      <c r="B53" t="s">
        <v>157</v>
      </c>
      <c r="C53" t="s">
        <v>158</v>
      </c>
      <c r="D53" t="s">
        <v>47</v>
      </c>
      <c r="E53" t="s">
        <v>157</v>
      </c>
      <c r="F53">
        <v>5</v>
      </c>
      <c r="G53">
        <v>2</v>
      </c>
      <c r="H53" t="s">
        <v>12</v>
      </c>
      <c r="I53" t="s">
        <v>12</v>
      </c>
      <c r="J53" t="s">
        <v>4</v>
      </c>
      <c r="K53">
        <v>0.49005863070487898</v>
      </c>
      <c r="L53" s="26">
        <v>7.9608367061583207E-6</v>
      </c>
      <c r="M53">
        <v>-2.2543601268777101E-2</v>
      </c>
      <c r="N53">
        <v>3.5330015007239601</v>
      </c>
    </row>
    <row r="54" spans="1:14">
      <c r="A54" s="1">
        <v>53</v>
      </c>
      <c r="B54" t="s">
        <v>159</v>
      </c>
      <c r="C54" t="s">
        <v>160</v>
      </c>
      <c r="D54" t="s">
        <v>61</v>
      </c>
      <c r="E54" t="s">
        <v>159</v>
      </c>
      <c r="F54">
        <v>5</v>
      </c>
      <c r="G54">
        <v>2</v>
      </c>
      <c r="H54" t="s">
        <v>22</v>
      </c>
      <c r="I54" t="s">
        <v>22</v>
      </c>
      <c r="J54" t="s">
        <v>4</v>
      </c>
      <c r="K54">
        <v>0.98769366741180398</v>
      </c>
      <c r="L54" s="26">
        <v>3.04858875447684E-5</v>
      </c>
      <c r="M54">
        <v>-1.9901452102047301E-2</v>
      </c>
      <c r="N54">
        <v>3.6185244116813302</v>
      </c>
    </row>
    <row r="55" spans="1:14">
      <c r="A55" s="1">
        <v>54</v>
      </c>
      <c r="B55" t="s">
        <v>161</v>
      </c>
      <c r="C55" t="s">
        <v>162</v>
      </c>
      <c r="D55" t="s">
        <v>47</v>
      </c>
      <c r="E55" t="s">
        <v>161</v>
      </c>
      <c r="F55">
        <v>5</v>
      </c>
      <c r="G55">
        <v>2</v>
      </c>
      <c r="H55" t="s">
        <v>12</v>
      </c>
      <c r="I55" t="s">
        <v>12</v>
      </c>
      <c r="J55" t="s">
        <v>4</v>
      </c>
      <c r="K55">
        <v>0.96887558698654097</v>
      </c>
      <c r="L55" s="26">
        <v>2.9338077193007201E-5</v>
      </c>
      <c r="M55">
        <v>5.6176706471830996E-3</v>
      </c>
      <c r="N55">
        <v>3.7459654130040998</v>
      </c>
    </row>
    <row r="56" spans="1:14">
      <c r="A56" s="1">
        <v>55</v>
      </c>
      <c r="B56" t="s">
        <v>163</v>
      </c>
      <c r="C56" t="s">
        <v>164</v>
      </c>
      <c r="D56" t="s">
        <v>165</v>
      </c>
      <c r="E56" t="s">
        <v>163</v>
      </c>
      <c r="F56">
        <v>7</v>
      </c>
      <c r="G56">
        <v>4</v>
      </c>
      <c r="H56" t="s">
        <v>22</v>
      </c>
      <c r="I56" t="s">
        <v>22</v>
      </c>
      <c r="J56" t="s">
        <v>4</v>
      </c>
      <c r="K56">
        <v>0.745205879211425</v>
      </c>
      <c r="L56" s="26">
        <v>1.7871250633993102E-5</v>
      </c>
      <c r="M56">
        <v>-5.3646776987079604E-3</v>
      </c>
      <c r="N56">
        <v>3.6174133668090498</v>
      </c>
    </row>
    <row r="57" spans="1:14">
      <c r="A57" s="1">
        <v>56</v>
      </c>
      <c r="B57" t="s">
        <v>166</v>
      </c>
      <c r="C57" t="s">
        <v>167</v>
      </c>
      <c r="D57" t="s">
        <v>168</v>
      </c>
      <c r="E57" t="s">
        <v>166</v>
      </c>
      <c r="F57">
        <v>4</v>
      </c>
      <c r="G57">
        <v>4</v>
      </c>
      <c r="H57" t="s">
        <v>12</v>
      </c>
      <c r="I57" t="s">
        <v>12</v>
      </c>
      <c r="J57" t="s">
        <v>4</v>
      </c>
      <c r="K57">
        <v>0.82672065496444702</v>
      </c>
      <c r="L57" s="26">
        <v>2.13820802560058E-5</v>
      </c>
      <c r="M57">
        <v>8.0274317069495196E-4</v>
      </c>
      <c r="N57">
        <v>3.4762367620702901</v>
      </c>
    </row>
    <row r="58" spans="1:14">
      <c r="A58" s="1">
        <v>57</v>
      </c>
      <c r="B58" t="s">
        <v>169</v>
      </c>
      <c r="C58" t="s">
        <v>170</v>
      </c>
      <c r="D58" t="s">
        <v>171</v>
      </c>
      <c r="E58" t="s">
        <v>169</v>
      </c>
      <c r="F58">
        <v>4</v>
      </c>
      <c r="G58">
        <v>9</v>
      </c>
      <c r="H58" t="s">
        <v>8</v>
      </c>
      <c r="I58" t="s">
        <v>8</v>
      </c>
      <c r="J58" t="s">
        <v>4</v>
      </c>
      <c r="K58">
        <v>0.98155391216277998</v>
      </c>
      <c r="L58" s="26">
        <v>3.0111918646948601E-5</v>
      </c>
      <c r="M58">
        <v>-6.5252479369348705E-4</v>
      </c>
      <c r="N58">
        <v>3.2204330611529701</v>
      </c>
    </row>
    <row r="59" spans="1:14">
      <c r="A59" s="1">
        <v>58</v>
      </c>
      <c r="B59" t="s">
        <v>172</v>
      </c>
      <c r="C59" t="s">
        <v>173</v>
      </c>
      <c r="D59" t="s">
        <v>174</v>
      </c>
      <c r="E59" t="s">
        <v>172</v>
      </c>
      <c r="F59">
        <v>5</v>
      </c>
      <c r="G59">
        <v>6</v>
      </c>
      <c r="H59" t="s">
        <v>8</v>
      </c>
      <c r="I59" t="s">
        <v>8</v>
      </c>
      <c r="J59" t="s">
        <v>4</v>
      </c>
      <c r="K59">
        <v>0.97597628831863403</v>
      </c>
      <c r="L59" s="26">
        <v>2.9767032799196002E-5</v>
      </c>
      <c r="M59">
        <v>-9.9728727700636403E-3</v>
      </c>
      <c r="N59">
        <v>3.68877430134618</v>
      </c>
    </row>
    <row r="60" spans="1:14">
      <c r="A60" s="1">
        <v>59</v>
      </c>
      <c r="B60" t="s">
        <v>175</v>
      </c>
      <c r="C60" t="s">
        <v>176</v>
      </c>
      <c r="D60" t="s">
        <v>177</v>
      </c>
      <c r="E60" t="s">
        <v>175</v>
      </c>
      <c r="F60">
        <v>5</v>
      </c>
      <c r="G60">
        <v>4</v>
      </c>
      <c r="H60" t="s">
        <v>8</v>
      </c>
      <c r="I60" t="s">
        <v>8</v>
      </c>
      <c r="J60" t="s">
        <v>4</v>
      </c>
      <c r="K60">
        <v>0.92902344465255704</v>
      </c>
      <c r="L60" s="26">
        <v>2.6972279130659699E-5</v>
      </c>
      <c r="M60">
        <v>2.5195644774485399E-2</v>
      </c>
      <c r="N60">
        <v>3.5092435971862299</v>
      </c>
    </row>
    <row r="61" spans="1:14">
      <c r="A61" s="1">
        <v>60</v>
      </c>
      <c r="B61" t="s">
        <v>178</v>
      </c>
      <c r="C61" t="s">
        <v>179</v>
      </c>
      <c r="D61" t="s">
        <v>142</v>
      </c>
      <c r="E61" t="s">
        <v>2336</v>
      </c>
      <c r="F61">
        <v>4</v>
      </c>
      <c r="G61">
        <v>2</v>
      </c>
      <c r="H61" t="s">
        <v>12</v>
      </c>
      <c r="I61" t="s">
        <v>8</v>
      </c>
      <c r="J61" t="s">
        <v>180</v>
      </c>
      <c r="K61">
        <v>0.28005495667457497</v>
      </c>
      <c r="L61" s="26">
        <v>4.8764957112918901E-6</v>
      </c>
      <c r="M61">
        <v>-1.04380476877992E-2</v>
      </c>
      <c r="N61">
        <v>3.8317514086712201</v>
      </c>
    </row>
    <row r="62" spans="1:14">
      <c r="A62" s="1">
        <v>61</v>
      </c>
      <c r="B62" t="s">
        <v>181</v>
      </c>
      <c r="C62" t="s">
        <v>182</v>
      </c>
      <c r="D62" t="s">
        <v>47</v>
      </c>
      <c r="E62" t="s">
        <v>181</v>
      </c>
      <c r="F62">
        <v>4</v>
      </c>
      <c r="G62">
        <v>2</v>
      </c>
      <c r="H62" t="s">
        <v>12</v>
      </c>
      <c r="I62" t="s">
        <v>12</v>
      </c>
      <c r="J62" t="s">
        <v>4</v>
      </c>
      <c r="K62">
        <v>0.45172765851020802</v>
      </c>
      <c r="L62" s="26">
        <v>6.8860539981820996E-6</v>
      </c>
      <c r="M62">
        <v>2.2922089947456899E-3</v>
      </c>
      <c r="N62">
        <v>3.59004476428</v>
      </c>
    </row>
    <row r="63" spans="1:14">
      <c r="A63" s="1">
        <v>62</v>
      </c>
      <c r="B63" t="s">
        <v>183</v>
      </c>
      <c r="C63" t="s">
        <v>184</v>
      </c>
      <c r="D63" t="s">
        <v>61</v>
      </c>
      <c r="E63" t="s">
        <v>183</v>
      </c>
      <c r="F63">
        <v>5</v>
      </c>
      <c r="G63">
        <v>2</v>
      </c>
      <c r="H63" t="s">
        <v>22</v>
      </c>
      <c r="I63" t="s">
        <v>22</v>
      </c>
      <c r="J63" t="s">
        <v>4</v>
      </c>
      <c r="K63">
        <v>0.93946015834808305</v>
      </c>
      <c r="L63" s="26">
        <v>2.7583836229338599E-5</v>
      </c>
      <c r="M63">
        <v>2.8090096882635801E-3</v>
      </c>
      <c r="N63">
        <v>3.4925946650417199</v>
      </c>
    </row>
    <row r="64" spans="1:14">
      <c r="A64" s="1">
        <v>63</v>
      </c>
      <c r="B64" t="s">
        <v>185</v>
      </c>
      <c r="C64" t="s">
        <v>186</v>
      </c>
      <c r="D64" t="s">
        <v>187</v>
      </c>
      <c r="E64" t="s">
        <v>185</v>
      </c>
      <c r="F64">
        <v>4</v>
      </c>
      <c r="G64">
        <v>7</v>
      </c>
      <c r="H64" t="s">
        <v>8</v>
      </c>
      <c r="I64" t="s">
        <v>8</v>
      </c>
      <c r="J64" t="s">
        <v>4</v>
      </c>
      <c r="K64">
        <v>0.45958548784255898</v>
      </c>
      <c r="L64" s="26">
        <v>7.0463757883610502E-6</v>
      </c>
      <c r="M64">
        <v>1.08382245176557E-2</v>
      </c>
      <c r="N64">
        <v>3.3903762248317402</v>
      </c>
    </row>
    <row r="65" spans="1:14">
      <c r="A65" s="1">
        <v>64</v>
      </c>
      <c r="B65" t="s">
        <v>188</v>
      </c>
      <c r="C65" t="s">
        <v>189</v>
      </c>
      <c r="D65" t="s">
        <v>190</v>
      </c>
      <c r="E65" t="s">
        <v>188</v>
      </c>
      <c r="F65">
        <v>4</v>
      </c>
      <c r="G65">
        <v>6</v>
      </c>
      <c r="H65" t="s">
        <v>8</v>
      </c>
      <c r="I65" t="s">
        <v>8</v>
      </c>
      <c r="J65" t="s">
        <v>4</v>
      </c>
      <c r="K65">
        <v>0.99663430452346802</v>
      </c>
      <c r="L65" s="26">
        <v>3.1040173844228998E-5</v>
      </c>
      <c r="M65">
        <v>-1.3569813144414401E-2</v>
      </c>
      <c r="N65">
        <v>2.7168120540624399</v>
      </c>
    </row>
    <row r="66" spans="1:14">
      <c r="A66" s="1">
        <v>65</v>
      </c>
      <c r="B66" t="s">
        <v>191</v>
      </c>
      <c r="C66" t="s">
        <v>192</v>
      </c>
      <c r="D66" t="s">
        <v>193</v>
      </c>
      <c r="E66" t="s">
        <v>191</v>
      </c>
      <c r="F66">
        <v>4</v>
      </c>
      <c r="G66">
        <v>7</v>
      </c>
      <c r="H66" t="s">
        <v>8</v>
      </c>
      <c r="I66" t="s">
        <v>8</v>
      </c>
      <c r="J66" t="s">
        <v>4</v>
      </c>
      <c r="K66">
        <v>0.98251765966415405</v>
      </c>
      <c r="L66" s="26">
        <v>3.0168100257369599E-5</v>
      </c>
      <c r="M66">
        <v>2.3446706016898099E-2</v>
      </c>
      <c r="N66">
        <v>2.72627884640114</v>
      </c>
    </row>
    <row r="67" spans="1:14">
      <c r="A67" s="1">
        <v>66</v>
      </c>
      <c r="B67" t="s">
        <v>194</v>
      </c>
      <c r="C67" t="s">
        <v>195</v>
      </c>
      <c r="D67" t="s">
        <v>196</v>
      </c>
      <c r="E67" t="s">
        <v>194</v>
      </c>
      <c r="F67">
        <v>4</v>
      </c>
      <c r="G67">
        <v>4</v>
      </c>
      <c r="H67" t="s">
        <v>8</v>
      </c>
      <c r="I67" t="s">
        <v>8</v>
      </c>
      <c r="J67" t="s">
        <v>4</v>
      </c>
      <c r="K67">
        <v>0.32746335864067</v>
      </c>
      <c r="L67" s="26">
        <v>3.65011424860219E-6</v>
      </c>
      <c r="M67">
        <v>4.9840765165626501E-2</v>
      </c>
      <c r="N67">
        <v>2.3117745467716699</v>
      </c>
    </row>
    <row r="68" spans="1:14">
      <c r="A68" s="1">
        <v>67</v>
      </c>
      <c r="B68" t="s">
        <v>197</v>
      </c>
      <c r="C68" t="s">
        <v>198</v>
      </c>
      <c r="D68" t="s">
        <v>199</v>
      </c>
      <c r="E68" t="s">
        <v>200</v>
      </c>
      <c r="F68">
        <v>4</v>
      </c>
      <c r="G68">
        <v>12</v>
      </c>
      <c r="H68" t="s">
        <v>8</v>
      </c>
      <c r="I68" t="s">
        <v>8</v>
      </c>
      <c r="J68" t="s">
        <v>180</v>
      </c>
      <c r="K68">
        <v>0.20598092675209001</v>
      </c>
      <c r="L68" s="26">
        <v>3.4796455753448499E-6</v>
      </c>
      <c r="M68">
        <v>-2.06537833270488E-2</v>
      </c>
      <c r="N68">
        <v>3.7402350426074702</v>
      </c>
    </row>
    <row r="69" spans="1:14">
      <c r="A69" s="1">
        <v>68</v>
      </c>
      <c r="B69" t="s">
        <v>201</v>
      </c>
      <c r="C69" t="s">
        <v>202</v>
      </c>
      <c r="D69" t="s">
        <v>203</v>
      </c>
      <c r="E69" t="s">
        <v>201</v>
      </c>
      <c r="F69">
        <v>4</v>
      </c>
      <c r="G69">
        <v>6</v>
      </c>
      <c r="H69" t="s">
        <v>8</v>
      </c>
      <c r="I69" t="s">
        <v>8</v>
      </c>
      <c r="J69" t="s">
        <v>4</v>
      </c>
      <c r="K69">
        <v>0.91761499643325795</v>
      </c>
      <c r="L69" s="26">
        <v>2.6323335276105498E-5</v>
      </c>
      <c r="M69">
        <v>-2.36486547117849E-2</v>
      </c>
      <c r="N69">
        <v>3.6382855524684898</v>
      </c>
    </row>
    <row r="70" spans="1:14">
      <c r="A70" s="1">
        <v>69</v>
      </c>
      <c r="B70" t="s">
        <v>204</v>
      </c>
      <c r="C70" t="s">
        <v>205</v>
      </c>
      <c r="D70" t="s">
        <v>206</v>
      </c>
      <c r="E70" t="s">
        <v>204</v>
      </c>
      <c r="F70">
        <v>4</v>
      </c>
      <c r="G70">
        <v>5</v>
      </c>
      <c r="H70" t="s">
        <v>98</v>
      </c>
      <c r="I70" t="s">
        <v>98</v>
      </c>
      <c r="J70" t="s">
        <v>4</v>
      </c>
      <c r="K70">
        <v>0.9935884475708</v>
      </c>
      <c r="L70" s="26">
        <v>3.0850786776487498E-5</v>
      </c>
      <c r="M70">
        <v>-1.81880401295542E-3</v>
      </c>
      <c r="N70">
        <v>2.4849869238988802</v>
      </c>
    </row>
    <row r="71" spans="1:14">
      <c r="A71" s="1">
        <v>70</v>
      </c>
      <c r="B71" t="s">
        <v>207</v>
      </c>
      <c r="C71" t="s">
        <v>208</v>
      </c>
      <c r="D71" t="s">
        <v>209</v>
      </c>
      <c r="E71" t="s">
        <v>207</v>
      </c>
      <c r="F71">
        <v>4</v>
      </c>
      <c r="G71">
        <v>4</v>
      </c>
      <c r="H71" t="s">
        <v>22</v>
      </c>
      <c r="I71" t="s">
        <v>22</v>
      </c>
      <c r="J71" t="s">
        <v>4</v>
      </c>
      <c r="K71">
        <v>0.95001482963562001</v>
      </c>
      <c r="L71" s="26">
        <v>2.82230579549486E-5</v>
      </c>
      <c r="M71">
        <v>2.81001521631263E-3</v>
      </c>
      <c r="N71">
        <v>3.5627108085694101</v>
      </c>
    </row>
    <row r="72" spans="1:14">
      <c r="A72" s="1">
        <v>71</v>
      </c>
      <c r="B72" t="s">
        <v>210</v>
      </c>
      <c r="C72" t="s">
        <v>211</v>
      </c>
      <c r="D72" t="s">
        <v>212</v>
      </c>
      <c r="E72" t="s">
        <v>210</v>
      </c>
      <c r="F72">
        <v>4</v>
      </c>
      <c r="G72">
        <v>4</v>
      </c>
      <c r="H72" t="s">
        <v>8</v>
      </c>
      <c r="I72" t="s">
        <v>8</v>
      </c>
      <c r="J72" t="s">
        <v>4</v>
      </c>
      <c r="K72">
        <v>0.39435249567031799</v>
      </c>
      <c r="L72" s="26">
        <v>5.0656149383074298E-6</v>
      </c>
      <c r="M72">
        <v>2.2083062246728902E-2</v>
      </c>
      <c r="N72">
        <v>3.17323553030598</v>
      </c>
    </row>
    <row r="73" spans="1:14">
      <c r="A73" s="1">
        <v>72</v>
      </c>
      <c r="B73" t="s">
        <v>213</v>
      </c>
      <c r="C73" t="s">
        <v>214</v>
      </c>
      <c r="D73" t="s">
        <v>215</v>
      </c>
      <c r="E73" t="s">
        <v>213</v>
      </c>
      <c r="F73">
        <v>4</v>
      </c>
      <c r="G73">
        <v>4</v>
      </c>
      <c r="H73" t="s">
        <v>98</v>
      </c>
      <c r="I73" t="s">
        <v>98</v>
      </c>
      <c r="J73" t="s">
        <v>4</v>
      </c>
      <c r="K73">
        <v>0.83469283580779996</v>
      </c>
      <c r="L73" s="26">
        <v>2.1784744093778899E-5</v>
      </c>
      <c r="M73">
        <v>-3.9408126826565103E-2</v>
      </c>
      <c r="N73">
        <v>3.4523086995269701</v>
      </c>
    </row>
    <row r="74" spans="1:14">
      <c r="A74" s="1">
        <v>73</v>
      </c>
      <c r="B74" t="s">
        <v>216</v>
      </c>
      <c r="C74" t="s">
        <v>217</v>
      </c>
      <c r="D74" t="s">
        <v>218</v>
      </c>
      <c r="E74" t="s">
        <v>216</v>
      </c>
      <c r="F74">
        <v>6</v>
      </c>
      <c r="G74">
        <v>5</v>
      </c>
      <c r="H74" t="s">
        <v>8</v>
      </c>
      <c r="I74" t="s">
        <v>8</v>
      </c>
      <c r="J74" t="s">
        <v>4</v>
      </c>
      <c r="K74">
        <v>0.83204883337020796</v>
      </c>
      <c r="L74" s="26">
        <v>2.1643055649570898E-5</v>
      </c>
      <c r="M74">
        <v>2.1247721072544499E-2</v>
      </c>
      <c r="N74">
        <v>2.7340721936288199</v>
      </c>
    </row>
    <row r="75" spans="1:14">
      <c r="A75" s="1">
        <v>74</v>
      </c>
      <c r="B75" t="s">
        <v>219</v>
      </c>
      <c r="C75" t="s">
        <v>220</v>
      </c>
      <c r="D75" t="s">
        <v>221</v>
      </c>
      <c r="E75" t="s">
        <v>219</v>
      </c>
      <c r="F75">
        <v>6</v>
      </c>
      <c r="G75">
        <v>5</v>
      </c>
      <c r="H75" t="s">
        <v>8</v>
      </c>
      <c r="I75" t="s">
        <v>8</v>
      </c>
      <c r="J75" t="s">
        <v>4</v>
      </c>
      <c r="K75">
        <v>0.92730593681335405</v>
      </c>
      <c r="L75" s="26">
        <v>2.6888871670109601E-5</v>
      </c>
      <c r="M75">
        <v>-7.5779592876301597E-3</v>
      </c>
      <c r="N75">
        <v>3.7689993022438899</v>
      </c>
    </row>
    <row r="76" spans="1:14">
      <c r="A76" s="1">
        <v>75</v>
      </c>
      <c r="B76" t="s">
        <v>222</v>
      </c>
      <c r="C76" t="s">
        <v>223</v>
      </c>
      <c r="D76" t="s">
        <v>224</v>
      </c>
      <c r="E76" t="s">
        <v>222</v>
      </c>
      <c r="F76">
        <v>4</v>
      </c>
      <c r="G76">
        <v>4</v>
      </c>
      <c r="H76" t="s">
        <v>8</v>
      </c>
      <c r="I76" t="s">
        <v>8</v>
      </c>
      <c r="J76" t="s">
        <v>4</v>
      </c>
      <c r="K76">
        <v>0.91311621665954501</v>
      </c>
      <c r="L76" s="26">
        <v>2.60798230742028E-5</v>
      </c>
      <c r="M76">
        <v>-3.4702966771135303E-2</v>
      </c>
      <c r="N76">
        <v>3.5208784533809099</v>
      </c>
    </row>
    <row r="77" spans="1:14">
      <c r="A77" s="1">
        <v>76</v>
      </c>
      <c r="B77" t="s">
        <v>225</v>
      </c>
      <c r="C77" t="s">
        <v>226</v>
      </c>
      <c r="D77" t="s">
        <v>227</v>
      </c>
      <c r="E77" t="s">
        <v>225</v>
      </c>
      <c r="F77">
        <v>6</v>
      </c>
      <c r="G77">
        <v>3</v>
      </c>
      <c r="H77" t="s">
        <v>8</v>
      </c>
      <c r="I77" t="s">
        <v>8</v>
      </c>
      <c r="J77" t="s">
        <v>4</v>
      </c>
      <c r="K77">
        <v>0.81461113691329901</v>
      </c>
      <c r="L77" s="26">
        <v>2.0785163712164198E-5</v>
      </c>
      <c r="M77">
        <v>6.5543615295382497E-4</v>
      </c>
      <c r="N77">
        <v>3.3246855363013799</v>
      </c>
    </row>
    <row r="78" spans="1:14">
      <c r="A78" s="1">
        <v>77</v>
      </c>
      <c r="B78" t="s">
        <v>228</v>
      </c>
      <c r="C78" t="s">
        <v>229</v>
      </c>
      <c r="D78" t="s">
        <v>61</v>
      </c>
      <c r="E78" t="s">
        <v>228</v>
      </c>
      <c r="F78">
        <v>4</v>
      </c>
      <c r="G78">
        <v>2</v>
      </c>
      <c r="H78" t="s">
        <v>22</v>
      </c>
      <c r="I78" t="s">
        <v>22</v>
      </c>
      <c r="J78" t="s">
        <v>4</v>
      </c>
      <c r="K78">
        <v>0.75289803743362405</v>
      </c>
      <c r="L78" s="26">
        <v>1.77673040968141E-5</v>
      </c>
      <c r="M78">
        <v>1.5689341134361701E-3</v>
      </c>
      <c r="N78">
        <v>3.48880856199137</v>
      </c>
    </row>
    <row r="79" spans="1:14">
      <c r="A79" s="1">
        <v>78</v>
      </c>
      <c r="B79" t="s">
        <v>230</v>
      </c>
      <c r="C79" t="s">
        <v>231</v>
      </c>
      <c r="D79" t="s">
        <v>168</v>
      </c>
      <c r="E79" t="s">
        <v>230</v>
      </c>
      <c r="F79">
        <v>4</v>
      </c>
      <c r="G79">
        <v>4</v>
      </c>
      <c r="H79" t="s">
        <v>3</v>
      </c>
      <c r="I79" t="s">
        <v>3</v>
      </c>
      <c r="J79" t="s">
        <v>4</v>
      </c>
      <c r="K79">
        <v>0.76719862222671498</v>
      </c>
      <c r="L79" s="26">
        <v>1.85260818553087E-5</v>
      </c>
      <c r="M79">
        <v>-1.48411602872329E-2</v>
      </c>
      <c r="N79">
        <v>3.61542408953563</v>
      </c>
    </row>
    <row r="80" spans="1:14">
      <c r="A80" s="1">
        <v>79</v>
      </c>
      <c r="B80" t="s">
        <v>232</v>
      </c>
      <c r="C80" t="s">
        <v>233</v>
      </c>
      <c r="D80" t="s">
        <v>61</v>
      </c>
      <c r="E80" t="s">
        <v>232</v>
      </c>
      <c r="F80">
        <v>5</v>
      </c>
      <c r="G80">
        <v>2</v>
      </c>
      <c r="H80" t="s">
        <v>22</v>
      </c>
      <c r="I80" t="s">
        <v>22</v>
      </c>
      <c r="J80" t="s">
        <v>4</v>
      </c>
      <c r="K80">
        <v>0.84407037496566695</v>
      </c>
      <c r="L80" s="26">
        <v>2.2307566492387899E-5</v>
      </c>
      <c r="M80">
        <v>2.9154068741730599E-2</v>
      </c>
      <c r="N80">
        <v>3.6235477146302002</v>
      </c>
    </row>
    <row r="81" spans="1:14">
      <c r="A81" s="1">
        <v>80</v>
      </c>
      <c r="B81" t="s">
        <v>234</v>
      </c>
      <c r="C81" t="s">
        <v>235</v>
      </c>
      <c r="D81" t="s">
        <v>236</v>
      </c>
      <c r="E81" t="s">
        <v>234</v>
      </c>
      <c r="F81">
        <v>5</v>
      </c>
      <c r="G81">
        <v>5</v>
      </c>
      <c r="H81" t="s">
        <v>98</v>
      </c>
      <c r="I81" t="s">
        <v>98</v>
      </c>
      <c r="J81" t="s">
        <v>4</v>
      </c>
      <c r="K81">
        <v>0.99325376749038696</v>
      </c>
      <c r="L81" s="26">
        <v>3.0830110295561402E-5</v>
      </c>
      <c r="M81">
        <v>2.9755858517285402E-2</v>
      </c>
      <c r="N81">
        <v>3.0767864026343599</v>
      </c>
    </row>
    <row r="82" spans="1:14">
      <c r="A82" s="1">
        <v>81</v>
      </c>
      <c r="B82" t="s">
        <v>237</v>
      </c>
      <c r="C82" t="s">
        <v>238</v>
      </c>
      <c r="D82" t="s">
        <v>239</v>
      </c>
      <c r="E82" t="s">
        <v>237</v>
      </c>
      <c r="F82">
        <v>5</v>
      </c>
      <c r="G82">
        <v>5</v>
      </c>
      <c r="H82" t="s">
        <v>8</v>
      </c>
      <c r="I82" t="s">
        <v>8</v>
      </c>
      <c r="J82" t="s">
        <v>4</v>
      </c>
      <c r="K82">
        <v>0.99493658542633001</v>
      </c>
      <c r="L82" s="26">
        <v>3.0934370615602497E-5</v>
      </c>
      <c r="M82">
        <v>-3.5017188513350499E-2</v>
      </c>
      <c r="N82">
        <v>2.56893122006562</v>
      </c>
    </row>
    <row r="83" spans="1:14">
      <c r="A83" s="1">
        <v>82</v>
      </c>
      <c r="B83" t="s">
        <v>240</v>
      </c>
      <c r="C83" t="s">
        <v>241</v>
      </c>
      <c r="D83" t="s">
        <v>242</v>
      </c>
      <c r="E83" t="s">
        <v>240</v>
      </c>
      <c r="F83">
        <v>4</v>
      </c>
      <c r="G83">
        <v>4</v>
      </c>
      <c r="H83" t="s">
        <v>98</v>
      </c>
      <c r="I83" t="s">
        <v>98</v>
      </c>
      <c r="J83" t="s">
        <v>4</v>
      </c>
      <c r="K83">
        <v>0.90744405984878496</v>
      </c>
      <c r="L83" s="26">
        <v>2.5735834634140199E-5</v>
      </c>
      <c r="M83">
        <v>-3.8427368526441699E-2</v>
      </c>
      <c r="N83">
        <v>3.3623580330023999</v>
      </c>
    </row>
    <row r="84" spans="1:14">
      <c r="A84" s="1">
        <v>83</v>
      </c>
      <c r="B84" t="s">
        <v>243</v>
      </c>
      <c r="C84" t="s">
        <v>244</v>
      </c>
      <c r="D84" t="s">
        <v>245</v>
      </c>
      <c r="E84" t="s">
        <v>243</v>
      </c>
      <c r="F84">
        <v>6</v>
      </c>
      <c r="G84">
        <v>5</v>
      </c>
      <c r="H84" t="s">
        <v>8</v>
      </c>
      <c r="I84" t="s">
        <v>8</v>
      </c>
      <c r="J84" t="s">
        <v>4</v>
      </c>
      <c r="K84">
        <v>0.95393610000610296</v>
      </c>
      <c r="L84" s="26">
        <v>2.8439828534692501E-5</v>
      </c>
      <c r="M84">
        <v>-6.6419393401175803E-3</v>
      </c>
      <c r="N84">
        <v>3.6762419077992199</v>
      </c>
    </row>
    <row r="85" spans="1:14">
      <c r="A85" s="1">
        <v>84</v>
      </c>
      <c r="B85" t="s">
        <v>246</v>
      </c>
      <c r="C85" t="s">
        <v>247</v>
      </c>
      <c r="D85" t="s">
        <v>248</v>
      </c>
      <c r="E85" t="s">
        <v>246</v>
      </c>
      <c r="F85">
        <v>8</v>
      </c>
      <c r="G85">
        <v>3</v>
      </c>
      <c r="H85" t="s">
        <v>8</v>
      </c>
      <c r="I85" t="s">
        <v>8</v>
      </c>
      <c r="J85" t="s">
        <v>4</v>
      </c>
      <c r="K85">
        <v>0.88722848892211903</v>
      </c>
      <c r="L85" s="26">
        <v>2.46079946618148E-5</v>
      </c>
      <c r="M85">
        <v>1.71973758547849E-2</v>
      </c>
      <c r="N85">
        <v>2.9479530924956499</v>
      </c>
    </row>
    <row r="86" spans="1:14">
      <c r="A86" s="1">
        <v>85</v>
      </c>
      <c r="B86" t="s">
        <v>249</v>
      </c>
      <c r="C86" t="s">
        <v>250</v>
      </c>
      <c r="D86" t="s">
        <v>251</v>
      </c>
      <c r="E86" t="s">
        <v>249</v>
      </c>
      <c r="F86">
        <v>7</v>
      </c>
      <c r="G86">
        <v>5</v>
      </c>
      <c r="H86" t="s">
        <v>68</v>
      </c>
      <c r="I86" t="s">
        <v>68</v>
      </c>
      <c r="J86" t="s">
        <v>4</v>
      </c>
      <c r="K86">
        <v>0.98628520965576105</v>
      </c>
      <c r="L86" s="26">
        <v>3.0399101383638499E-5</v>
      </c>
      <c r="M86">
        <v>7.6762584277254497E-3</v>
      </c>
      <c r="N86">
        <v>3.6249404225933701</v>
      </c>
    </row>
    <row r="87" spans="1:14">
      <c r="A87" s="1">
        <v>86</v>
      </c>
      <c r="B87" t="s">
        <v>252</v>
      </c>
      <c r="C87" t="s">
        <v>253</v>
      </c>
      <c r="D87" t="s">
        <v>254</v>
      </c>
      <c r="E87" t="s">
        <v>252</v>
      </c>
      <c r="F87">
        <v>4</v>
      </c>
      <c r="G87">
        <v>7</v>
      </c>
      <c r="H87" t="s">
        <v>98</v>
      </c>
      <c r="I87" t="s">
        <v>98</v>
      </c>
      <c r="J87" t="s">
        <v>4</v>
      </c>
      <c r="K87">
        <v>0.43315577507018999</v>
      </c>
      <c r="L87" s="26">
        <v>6.78582335120393E-6</v>
      </c>
      <c r="M87">
        <v>-4.3837059039399898E-2</v>
      </c>
      <c r="N87">
        <v>3.3300171311443298</v>
      </c>
    </row>
    <row r="88" spans="1:14">
      <c r="A88" s="1">
        <v>87</v>
      </c>
      <c r="B88" t="s">
        <v>255</v>
      </c>
      <c r="C88" t="s">
        <v>256</v>
      </c>
      <c r="D88" t="s">
        <v>257</v>
      </c>
      <c r="E88" t="s">
        <v>255</v>
      </c>
      <c r="F88">
        <v>4</v>
      </c>
      <c r="G88">
        <v>3</v>
      </c>
      <c r="H88" t="s">
        <v>12</v>
      </c>
      <c r="I88" t="s">
        <v>12</v>
      </c>
      <c r="J88" t="s">
        <v>4</v>
      </c>
      <c r="K88">
        <v>0.98381930589675903</v>
      </c>
      <c r="L88" s="26">
        <v>3.0247498577565999E-5</v>
      </c>
      <c r="M88">
        <v>6.7151045410867001E-3</v>
      </c>
      <c r="N88">
        <v>3.73204523901124</v>
      </c>
    </row>
    <row r="89" spans="1:14">
      <c r="A89" s="1">
        <v>88</v>
      </c>
      <c r="B89" t="s">
        <v>258</v>
      </c>
      <c r="C89" t="s">
        <v>259</v>
      </c>
      <c r="D89" t="s">
        <v>61</v>
      </c>
      <c r="E89" t="s">
        <v>258</v>
      </c>
      <c r="F89">
        <v>8</v>
      </c>
      <c r="G89">
        <v>2</v>
      </c>
      <c r="H89" t="s">
        <v>22</v>
      </c>
      <c r="I89" t="s">
        <v>22</v>
      </c>
      <c r="J89" t="s">
        <v>4</v>
      </c>
      <c r="K89">
        <v>0.97851073741912797</v>
      </c>
      <c r="L89" s="26">
        <v>2.9922205275023998E-5</v>
      </c>
      <c r="M89">
        <v>-4.6195985812147403E-3</v>
      </c>
      <c r="N89">
        <v>3.6350003487012601</v>
      </c>
    </row>
    <row r="90" spans="1:14">
      <c r="A90" s="1">
        <v>89</v>
      </c>
      <c r="B90" t="s">
        <v>260</v>
      </c>
      <c r="C90" t="s">
        <v>261</v>
      </c>
      <c r="D90" t="s">
        <v>262</v>
      </c>
      <c r="E90" t="s">
        <v>260</v>
      </c>
      <c r="F90">
        <v>5</v>
      </c>
      <c r="G90">
        <v>4</v>
      </c>
      <c r="H90" t="s">
        <v>8</v>
      </c>
      <c r="I90" t="s">
        <v>8</v>
      </c>
      <c r="J90" t="s">
        <v>4</v>
      </c>
      <c r="K90">
        <v>0.99311006069183305</v>
      </c>
      <c r="L90" s="26">
        <v>3.08209804279887E-5</v>
      </c>
      <c r="M90">
        <v>-1.6237802533908E-2</v>
      </c>
      <c r="N90">
        <v>2.49324365877133</v>
      </c>
    </row>
    <row r="91" spans="1:14">
      <c r="A91" s="1">
        <v>90</v>
      </c>
      <c r="B91" t="s">
        <v>263</v>
      </c>
      <c r="C91" t="s">
        <v>264</v>
      </c>
      <c r="D91" t="s">
        <v>61</v>
      </c>
      <c r="E91" t="s">
        <v>263</v>
      </c>
      <c r="F91">
        <v>5</v>
      </c>
      <c r="G91">
        <v>2</v>
      </c>
      <c r="H91" t="s">
        <v>22</v>
      </c>
      <c r="I91" t="s">
        <v>22</v>
      </c>
      <c r="J91" t="s">
        <v>4</v>
      </c>
      <c r="K91">
        <v>0.91973370313644398</v>
      </c>
      <c r="L91" s="26">
        <v>2.64551018372145E-5</v>
      </c>
      <c r="M91">
        <v>-1.2261817948864199E-3</v>
      </c>
      <c r="N91">
        <v>3.66913925699511</v>
      </c>
    </row>
    <row r="92" spans="1:14">
      <c r="A92" s="1">
        <v>91</v>
      </c>
      <c r="B92" t="s">
        <v>265</v>
      </c>
      <c r="C92" t="s">
        <v>266</v>
      </c>
      <c r="D92" t="s">
        <v>47</v>
      </c>
      <c r="E92" t="s">
        <v>265</v>
      </c>
      <c r="F92">
        <v>4</v>
      </c>
      <c r="G92">
        <v>2</v>
      </c>
      <c r="H92" t="s">
        <v>12</v>
      </c>
      <c r="I92" t="s">
        <v>12</v>
      </c>
      <c r="J92" t="s">
        <v>4</v>
      </c>
      <c r="K92">
        <v>0.45491218566894498</v>
      </c>
      <c r="L92" s="26">
        <v>6.80926643216511E-6</v>
      </c>
      <c r="M92">
        <v>1.9020045781957099E-2</v>
      </c>
      <c r="N92">
        <v>3.6988751012782002</v>
      </c>
    </row>
    <row r="93" spans="1:14">
      <c r="A93" s="1">
        <v>92</v>
      </c>
      <c r="B93" t="s">
        <v>267</v>
      </c>
      <c r="C93" t="s">
        <v>268</v>
      </c>
      <c r="D93" t="s">
        <v>269</v>
      </c>
      <c r="E93" t="s">
        <v>267</v>
      </c>
      <c r="F93">
        <v>4</v>
      </c>
      <c r="G93">
        <v>4</v>
      </c>
      <c r="H93" t="s">
        <v>68</v>
      </c>
      <c r="I93" t="s">
        <v>68</v>
      </c>
      <c r="J93" t="s">
        <v>4</v>
      </c>
      <c r="K93">
        <v>0.96497434377670199</v>
      </c>
      <c r="L93" s="26">
        <v>2.9105372518518999E-5</v>
      </c>
      <c r="M93">
        <v>-1.9719755666443399E-2</v>
      </c>
      <c r="N93">
        <v>3.66975929366486</v>
      </c>
    </row>
    <row r="94" spans="1:14">
      <c r="A94" s="1">
        <v>93</v>
      </c>
      <c r="B94" t="s">
        <v>270</v>
      </c>
      <c r="C94" t="s">
        <v>271</v>
      </c>
      <c r="D94" t="s">
        <v>61</v>
      </c>
      <c r="E94" t="s">
        <v>270</v>
      </c>
      <c r="F94">
        <v>5</v>
      </c>
      <c r="G94">
        <v>2</v>
      </c>
      <c r="H94" t="s">
        <v>22</v>
      </c>
      <c r="I94" t="s">
        <v>22</v>
      </c>
      <c r="J94" t="s">
        <v>4</v>
      </c>
      <c r="K94">
        <v>0.95183527469634999</v>
      </c>
      <c r="L94" s="26">
        <v>2.8313745410808699E-5</v>
      </c>
      <c r="M94">
        <v>-2.1025317273668499E-2</v>
      </c>
      <c r="N94">
        <v>3.5439891666846699</v>
      </c>
    </row>
    <row r="95" spans="1:14">
      <c r="A95" s="1">
        <v>94</v>
      </c>
      <c r="B95" t="s">
        <v>272</v>
      </c>
      <c r="C95" t="s">
        <v>273</v>
      </c>
      <c r="D95" t="s">
        <v>274</v>
      </c>
      <c r="E95" t="s">
        <v>272</v>
      </c>
      <c r="F95">
        <v>5</v>
      </c>
      <c r="G95">
        <v>4</v>
      </c>
      <c r="H95" t="s">
        <v>3</v>
      </c>
      <c r="I95" t="s">
        <v>3</v>
      </c>
      <c r="J95" t="s">
        <v>4</v>
      </c>
      <c r="K95">
        <v>0.96449285745620705</v>
      </c>
      <c r="L95" s="26">
        <v>2.90730049744625E-5</v>
      </c>
      <c r="M95">
        <v>3.5337780462825199E-3</v>
      </c>
      <c r="N95">
        <v>3.6247026560572699</v>
      </c>
    </row>
    <row r="96" spans="1:14">
      <c r="A96" s="1">
        <v>95</v>
      </c>
      <c r="B96" t="s">
        <v>275</v>
      </c>
      <c r="C96" t="s">
        <v>276</v>
      </c>
      <c r="D96" t="s">
        <v>277</v>
      </c>
      <c r="E96" t="s">
        <v>275</v>
      </c>
      <c r="F96">
        <v>6</v>
      </c>
      <c r="G96">
        <v>5</v>
      </c>
      <c r="H96" t="s">
        <v>8</v>
      </c>
      <c r="I96" t="s">
        <v>8</v>
      </c>
      <c r="J96" t="s">
        <v>4</v>
      </c>
      <c r="K96">
        <v>0.92965507507324197</v>
      </c>
      <c r="L96" s="26">
        <v>2.70342559782414E-5</v>
      </c>
      <c r="M96">
        <v>-2.1887495859793601E-2</v>
      </c>
      <c r="N96">
        <v>3.7949122678776099</v>
      </c>
    </row>
    <row r="97" spans="1:14">
      <c r="A97" s="1">
        <v>96</v>
      </c>
      <c r="B97" t="s">
        <v>278</v>
      </c>
      <c r="C97" t="s">
        <v>279</v>
      </c>
      <c r="D97" t="s">
        <v>280</v>
      </c>
      <c r="E97" t="s">
        <v>278</v>
      </c>
      <c r="F97">
        <v>6</v>
      </c>
      <c r="G97">
        <v>5</v>
      </c>
      <c r="H97" t="s">
        <v>8</v>
      </c>
      <c r="I97" t="s">
        <v>8</v>
      </c>
      <c r="J97" t="s">
        <v>4</v>
      </c>
      <c r="K97">
        <v>0.97842854261398304</v>
      </c>
      <c r="L97" s="26">
        <v>2.9916710299165801E-5</v>
      </c>
      <c r="M97">
        <v>4.3300453544006202E-3</v>
      </c>
      <c r="N97">
        <v>3.6675488971968</v>
      </c>
    </row>
    <row r="98" spans="1:14">
      <c r="A98" s="1">
        <v>97</v>
      </c>
      <c r="B98" t="s">
        <v>281</v>
      </c>
      <c r="C98" t="s">
        <v>282</v>
      </c>
      <c r="D98" t="s">
        <v>283</v>
      </c>
      <c r="E98" t="s">
        <v>281</v>
      </c>
      <c r="F98">
        <v>4</v>
      </c>
      <c r="G98">
        <v>2</v>
      </c>
      <c r="H98" t="s">
        <v>12</v>
      </c>
      <c r="I98" t="s">
        <v>12</v>
      </c>
      <c r="J98" t="s">
        <v>4</v>
      </c>
      <c r="K98">
        <v>0.90665405988693204</v>
      </c>
      <c r="L98" s="26">
        <v>2.5795321844896501E-5</v>
      </c>
      <c r="M98">
        <v>-1.0033396890491899E-3</v>
      </c>
      <c r="N98">
        <v>3.80452305468024</v>
      </c>
    </row>
    <row r="99" spans="1:14">
      <c r="A99" s="1">
        <v>98</v>
      </c>
      <c r="B99" t="s">
        <v>284</v>
      </c>
      <c r="C99" t="s">
        <v>285</v>
      </c>
      <c r="D99" t="s">
        <v>286</v>
      </c>
      <c r="E99" t="s">
        <v>284</v>
      </c>
      <c r="F99">
        <v>4</v>
      </c>
      <c r="G99">
        <v>3</v>
      </c>
      <c r="H99" t="s">
        <v>68</v>
      </c>
      <c r="I99" t="s">
        <v>68</v>
      </c>
      <c r="J99" t="s">
        <v>4</v>
      </c>
      <c r="K99">
        <v>0.95705640316009499</v>
      </c>
      <c r="L99" s="26">
        <v>2.86432443904643E-5</v>
      </c>
      <c r="M99">
        <v>1.523213494022E-2</v>
      </c>
      <c r="N99">
        <v>3.5436343918316502</v>
      </c>
    </row>
    <row r="100" spans="1:14">
      <c r="A100" s="1">
        <v>99</v>
      </c>
      <c r="B100" t="s">
        <v>287</v>
      </c>
      <c r="C100" t="s">
        <v>288</v>
      </c>
      <c r="D100" t="s">
        <v>289</v>
      </c>
      <c r="E100" t="s">
        <v>287</v>
      </c>
      <c r="F100">
        <v>6</v>
      </c>
      <c r="G100">
        <v>4</v>
      </c>
      <c r="H100" t="s">
        <v>8</v>
      </c>
      <c r="I100" t="s">
        <v>8</v>
      </c>
      <c r="J100" t="s">
        <v>4</v>
      </c>
      <c r="K100">
        <v>0.95061016082763605</v>
      </c>
      <c r="L100" s="26">
        <v>2.8243424864219798E-5</v>
      </c>
      <c r="M100">
        <v>6.1589095967633503E-3</v>
      </c>
      <c r="N100">
        <v>2.6011856501239201</v>
      </c>
    </row>
    <row r="101" spans="1:14">
      <c r="A101" s="1">
        <v>100</v>
      </c>
      <c r="B101" t="s">
        <v>290</v>
      </c>
      <c r="C101" t="s">
        <v>291</v>
      </c>
      <c r="D101" t="s">
        <v>292</v>
      </c>
      <c r="E101" t="s">
        <v>290</v>
      </c>
      <c r="F101">
        <v>6</v>
      </c>
      <c r="G101">
        <v>4</v>
      </c>
      <c r="H101" t="s">
        <v>8</v>
      </c>
      <c r="I101" t="s">
        <v>8</v>
      </c>
      <c r="J101" t="s">
        <v>4</v>
      </c>
      <c r="K101">
        <v>0.97701102495193404</v>
      </c>
      <c r="L101" s="26">
        <v>2.9829824313122001E-5</v>
      </c>
      <c r="M101">
        <v>-1.0046145930004901E-2</v>
      </c>
      <c r="N101">
        <v>3.7027170728727299</v>
      </c>
    </row>
    <row r="102" spans="1:14">
      <c r="A102" s="1">
        <v>101</v>
      </c>
      <c r="B102" t="s">
        <v>293</v>
      </c>
      <c r="C102" t="s">
        <v>294</v>
      </c>
      <c r="D102" t="s">
        <v>295</v>
      </c>
      <c r="E102" t="s">
        <v>293</v>
      </c>
      <c r="F102">
        <v>5</v>
      </c>
      <c r="G102">
        <v>5</v>
      </c>
      <c r="H102" t="s">
        <v>8</v>
      </c>
      <c r="I102" t="s">
        <v>8</v>
      </c>
      <c r="J102" t="s">
        <v>4</v>
      </c>
      <c r="K102">
        <v>0.65704399347305298</v>
      </c>
      <c r="L102" s="26">
        <v>1.3524093374164999E-5</v>
      </c>
      <c r="M102">
        <v>-1.27981132637202E-2</v>
      </c>
      <c r="N102">
        <v>3.0156523226227701</v>
      </c>
    </row>
    <row r="103" spans="1:14">
      <c r="A103" s="1">
        <v>102</v>
      </c>
      <c r="B103" t="s">
        <v>296</v>
      </c>
      <c r="C103" t="s">
        <v>297</v>
      </c>
      <c r="D103" t="s">
        <v>298</v>
      </c>
      <c r="E103" t="s">
        <v>296</v>
      </c>
      <c r="F103">
        <v>5</v>
      </c>
      <c r="G103">
        <v>6</v>
      </c>
      <c r="H103" t="s">
        <v>8</v>
      </c>
      <c r="I103" t="s">
        <v>8</v>
      </c>
      <c r="J103" t="s">
        <v>4</v>
      </c>
      <c r="K103">
        <v>0.969096720218658</v>
      </c>
      <c r="L103" s="26">
        <v>2.9351374820164798E-5</v>
      </c>
      <c r="M103">
        <v>-1.10909899766795E-2</v>
      </c>
      <c r="N103">
        <v>3.3167442093325099</v>
      </c>
    </row>
    <row r="104" spans="1:14">
      <c r="A104" s="1">
        <v>103</v>
      </c>
      <c r="B104" t="s">
        <v>299</v>
      </c>
      <c r="C104" t="s">
        <v>300</v>
      </c>
      <c r="D104" t="s">
        <v>301</v>
      </c>
      <c r="E104" t="s">
        <v>299</v>
      </c>
      <c r="F104">
        <v>4</v>
      </c>
      <c r="G104">
        <v>5</v>
      </c>
      <c r="H104" t="s">
        <v>68</v>
      </c>
      <c r="I104" t="s">
        <v>68</v>
      </c>
      <c r="J104" t="s">
        <v>4</v>
      </c>
      <c r="K104">
        <v>0.82639211416244496</v>
      </c>
      <c r="L104" s="26">
        <v>2.1376815484447199E-5</v>
      </c>
      <c r="M104">
        <v>-4.5915251079122702E-3</v>
      </c>
      <c r="N104">
        <v>3.3196855443666502</v>
      </c>
    </row>
    <row r="105" spans="1:14">
      <c r="A105" s="1">
        <v>104</v>
      </c>
      <c r="B105" t="s">
        <v>302</v>
      </c>
      <c r="C105" t="s">
        <v>303</v>
      </c>
      <c r="D105" t="s">
        <v>304</v>
      </c>
      <c r="E105" t="s">
        <v>302</v>
      </c>
      <c r="F105">
        <v>4</v>
      </c>
      <c r="G105">
        <v>5</v>
      </c>
      <c r="H105" t="s">
        <v>98</v>
      </c>
      <c r="I105" t="s">
        <v>98</v>
      </c>
      <c r="J105" t="s">
        <v>4</v>
      </c>
      <c r="K105">
        <v>0.997683405876159</v>
      </c>
      <c r="L105" s="26">
        <v>3.1105387136584401E-5</v>
      </c>
      <c r="M105">
        <v>2.9746379197732101E-2</v>
      </c>
      <c r="N105">
        <v>2.9119387126924399</v>
      </c>
    </row>
    <row r="106" spans="1:14">
      <c r="A106" s="1">
        <v>105</v>
      </c>
      <c r="B106" t="s">
        <v>305</v>
      </c>
      <c r="C106" t="s">
        <v>306</v>
      </c>
      <c r="D106" t="s">
        <v>307</v>
      </c>
      <c r="E106" t="s">
        <v>305</v>
      </c>
      <c r="F106">
        <v>6</v>
      </c>
      <c r="G106">
        <v>11</v>
      </c>
      <c r="H106" t="s">
        <v>8</v>
      </c>
      <c r="I106" t="s">
        <v>8</v>
      </c>
      <c r="J106" t="s">
        <v>4</v>
      </c>
      <c r="K106">
        <v>0.94211882352828902</v>
      </c>
      <c r="L106" s="26">
        <v>2.77405818398543E-5</v>
      </c>
      <c r="M106">
        <v>1.8609286288047099E-2</v>
      </c>
      <c r="N106">
        <v>2.81294985245898</v>
      </c>
    </row>
    <row r="107" spans="1:14">
      <c r="A107" s="1">
        <v>106</v>
      </c>
      <c r="B107" t="s">
        <v>308</v>
      </c>
      <c r="C107" t="s">
        <v>309</v>
      </c>
      <c r="D107" t="s">
        <v>310</v>
      </c>
      <c r="E107" t="s">
        <v>308</v>
      </c>
      <c r="F107">
        <v>5</v>
      </c>
      <c r="G107">
        <v>7</v>
      </c>
      <c r="H107" t="s">
        <v>98</v>
      </c>
      <c r="I107" t="s">
        <v>98</v>
      </c>
      <c r="J107" t="s">
        <v>4</v>
      </c>
      <c r="K107">
        <v>0.71829396486282304</v>
      </c>
      <c r="L107" s="26">
        <v>1.62594346745341E-5</v>
      </c>
      <c r="M107">
        <v>-1.500709128468E-2</v>
      </c>
      <c r="N107">
        <v>3.3506179809225598</v>
      </c>
    </row>
    <row r="108" spans="1:14">
      <c r="A108" s="1">
        <v>107</v>
      </c>
      <c r="B108" t="s">
        <v>311</v>
      </c>
      <c r="C108" t="s">
        <v>312</v>
      </c>
      <c r="D108" t="s">
        <v>313</v>
      </c>
      <c r="E108" t="s">
        <v>311</v>
      </c>
      <c r="F108">
        <v>5</v>
      </c>
      <c r="G108">
        <v>4</v>
      </c>
      <c r="H108" t="s">
        <v>8</v>
      </c>
      <c r="I108" t="s">
        <v>8</v>
      </c>
      <c r="J108" t="s">
        <v>4</v>
      </c>
      <c r="K108">
        <v>0.94636553525924605</v>
      </c>
      <c r="L108" s="26">
        <v>2.8013242409886598E-5</v>
      </c>
      <c r="M108">
        <v>-2.7436699529587799E-2</v>
      </c>
      <c r="N108">
        <v>3.7885899299013102</v>
      </c>
    </row>
    <row r="109" spans="1:14">
      <c r="A109" s="1">
        <v>108</v>
      </c>
      <c r="B109" t="s">
        <v>314</v>
      </c>
      <c r="C109" t="s">
        <v>315</v>
      </c>
      <c r="D109" t="s">
        <v>316</v>
      </c>
      <c r="E109" t="s">
        <v>314</v>
      </c>
      <c r="F109">
        <v>4</v>
      </c>
      <c r="G109">
        <v>6</v>
      </c>
      <c r="H109" t="s">
        <v>8</v>
      </c>
      <c r="I109" t="s">
        <v>8</v>
      </c>
      <c r="J109" t="s">
        <v>4</v>
      </c>
      <c r="K109">
        <v>0.23104912042617701</v>
      </c>
      <c r="L109" s="26">
        <v>2.3946252228799598E-6</v>
      </c>
      <c r="M109">
        <v>2.2451691278092701E-2</v>
      </c>
      <c r="N109">
        <v>2.7321108885343399</v>
      </c>
    </row>
    <row r="110" spans="1:14">
      <c r="A110" s="1">
        <v>109</v>
      </c>
      <c r="B110" t="s">
        <v>317</v>
      </c>
      <c r="C110" t="s">
        <v>318</v>
      </c>
      <c r="D110" t="s">
        <v>168</v>
      </c>
      <c r="E110" t="s">
        <v>317</v>
      </c>
      <c r="F110">
        <v>5</v>
      </c>
      <c r="G110">
        <v>4</v>
      </c>
      <c r="H110" t="s">
        <v>3</v>
      </c>
      <c r="I110" t="s">
        <v>3</v>
      </c>
      <c r="J110" t="s">
        <v>4</v>
      </c>
      <c r="K110">
        <v>0.95808684825897195</v>
      </c>
      <c r="L110" s="26">
        <v>2.8686992191902399E-5</v>
      </c>
      <c r="M110">
        <v>-5.2627358911632102E-3</v>
      </c>
      <c r="N110">
        <v>3.6454702011774001</v>
      </c>
    </row>
    <row r="111" spans="1:14">
      <c r="A111" s="1">
        <v>110</v>
      </c>
      <c r="B111" t="s">
        <v>319</v>
      </c>
      <c r="C111" t="s">
        <v>320</v>
      </c>
      <c r="D111" t="s">
        <v>295</v>
      </c>
      <c r="E111" t="s">
        <v>319</v>
      </c>
      <c r="F111">
        <v>5</v>
      </c>
      <c r="G111">
        <v>5</v>
      </c>
      <c r="H111" t="s">
        <v>8</v>
      </c>
      <c r="I111" t="s">
        <v>8</v>
      </c>
      <c r="J111" t="s">
        <v>4</v>
      </c>
      <c r="K111">
        <v>0.92105412483215299</v>
      </c>
      <c r="L111" s="26">
        <v>2.6542703888333698E-5</v>
      </c>
      <c r="M111">
        <v>-3.5696954663396903E-2</v>
      </c>
      <c r="N111">
        <v>3.4571818288261902</v>
      </c>
    </row>
    <row r="112" spans="1:14">
      <c r="A112" s="1">
        <v>111</v>
      </c>
      <c r="B112" t="s">
        <v>321</v>
      </c>
      <c r="C112" t="s">
        <v>322</v>
      </c>
      <c r="D112" t="s">
        <v>323</v>
      </c>
      <c r="E112" t="s">
        <v>321</v>
      </c>
      <c r="F112">
        <v>7</v>
      </c>
      <c r="G112">
        <v>4</v>
      </c>
      <c r="H112" t="s">
        <v>98</v>
      </c>
      <c r="I112" t="s">
        <v>98</v>
      </c>
      <c r="J112" t="s">
        <v>4</v>
      </c>
      <c r="K112">
        <v>0.99809199571609497</v>
      </c>
      <c r="L112" s="26">
        <v>3.1130865577496202E-5</v>
      </c>
      <c r="M112">
        <v>3.9611797989969902E-2</v>
      </c>
      <c r="N112">
        <v>2.1658288168533901</v>
      </c>
    </row>
    <row r="113" spans="1:14">
      <c r="A113" s="1">
        <v>112</v>
      </c>
      <c r="B113" t="s">
        <v>324</v>
      </c>
      <c r="C113" t="s">
        <v>325</v>
      </c>
      <c r="D113" t="s">
        <v>11</v>
      </c>
      <c r="E113" t="s">
        <v>324</v>
      </c>
      <c r="F113">
        <v>4</v>
      </c>
      <c r="G113">
        <v>4</v>
      </c>
      <c r="H113" t="s">
        <v>12</v>
      </c>
      <c r="I113" t="s">
        <v>12</v>
      </c>
      <c r="J113" t="s">
        <v>4</v>
      </c>
      <c r="K113">
        <v>0.72486984729766801</v>
      </c>
      <c r="L113" s="26">
        <v>1.6616625025234099E-5</v>
      </c>
      <c r="M113">
        <v>-1.2067719787852401E-2</v>
      </c>
      <c r="N113">
        <v>3.7496087194251899</v>
      </c>
    </row>
    <row r="114" spans="1:14">
      <c r="A114" s="1">
        <v>113</v>
      </c>
      <c r="B114" t="s">
        <v>326</v>
      </c>
      <c r="C114" t="s">
        <v>327</v>
      </c>
      <c r="D114" t="s">
        <v>328</v>
      </c>
      <c r="E114" t="s">
        <v>326</v>
      </c>
      <c r="F114">
        <v>4</v>
      </c>
      <c r="G114">
        <v>8</v>
      </c>
      <c r="H114" t="s">
        <v>8</v>
      </c>
      <c r="I114" t="s">
        <v>8</v>
      </c>
      <c r="J114" t="s">
        <v>4</v>
      </c>
      <c r="K114">
        <v>0.99674338102340698</v>
      </c>
      <c r="L114" s="26">
        <v>3.1046853481433599E-5</v>
      </c>
      <c r="M114">
        <v>4.6274785526918497E-3</v>
      </c>
      <c r="N114">
        <v>2.5580523048500599</v>
      </c>
    </row>
    <row r="115" spans="1:14">
      <c r="A115" s="1">
        <v>114</v>
      </c>
      <c r="B115" t="s">
        <v>329</v>
      </c>
      <c r="C115" t="s">
        <v>330</v>
      </c>
      <c r="D115" t="s">
        <v>331</v>
      </c>
      <c r="E115" t="s">
        <v>329</v>
      </c>
      <c r="F115">
        <v>5</v>
      </c>
      <c r="G115">
        <v>8</v>
      </c>
      <c r="H115" t="s">
        <v>8</v>
      </c>
      <c r="I115" t="s">
        <v>8</v>
      </c>
      <c r="J115" t="s">
        <v>4</v>
      </c>
      <c r="K115">
        <v>0.82372587919235196</v>
      </c>
      <c r="L115" s="26">
        <v>2.2046042544831399E-5</v>
      </c>
      <c r="M115">
        <v>-2.13294002947126E-2</v>
      </c>
      <c r="N115">
        <v>3.5886393981070501</v>
      </c>
    </row>
    <row r="116" spans="1:14">
      <c r="A116" s="1">
        <v>115</v>
      </c>
      <c r="B116" t="s">
        <v>332</v>
      </c>
      <c r="C116" t="s">
        <v>333</v>
      </c>
      <c r="D116" t="s">
        <v>334</v>
      </c>
      <c r="E116" t="s">
        <v>332</v>
      </c>
      <c r="F116">
        <v>4</v>
      </c>
      <c r="G116">
        <v>5</v>
      </c>
      <c r="H116" t="s">
        <v>8</v>
      </c>
      <c r="I116" t="s">
        <v>8</v>
      </c>
      <c r="J116" t="s">
        <v>4</v>
      </c>
      <c r="K116">
        <v>0.99886202812194802</v>
      </c>
      <c r="L116" s="26">
        <v>3.1178917407202999E-5</v>
      </c>
      <c r="M116">
        <v>-3.3607923384937399E-2</v>
      </c>
      <c r="N116">
        <v>3.1034396016958299</v>
      </c>
    </row>
    <row r="117" spans="1:14">
      <c r="A117" s="1">
        <v>116</v>
      </c>
      <c r="B117" t="s">
        <v>335</v>
      </c>
      <c r="C117" t="s">
        <v>336</v>
      </c>
      <c r="D117" t="s">
        <v>337</v>
      </c>
      <c r="E117" t="s">
        <v>335</v>
      </c>
      <c r="F117">
        <v>7</v>
      </c>
      <c r="G117">
        <v>8</v>
      </c>
      <c r="H117" t="s">
        <v>8</v>
      </c>
      <c r="I117" t="s">
        <v>8</v>
      </c>
      <c r="J117" t="s">
        <v>4</v>
      </c>
      <c r="K117">
        <v>0.87010729312896695</v>
      </c>
      <c r="L117" s="26">
        <v>2.3983579270685798E-5</v>
      </c>
      <c r="M117">
        <v>-4.0943854501808999E-2</v>
      </c>
      <c r="N117">
        <v>3.2471332779598598</v>
      </c>
    </row>
    <row r="118" spans="1:14">
      <c r="A118" s="1">
        <v>117</v>
      </c>
      <c r="B118" t="s">
        <v>338</v>
      </c>
      <c r="C118" t="s">
        <v>339</v>
      </c>
      <c r="D118" t="s">
        <v>340</v>
      </c>
      <c r="E118" t="s">
        <v>338</v>
      </c>
      <c r="F118">
        <v>4</v>
      </c>
      <c r="G118">
        <v>7</v>
      </c>
      <c r="H118" t="s">
        <v>8</v>
      </c>
      <c r="I118" t="s">
        <v>8</v>
      </c>
      <c r="J118" t="s">
        <v>4</v>
      </c>
      <c r="K118">
        <v>9.1922327876091003E-2</v>
      </c>
      <c r="L118" s="26">
        <v>7.5215365364222397E-7</v>
      </c>
      <c r="M118">
        <v>-4.16894178442106E-3</v>
      </c>
      <c r="N118">
        <v>3.42494798161662</v>
      </c>
    </row>
    <row r="119" spans="1:14">
      <c r="A119" s="1">
        <v>118</v>
      </c>
      <c r="B119" t="s">
        <v>341</v>
      </c>
      <c r="C119" t="s">
        <v>342</v>
      </c>
      <c r="D119" t="s">
        <v>343</v>
      </c>
      <c r="E119" t="s">
        <v>341</v>
      </c>
      <c r="F119">
        <v>4</v>
      </c>
      <c r="G119">
        <v>8</v>
      </c>
      <c r="H119" t="s">
        <v>68</v>
      </c>
      <c r="I119" t="s">
        <v>68</v>
      </c>
      <c r="J119" t="s">
        <v>4</v>
      </c>
      <c r="K119">
        <v>0.99678301811218195</v>
      </c>
      <c r="L119" s="26">
        <v>3.1049259660468502E-5</v>
      </c>
      <c r="M119">
        <v>-6.4715801730521596E-3</v>
      </c>
      <c r="N119">
        <v>1.46264433413574</v>
      </c>
    </row>
    <row r="120" spans="1:14">
      <c r="A120" s="1">
        <v>119</v>
      </c>
      <c r="B120" t="s">
        <v>344</v>
      </c>
      <c r="C120" t="s">
        <v>345</v>
      </c>
      <c r="D120" t="s">
        <v>346</v>
      </c>
      <c r="E120" t="s">
        <v>344</v>
      </c>
      <c r="F120">
        <v>4</v>
      </c>
      <c r="G120">
        <v>6</v>
      </c>
      <c r="H120" t="s">
        <v>98</v>
      </c>
      <c r="I120" t="s">
        <v>98</v>
      </c>
      <c r="J120" t="s">
        <v>4</v>
      </c>
      <c r="K120">
        <v>0.99989199638366699</v>
      </c>
      <c r="L120" s="26">
        <v>3.1243250005398001E-5</v>
      </c>
      <c r="M120">
        <v>-1.5228320556275299E-3</v>
      </c>
      <c r="N120">
        <v>3.2132205533310101</v>
      </c>
    </row>
    <row r="121" spans="1:14">
      <c r="A121" s="1">
        <v>120</v>
      </c>
      <c r="B121" t="s">
        <v>347</v>
      </c>
      <c r="C121" t="s">
        <v>348</v>
      </c>
      <c r="D121" t="s">
        <v>142</v>
      </c>
      <c r="E121" t="s">
        <v>347</v>
      </c>
      <c r="F121">
        <v>4</v>
      </c>
      <c r="G121">
        <v>2</v>
      </c>
      <c r="H121" t="s">
        <v>12</v>
      </c>
      <c r="I121" t="s">
        <v>12</v>
      </c>
      <c r="J121" t="s">
        <v>4</v>
      </c>
      <c r="K121">
        <v>0.94141876697540205</v>
      </c>
      <c r="L121" s="26">
        <v>2.7707310271142699E-5</v>
      </c>
      <c r="M121">
        <v>-1.06155421772768E-2</v>
      </c>
      <c r="N121">
        <v>3.70601368059685</v>
      </c>
    </row>
    <row r="122" spans="1:14">
      <c r="A122" s="1">
        <v>121</v>
      </c>
      <c r="B122" t="s">
        <v>349</v>
      </c>
      <c r="C122" t="s">
        <v>350</v>
      </c>
      <c r="D122" t="s">
        <v>142</v>
      </c>
      <c r="E122" t="s">
        <v>349</v>
      </c>
      <c r="F122">
        <v>4</v>
      </c>
      <c r="G122">
        <v>2</v>
      </c>
      <c r="H122" t="s">
        <v>12</v>
      </c>
      <c r="I122" t="s">
        <v>12</v>
      </c>
      <c r="J122" t="s">
        <v>4</v>
      </c>
      <c r="K122">
        <v>0.58667123317718495</v>
      </c>
      <c r="L122" s="26">
        <v>1.1153981964663701E-5</v>
      </c>
      <c r="M122">
        <v>-4.8629309122505404E-3</v>
      </c>
      <c r="N122">
        <v>3.83846196415523</v>
      </c>
    </row>
    <row r="123" spans="1:14">
      <c r="A123" s="1">
        <v>122</v>
      </c>
      <c r="B123" t="s">
        <v>351</v>
      </c>
      <c r="C123" t="s">
        <v>352</v>
      </c>
      <c r="D123" t="s">
        <v>353</v>
      </c>
      <c r="E123" t="s">
        <v>351</v>
      </c>
      <c r="F123">
        <v>8</v>
      </c>
      <c r="G123">
        <v>5</v>
      </c>
      <c r="H123" t="s">
        <v>8</v>
      </c>
      <c r="I123" t="s">
        <v>8</v>
      </c>
      <c r="J123" t="s">
        <v>4</v>
      </c>
      <c r="K123">
        <v>0.98961204290390004</v>
      </c>
      <c r="L123" s="26">
        <v>3.06042446326846E-5</v>
      </c>
      <c r="M123">
        <v>-2.7698300207632E-2</v>
      </c>
      <c r="N123">
        <v>2.8708816366305898</v>
      </c>
    </row>
    <row r="124" spans="1:14">
      <c r="A124" s="1">
        <v>123</v>
      </c>
      <c r="B124" t="s">
        <v>354</v>
      </c>
      <c r="C124" t="s">
        <v>355</v>
      </c>
      <c r="D124" t="s">
        <v>356</v>
      </c>
      <c r="E124" t="s">
        <v>354</v>
      </c>
      <c r="F124">
        <v>4</v>
      </c>
      <c r="G124">
        <v>3</v>
      </c>
      <c r="H124" t="s">
        <v>8</v>
      </c>
      <c r="I124" t="s">
        <v>8</v>
      </c>
      <c r="J124" t="s">
        <v>4</v>
      </c>
      <c r="K124">
        <v>0.95666152238845803</v>
      </c>
      <c r="L124" s="26">
        <v>2.8600884304494001E-5</v>
      </c>
      <c r="M124">
        <v>-5.0496287859402803E-3</v>
      </c>
      <c r="N124">
        <v>3.3073643310456</v>
      </c>
    </row>
    <row r="125" spans="1:14">
      <c r="A125" s="1">
        <v>124</v>
      </c>
      <c r="B125" t="s">
        <v>357</v>
      </c>
      <c r="C125" t="s">
        <v>358</v>
      </c>
      <c r="D125" t="s">
        <v>359</v>
      </c>
      <c r="E125" t="s">
        <v>360</v>
      </c>
      <c r="F125">
        <v>4</v>
      </c>
      <c r="G125">
        <v>5</v>
      </c>
      <c r="H125" t="s">
        <v>8</v>
      </c>
      <c r="I125" t="s">
        <v>22</v>
      </c>
      <c r="J125" t="s">
        <v>180</v>
      </c>
      <c r="K125">
        <v>0.31531342864036499</v>
      </c>
      <c r="L125" s="26">
        <v>3.9746847722904201E-6</v>
      </c>
      <c r="M125">
        <v>-2.33267632327454E-2</v>
      </c>
      <c r="N125">
        <v>3.5100369331663299</v>
      </c>
    </row>
    <row r="126" spans="1:14">
      <c r="A126" s="1">
        <v>125</v>
      </c>
      <c r="B126" t="s">
        <v>361</v>
      </c>
      <c r="C126" t="s">
        <v>362</v>
      </c>
      <c r="D126" t="s">
        <v>242</v>
      </c>
      <c r="E126" t="s">
        <v>361</v>
      </c>
      <c r="F126">
        <v>6</v>
      </c>
      <c r="G126">
        <v>4</v>
      </c>
      <c r="H126" t="s">
        <v>98</v>
      </c>
      <c r="I126" t="s">
        <v>98</v>
      </c>
      <c r="J126" t="s">
        <v>4</v>
      </c>
      <c r="K126">
        <v>0.95916962623596103</v>
      </c>
      <c r="L126" s="26">
        <v>2.8750997126387499E-5</v>
      </c>
      <c r="M126">
        <v>-3.3316276050911101E-2</v>
      </c>
      <c r="N126">
        <v>3.5396271762692599</v>
      </c>
    </row>
    <row r="127" spans="1:14">
      <c r="A127" s="1">
        <v>126</v>
      </c>
      <c r="B127" t="s">
        <v>363</v>
      </c>
      <c r="C127" t="s">
        <v>364</v>
      </c>
      <c r="D127" t="s">
        <v>365</v>
      </c>
      <c r="E127" t="s">
        <v>363</v>
      </c>
      <c r="F127">
        <v>5</v>
      </c>
      <c r="G127">
        <v>5</v>
      </c>
      <c r="H127" t="s">
        <v>8</v>
      </c>
      <c r="I127" t="s">
        <v>8</v>
      </c>
      <c r="J127" t="s">
        <v>4</v>
      </c>
      <c r="K127">
        <v>0.88013416528701705</v>
      </c>
      <c r="L127" s="26">
        <v>2.42355871746499E-5</v>
      </c>
      <c r="M127">
        <v>1.73493052112405E-2</v>
      </c>
      <c r="N127">
        <v>3.7309777097125898</v>
      </c>
    </row>
    <row r="128" spans="1:14">
      <c r="A128" s="1">
        <v>127</v>
      </c>
      <c r="B128" t="s">
        <v>366</v>
      </c>
      <c r="C128" t="s">
        <v>367</v>
      </c>
      <c r="D128" t="s">
        <v>151</v>
      </c>
      <c r="E128" t="s">
        <v>366</v>
      </c>
      <c r="F128">
        <v>4</v>
      </c>
      <c r="G128">
        <v>5</v>
      </c>
      <c r="H128" t="s">
        <v>68</v>
      </c>
      <c r="I128" t="s">
        <v>68</v>
      </c>
      <c r="J128" t="s">
        <v>4</v>
      </c>
      <c r="K128">
        <v>0.58041089773178101</v>
      </c>
      <c r="L128" s="26">
        <v>1.0727959877694601E-5</v>
      </c>
      <c r="M128">
        <v>2.12199316021521E-3</v>
      </c>
      <c r="N128">
        <v>3.31768324035317</v>
      </c>
    </row>
    <row r="129" spans="1:14">
      <c r="A129" s="1">
        <v>128</v>
      </c>
      <c r="B129" t="s">
        <v>368</v>
      </c>
      <c r="C129" t="s">
        <v>369</v>
      </c>
      <c r="D129" t="s">
        <v>370</v>
      </c>
      <c r="E129" t="s">
        <v>368</v>
      </c>
      <c r="F129">
        <v>4</v>
      </c>
      <c r="G129">
        <v>5</v>
      </c>
      <c r="H129" t="s">
        <v>8</v>
      </c>
      <c r="I129" t="s">
        <v>8</v>
      </c>
      <c r="J129" t="s">
        <v>4</v>
      </c>
      <c r="K129">
        <v>0.99991619586944502</v>
      </c>
      <c r="L129" s="26">
        <v>3.1244762321428497E-5</v>
      </c>
      <c r="M129">
        <v>1.307718362008E-2</v>
      </c>
      <c r="N129">
        <v>3.0290790092068498</v>
      </c>
    </row>
    <row r="130" spans="1:14">
      <c r="A130" s="1">
        <v>129</v>
      </c>
      <c r="B130" t="s">
        <v>371</v>
      </c>
      <c r="C130" t="s">
        <v>372</v>
      </c>
      <c r="D130" t="s">
        <v>47</v>
      </c>
      <c r="E130" t="s">
        <v>371</v>
      </c>
      <c r="F130">
        <v>4</v>
      </c>
      <c r="G130">
        <v>2</v>
      </c>
      <c r="H130" t="s">
        <v>12</v>
      </c>
      <c r="I130" t="s">
        <v>12</v>
      </c>
      <c r="J130" t="s">
        <v>4</v>
      </c>
      <c r="K130">
        <v>0.59579032659530595</v>
      </c>
      <c r="L130" s="26">
        <v>1.1432654395875101E-5</v>
      </c>
      <c r="M130">
        <v>-2.0988946813671899E-2</v>
      </c>
      <c r="N130">
        <v>3.62724810292602</v>
      </c>
    </row>
    <row r="131" spans="1:14">
      <c r="A131" s="1">
        <v>130</v>
      </c>
      <c r="B131" t="s">
        <v>373</v>
      </c>
      <c r="C131" t="s">
        <v>374</v>
      </c>
      <c r="D131" t="s">
        <v>227</v>
      </c>
      <c r="E131" t="s">
        <v>373</v>
      </c>
      <c r="F131">
        <v>7</v>
      </c>
      <c r="G131">
        <v>3</v>
      </c>
      <c r="H131" t="s">
        <v>8</v>
      </c>
      <c r="I131" t="s">
        <v>8</v>
      </c>
      <c r="J131" t="s">
        <v>4</v>
      </c>
      <c r="K131">
        <v>0.94922727346420199</v>
      </c>
      <c r="L131" s="26">
        <v>2.8161443848783201E-5</v>
      </c>
      <c r="M131">
        <v>1.86434949315223E-2</v>
      </c>
      <c r="N131">
        <v>3.5239255118889301</v>
      </c>
    </row>
    <row r="132" spans="1:14">
      <c r="A132" s="1">
        <v>131</v>
      </c>
      <c r="B132" t="s">
        <v>375</v>
      </c>
      <c r="C132" t="s">
        <v>376</v>
      </c>
      <c r="D132" t="s">
        <v>377</v>
      </c>
      <c r="E132" t="s">
        <v>375</v>
      </c>
      <c r="F132">
        <v>4</v>
      </c>
      <c r="G132">
        <v>5</v>
      </c>
      <c r="H132" t="s">
        <v>68</v>
      </c>
      <c r="I132" t="s">
        <v>68</v>
      </c>
      <c r="J132" t="s">
        <v>4</v>
      </c>
      <c r="K132">
        <v>0.90524768829345703</v>
      </c>
      <c r="L132" s="26">
        <v>2.5634074093354901E-5</v>
      </c>
      <c r="M132">
        <v>-3.4165188795775202E-2</v>
      </c>
      <c r="N132">
        <v>3.8454225606863002</v>
      </c>
    </row>
    <row r="133" spans="1:14">
      <c r="A133" s="1">
        <v>132</v>
      </c>
      <c r="B133" t="s">
        <v>378</v>
      </c>
      <c r="C133" t="s">
        <v>379</v>
      </c>
      <c r="D133" t="s">
        <v>380</v>
      </c>
      <c r="E133" t="s">
        <v>378</v>
      </c>
      <c r="F133">
        <v>4</v>
      </c>
      <c r="G133">
        <v>5</v>
      </c>
      <c r="H133" t="s">
        <v>68</v>
      </c>
      <c r="I133" t="s">
        <v>68</v>
      </c>
      <c r="J133" t="s">
        <v>4</v>
      </c>
      <c r="K133">
        <v>0.79624861478805498</v>
      </c>
      <c r="L133" s="26">
        <v>1.9842565888515799E-5</v>
      </c>
      <c r="M133">
        <v>-4.5592242617740197E-3</v>
      </c>
      <c r="N133">
        <v>3.4033410197583298</v>
      </c>
    </row>
    <row r="134" spans="1:14">
      <c r="A134" s="1">
        <v>133</v>
      </c>
      <c r="B134" t="s">
        <v>381</v>
      </c>
      <c r="C134" t="s">
        <v>382</v>
      </c>
      <c r="D134" t="s">
        <v>383</v>
      </c>
      <c r="E134" t="s">
        <v>381</v>
      </c>
      <c r="F134">
        <v>4</v>
      </c>
      <c r="G134">
        <v>4</v>
      </c>
      <c r="H134" t="s">
        <v>8</v>
      </c>
      <c r="I134" t="s">
        <v>8</v>
      </c>
      <c r="J134" t="s">
        <v>4</v>
      </c>
      <c r="K134">
        <v>0.99757713079452504</v>
      </c>
      <c r="L134" s="26">
        <v>3.1098760638726998E-5</v>
      </c>
      <c r="M134">
        <v>-3.1907382256832701E-3</v>
      </c>
      <c r="N134">
        <v>2.34270502537714</v>
      </c>
    </row>
    <row r="135" spans="1:14">
      <c r="A135" s="1">
        <v>134</v>
      </c>
      <c r="B135" t="s">
        <v>384</v>
      </c>
      <c r="C135" t="s">
        <v>385</v>
      </c>
      <c r="D135" t="s">
        <v>142</v>
      </c>
      <c r="E135" t="s">
        <v>384</v>
      </c>
      <c r="F135">
        <v>4</v>
      </c>
      <c r="G135">
        <v>2</v>
      </c>
      <c r="H135" t="s">
        <v>12</v>
      </c>
      <c r="I135" t="s">
        <v>12</v>
      </c>
      <c r="J135" t="s">
        <v>4</v>
      </c>
      <c r="K135">
        <v>0.57917910814285201</v>
      </c>
      <c r="L135" s="26">
        <v>1.1195967394350501E-5</v>
      </c>
      <c r="M135">
        <v>-1.6277889713258199E-2</v>
      </c>
      <c r="N135">
        <v>3.7436607008151799</v>
      </c>
    </row>
    <row r="136" spans="1:14">
      <c r="A136" s="1">
        <v>135</v>
      </c>
      <c r="B136" t="s">
        <v>386</v>
      </c>
      <c r="C136" t="s">
        <v>387</v>
      </c>
      <c r="D136" t="s">
        <v>388</v>
      </c>
      <c r="E136" t="s">
        <v>386</v>
      </c>
      <c r="F136">
        <v>4</v>
      </c>
      <c r="G136">
        <v>5</v>
      </c>
      <c r="H136" t="s">
        <v>8</v>
      </c>
      <c r="I136" t="s">
        <v>8</v>
      </c>
      <c r="J136" t="s">
        <v>4</v>
      </c>
      <c r="K136">
        <v>0.99488055706024103</v>
      </c>
      <c r="L136" s="26">
        <v>3.0930945650857998E-5</v>
      </c>
      <c r="M136">
        <v>1.51356444541281E-2</v>
      </c>
      <c r="N136">
        <v>2.50651580676826</v>
      </c>
    </row>
    <row r="137" spans="1:14">
      <c r="A137" s="1">
        <v>136</v>
      </c>
      <c r="B137" t="s">
        <v>389</v>
      </c>
      <c r="C137" t="s">
        <v>390</v>
      </c>
      <c r="D137" t="s">
        <v>391</v>
      </c>
      <c r="E137" t="s">
        <v>392</v>
      </c>
      <c r="F137">
        <v>7</v>
      </c>
      <c r="G137">
        <v>5</v>
      </c>
      <c r="H137" t="s">
        <v>8</v>
      </c>
      <c r="I137" t="s">
        <v>8</v>
      </c>
      <c r="J137" t="s">
        <v>180</v>
      </c>
      <c r="K137">
        <v>0.13540565967559801</v>
      </c>
      <c r="L137" s="26">
        <v>7.2524000291766799E-7</v>
      </c>
      <c r="M137">
        <v>2.6878213722170499E-2</v>
      </c>
      <c r="N137">
        <v>3.31755210526683</v>
      </c>
    </row>
    <row r="138" spans="1:14">
      <c r="A138" s="1">
        <v>137</v>
      </c>
      <c r="B138" t="s">
        <v>393</v>
      </c>
      <c r="C138" t="s">
        <v>394</v>
      </c>
      <c r="D138" t="s">
        <v>395</v>
      </c>
      <c r="E138" t="s">
        <v>393</v>
      </c>
      <c r="F138">
        <v>4</v>
      </c>
      <c r="G138">
        <v>7</v>
      </c>
      <c r="H138" t="s">
        <v>8</v>
      </c>
      <c r="I138" t="s">
        <v>8</v>
      </c>
      <c r="J138" t="s">
        <v>4</v>
      </c>
      <c r="K138">
        <v>0.99950158596038796</v>
      </c>
      <c r="L138" s="26">
        <v>3.1218856446260602E-5</v>
      </c>
      <c r="M138">
        <v>1.05184499107338E-2</v>
      </c>
      <c r="N138">
        <v>2.6135455125718101</v>
      </c>
    </row>
    <row r="139" spans="1:14">
      <c r="A139" s="1">
        <v>138</v>
      </c>
      <c r="B139" t="s">
        <v>396</v>
      </c>
      <c r="C139" t="s">
        <v>397</v>
      </c>
      <c r="D139" t="s">
        <v>398</v>
      </c>
      <c r="E139" t="s">
        <v>396</v>
      </c>
      <c r="F139">
        <v>4</v>
      </c>
      <c r="G139">
        <v>3</v>
      </c>
      <c r="H139" t="s">
        <v>8</v>
      </c>
      <c r="I139" t="s">
        <v>8</v>
      </c>
      <c r="J139" t="s">
        <v>4</v>
      </c>
      <c r="K139">
        <v>0.56890785694122303</v>
      </c>
      <c r="L139" s="26">
        <v>1.07351426189699E-5</v>
      </c>
      <c r="M139">
        <v>-3.6166039241305403E-2</v>
      </c>
      <c r="N139">
        <v>3.36268087057638</v>
      </c>
    </row>
    <row r="140" spans="1:14">
      <c r="A140" s="1">
        <v>139</v>
      </c>
      <c r="B140" t="s">
        <v>399</v>
      </c>
      <c r="C140" t="s">
        <v>400</v>
      </c>
      <c r="D140" t="s">
        <v>7</v>
      </c>
      <c r="E140" t="s">
        <v>399</v>
      </c>
      <c r="F140">
        <v>4</v>
      </c>
      <c r="G140">
        <v>3</v>
      </c>
      <c r="H140" t="s">
        <v>8</v>
      </c>
      <c r="I140" t="s">
        <v>8</v>
      </c>
      <c r="J140" t="s">
        <v>4</v>
      </c>
      <c r="K140">
        <v>0.97035026550292902</v>
      </c>
      <c r="L140" s="26">
        <v>2.9427129510792002E-5</v>
      </c>
      <c r="M140">
        <v>-5.9511279345372198E-3</v>
      </c>
      <c r="N140">
        <v>3.7330290778139998</v>
      </c>
    </row>
    <row r="141" spans="1:14">
      <c r="A141" s="1">
        <v>140</v>
      </c>
      <c r="B141" t="s">
        <v>401</v>
      </c>
      <c r="C141" t="s">
        <v>402</v>
      </c>
      <c r="D141" t="s">
        <v>7</v>
      </c>
      <c r="E141" t="s">
        <v>401</v>
      </c>
      <c r="F141">
        <v>6</v>
      </c>
      <c r="G141">
        <v>3</v>
      </c>
      <c r="H141" t="s">
        <v>8</v>
      </c>
      <c r="I141" t="s">
        <v>8</v>
      </c>
      <c r="J141" t="s">
        <v>4</v>
      </c>
      <c r="K141">
        <v>0.99175584316253595</v>
      </c>
      <c r="L141" s="26">
        <v>3.0737017676850998E-5</v>
      </c>
      <c r="M141">
        <v>-1.3440143497234601E-2</v>
      </c>
      <c r="N141">
        <v>3.8049235670673101</v>
      </c>
    </row>
    <row r="142" spans="1:14">
      <c r="A142" s="1">
        <v>141</v>
      </c>
      <c r="B142" t="s">
        <v>403</v>
      </c>
      <c r="C142" t="s">
        <v>404</v>
      </c>
      <c r="D142" t="s">
        <v>101</v>
      </c>
      <c r="E142" t="s">
        <v>403</v>
      </c>
      <c r="F142">
        <v>4</v>
      </c>
      <c r="G142">
        <v>3</v>
      </c>
      <c r="H142" t="s">
        <v>8</v>
      </c>
      <c r="I142" t="s">
        <v>8</v>
      </c>
      <c r="J142" t="s">
        <v>4</v>
      </c>
      <c r="K142">
        <v>0.71612447500228804</v>
      </c>
      <c r="L142" s="26">
        <v>1.60622636884621E-5</v>
      </c>
      <c r="M142">
        <v>-1.3102088149352601E-3</v>
      </c>
      <c r="N142">
        <v>3.0230133626761702</v>
      </c>
    </row>
    <row r="143" spans="1:14">
      <c r="A143" s="1">
        <v>142</v>
      </c>
      <c r="B143" t="s">
        <v>405</v>
      </c>
      <c r="C143" t="s">
        <v>406</v>
      </c>
      <c r="D143" t="s">
        <v>407</v>
      </c>
      <c r="E143" t="s">
        <v>405</v>
      </c>
      <c r="F143">
        <v>4</v>
      </c>
      <c r="G143">
        <v>4</v>
      </c>
      <c r="H143" t="s">
        <v>8</v>
      </c>
      <c r="I143" t="s">
        <v>8</v>
      </c>
      <c r="J143" t="s">
        <v>4</v>
      </c>
      <c r="K143">
        <v>0.753481864929199</v>
      </c>
      <c r="L143" s="26">
        <v>1.8004918486347901E-5</v>
      </c>
      <c r="M143">
        <v>3.72451414209251E-3</v>
      </c>
      <c r="N143">
        <v>3.4796020183297802</v>
      </c>
    </row>
    <row r="144" spans="1:14">
      <c r="A144" s="1">
        <v>143</v>
      </c>
      <c r="B144" t="s">
        <v>408</v>
      </c>
      <c r="C144" t="s">
        <v>409</v>
      </c>
      <c r="D144" t="s">
        <v>410</v>
      </c>
      <c r="E144" t="s">
        <v>408</v>
      </c>
      <c r="F144">
        <v>5</v>
      </c>
      <c r="G144">
        <v>5</v>
      </c>
      <c r="H144" t="s">
        <v>98</v>
      </c>
      <c r="I144" t="s">
        <v>98</v>
      </c>
      <c r="J144" t="s">
        <v>4</v>
      </c>
      <c r="K144">
        <v>0.98784780502319303</v>
      </c>
      <c r="L144" s="26">
        <v>3.0496466309561501E-5</v>
      </c>
      <c r="M144">
        <v>-1.8392297622654E-2</v>
      </c>
      <c r="N144">
        <v>3.0137809619939602</v>
      </c>
    </row>
    <row r="145" spans="1:14">
      <c r="A145" s="1">
        <v>144</v>
      </c>
      <c r="B145" t="s">
        <v>411</v>
      </c>
      <c r="C145" t="s">
        <v>412</v>
      </c>
      <c r="D145" t="s">
        <v>413</v>
      </c>
      <c r="E145" t="s">
        <v>411</v>
      </c>
      <c r="F145">
        <v>5</v>
      </c>
      <c r="G145">
        <v>5</v>
      </c>
      <c r="H145" t="s">
        <v>8</v>
      </c>
      <c r="I145" t="s">
        <v>8</v>
      </c>
      <c r="J145" t="s">
        <v>4</v>
      </c>
      <c r="K145">
        <v>0.96814268827438299</v>
      </c>
      <c r="L145" s="26">
        <v>2.9292457738938299E-5</v>
      </c>
      <c r="M145">
        <v>3.5225953158544598E-2</v>
      </c>
      <c r="N145">
        <v>3.3730683706479998</v>
      </c>
    </row>
    <row r="146" spans="1:14">
      <c r="A146" s="1">
        <v>145</v>
      </c>
      <c r="B146" t="s">
        <v>414</v>
      </c>
      <c r="C146" t="s">
        <v>415</v>
      </c>
      <c r="D146" t="s">
        <v>416</v>
      </c>
      <c r="E146" t="s">
        <v>414</v>
      </c>
      <c r="F146">
        <v>5</v>
      </c>
      <c r="G146">
        <v>7</v>
      </c>
      <c r="H146" t="s">
        <v>3</v>
      </c>
      <c r="I146" t="s">
        <v>3</v>
      </c>
      <c r="J146" t="s">
        <v>4</v>
      </c>
      <c r="K146">
        <v>0.91075307130813599</v>
      </c>
      <c r="L146" s="26">
        <v>2.5939065118229999E-5</v>
      </c>
      <c r="M146">
        <v>-4.7802980980193796E-3</v>
      </c>
      <c r="N146">
        <v>3.8022943479089202</v>
      </c>
    </row>
    <row r="147" spans="1:14">
      <c r="A147" s="1">
        <v>146</v>
      </c>
      <c r="B147" t="s">
        <v>417</v>
      </c>
      <c r="C147" t="s">
        <v>418</v>
      </c>
      <c r="D147" t="s">
        <v>419</v>
      </c>
      <c r="E147" t="s">
        <v>2337</v>
      </c>
      <c r="F147">
        <v>4</v>
      </c>
      <c r="G147">
        <v>4</v>
      </c>
      <c r="H147" t="s">
        <v>8</v>
      </c>
      <c r="I147" t="s">
        <v>22</v>
      </c>
      <c r="J147" t="s">
        <v>180</v>
      </c>
      <c r="K147">
        <v>2.2531736642122199E-2</v>
      </c>
      <c r="L147" s="26">
        <v>1.09379714219462E-7</v>
      </c>
      <c r="M147">
        <v>2.8638684690747498E-2</v>
      </c>
      <c r="N147">
        <v>2.3989023636612101</v>
      </c>
    </row>
    <row r="148" spans="1:14">
      <c r="A148" s="1">
        <v>147</v>
      </c>
      <c r="B148" t="s">
        <v>420</v>
      </c>
      <c r="C148" t="s">
        <v>421</v>
      </c>
      <c r="D148" t="s">
        <v>422</v>
      </c>
      <c r="E148" t="s">
        <v>420</v>
      </c>
      <c r="F148">
        <v>4</v>
      </c>
      <c r="G148">
        <v>5</v>
      </c>
      <c r="H148" t="s">
        <v>3</v>
      </c>
      <c r="I148" t="s">
        <v>3</v>
      </c>
      <c r="J148" t="s">
        <v>4</v>
      </c>
      <c r="K148">
        <v>0.94377201795578003</v>
      </c>
      <c r="L148" s="26">
        <v>2.7836654698645499E-5</v>
      </c>
      <c r="M148">
        <v>-2.8151419539966499E-2</v>
      </c>
      <c r="N148">
        <v>3.3962993589058299</v>
      </c>
    </row>
    <row r="149" spans="1:14">
      <c r="A149" s="1">
        <v>148</v>
      </c>
      <c r="B149" t="s">
        <v>423</v>
      </c>
      <c r="C149" t="s">
        <v>424</v>
      </c>
      <c r="D149" t="s">
        <v>425</v>
      </c>
      <c r="E149" t="s">
        <v>423</v>
      </c>
      <c r="F149">
        <v>5</v>
      </c>
      <c r="G149">
        <v>4</v>
      </c>
      <c r="H149" t="s">
        <v>8</v>
      </c>
      <c r="I149" t="s">
        <v>8</v>
      </c>
      <c r="J149" t="s">
        <v>4</v>
      </c>
      <c r="K149">
        <v>0.815604388713836</v>
      </c>
      <c r="L149" s="26">
        <v>2.07962881427227E-5</v>
      </c>
      <c r="M149">
        <v>-9.0126029272141696E-4</v>
      </c>
      <c r="N149">
        <v>3.4248230931371801</v>
      </c>
    </row>
    <row r="150" spans="1:14">
      <c r="A150" s="1">
        <v>149</v>
      </c>
      <c r="B150" t="s">
        <v>426</v>
      </c>
      <c r="C150" t="s">
        <v>427</v>
      </c>
      <c r="D150" t="s">
        <v>168</v>
      </c>
      <c r="E150" t="s">
        <v>426</v>
      </c>
      <c r="F150">
        <v>4</v>
      </c>
      <c r="G150">
        <v>4</v>
      </c>
      <c r="H150" t="s">
        <v>12</v>
      </c>
      <c r="I150" t="s">
        <v>12</v>
      </c>
      <c r="J150" t="s">
        <v>4</v>
      </c>
      <c r="K150">
        <v>0.48538702726364102</v>
      </c>
      <c r="L150" s="26">
        <v>9.4832130346293495E-6</v>
      </c>
      <c r="M150">
        <v>1.6698677285086502E-2</v>
      </c>
      <c r="N150">
        <v>3.6023634080147899</v>
      </c>
    </row>
    <row r="151" spans="1:14">
      <c r="A151" s="1">
        <v>150</v>
      </c>
      <c r="B151" t="s">
        <v>428</v>
      </c>
      <c r="C151" t="s">
        <v>429</v>
      </c>
      <c r="D151" t="s">
        <v>430</v>
      </c>
      <c r="E151" t="s">
        <v>428</v>
      </c>
      <c r="F151">
        <v>4</v>
      </c>
      <c r="G151">
        <v>4</v>
      </c>
      <c r="H151" t="s">
        <v>68</v>
      </c>
      <c r="I151" t="s">
        <v>68</v>
      </c>
      <c r="J151" t="s">
        <v>4</v>
      </c>
      <c r="K151">
        <v>0.81711721420287997</v>
      </c>
      <c r="L151" s="26">
        <v>2.0888105196676101E-5</v>
      </c>
      <c r="M151">
        <v>-1.00971142726002E-2</v>
      </c>
      <c r="N151">
        <v>3.5646564742354401</v>
      </c>
    </row>
    <row r="152" spans="1:14">
      <c r="A152" s="1">
        <v>151</v>
      </c>
      <c r="B152" t="s">
        <v>431</v>
      </c>
      <c r="C152" t="s">
        <v>432</v>
      </c>
      <c r="D152" t="s">
        <v>433</v>
      </c>
      <c r="E152" t="s">
        <v>431</v>
      </c>
      <c r="F152">
        <v>4</v>
      </c>
      <c r="G152">
        <v>9</v>
      </c>
      <c r="H152" t="s">
        <v>8</v>
      </c>
      <c r="I152" t="s">
        <v>8</v>
      </c>
      <c r="J152" t="s">
        <v>4</v>
      </c>
      <c r="K152">
        <v>0.89251458644866899</v>
      </c>
      <c r="L152" s="26">
        <v>2.4918418414011799E-5</v>
      </c>
      <c r="M152">
        <v>2.4434155884346598E-2</v>
      </c>
      <c r="N152">
        <v>3.0830576201299298</v>
      </c>
    </row>
    <row r="153" spans="1:14">
      <c r="A153" s="1">
        <v>152</v>
      </c>
      <c r="B153" t="s">
        <v>434</v>
      </c>
      <c r="C153" t="s">
        <v>435</v>
      </c>
      <c r="D153" t="s">
        <v>436</v>
      </c>
      <c r="E153" t="s">
        <v>434</v>
      </c>
      <c r="F153">
        <v>4</v>
      </c>
      <c r="G153">
        <v>5</v>
      </c>
      <c r="H153" t="s">
        <v>8</v>
      </c>
      <c r="I153" t="s">
        <v>8</v>
      </c>
      <c r="J153" t="s">
        <v>4</v>
      </c>
      <c r="K153">
        <v>0.92952167987823398</v>
      </c>
      <c r="L153" s="26">
        <v>2.7039223705458298E-5</v>
      </c>
      <c r="M153">
        <v>-2.2103396410741898E-3</v>
      </c>
      <c r="N153">
        <v>3.6285371889833602</v>
      </c>
    </row>
    <row r="154" spans="1:14">
      <c r="A154" s="1">
        <v>153</v>
      </c>
      <c r="B154" t="s">
        <v>437</v>
      </c>
      <c r="C154" t="s">
        <v>438</v>
      </c>
      <c r="D154" t="s">
        <v>439</v>
      </c>
      <c r="E154" t="s">
        <v>437</v>
      </c>
      <c r="F154">
        <v>7</v>
      </c>
      <c r="G154">
        <v>4</v>
      </c>
      <c r="H154" t="s">
        <v>8</v>
      </c>
      <c r="I154" t="s">
        <v>8</v>
      </c>
      <c r="J154" t="s">
        <v>4</v>
      </c>
      <c r="K154">
        <v>0.94025248289108199</v>
      </c>
      <c r="L154" s="26">
        <v>2.7630759341744802E-5</v>
      </c>
      <c r="M154">
        <v>3.1423601842703801E-3</v>
      </c>
      <c r="N154">
        <v>3.4453070689853398</v>
      </c>
    </row>
    <row r="155" spans="1:14">
      <c r="A155" s="1">
        <v>154</v>
      </c>
      <c r="B155" t="s">
        <v>440</v>
      </c>
      <c r="C155" t="s">
        <v>441</v>
      </c>
      <c r="D155" t="s">
        <v>112</v>
      </c>
      <c r="E155" t="s">
        <v>440</v>
      </c>
      <c r="F155">
        <v>4</v>
      </c>
      <c r="G155">
        <v>3</v>
      </c>
      <c r="H155" t="s">
        <v>8</v>
      </c>
      <c r="I155" t="s">
        <v>8</v>
      </c>
      <c r="J155" t="s">
        <v>4</v>
      </c>
      <c r="K155">
        <v>0.96686154603958097</v>
      </c>
      <c r="L155" s="26">
        <v>2.9214526921873899E-5</v>
      </c>
      <c r="M155">
        <v>2.61750391024335E-2</v>
      </c>
      <c r="N155">
        <v>3.6267412220883699</v>
      </c>
    </row>
    <row r="156" spans="1:14">
      <c r="A156" s="1">
        <v>155</v>
      </c>
      <c r="B156" t="s">
        <v>442</v>
      </c>
      <c r="C156" t="s">
        <v>443</v>
      </c>
      <c r="D156" t="s">
        <v>444</v>
      </c>
      <c r="E156" t="s">
        <v>442</v>
      </c>
      <c r="F156">
        <v>4</v>
      </c>
      <c r="G156">
        <v>4</v>
      </c>
      <c r="H156" t="s">
        <v>98</v>
      </c>
      <c r="I156" t="s">
        <v>98</v>
      </c>
      <c r="J156" t="s">
        <v>4</v>
      </c>
      <c r="K156">
        <v>0.98803687095642001</v>
      </c>
      <c r="L156" s="26">
        <v>3.0507708269944001E-5</v>
      </c>
      <c r="M156">
        <v>3.0778702447292899E-2</v>
      </c>
      <c r="N156">
        <v>2.5229139415557502</v>
      </c>
    </row>
    <row r="157" spans="1:14">
      <c r="A157" s="1">
        <v>156</v>
      </c>
      <c r="B157" t="s">
        <v>445</v>
      </c>
      <c r="C157" t="s">
        <v>446</v>
      </c>
      <c r="D157" t="s">
        <v>447</v>
      </c>
      <c r="E157" t="s">
        <v>445</v>
      </c>
      <c r="F157">
        <v>4</v>
      </c>
      <c r="G157">
        <v>3</v>
      </c>
      <c r="H157" t="s">
        <v>8</v>
      </c>
      <c r="I157" t="s">
        <v>8</v>
      </c>
      <c r="J157" t="s">
        <v>4</v>
      </c>
      <c r="K157">
        <v>0.911571204662323</v>
      </c>
      <c r="L157" s="26">
        <v>2.5975113182803398E-5</v>
      </c>
      <c r="M157">
        <v>-1.41442284669928E-2</v>
      </c>
      <c r="N157">
        <v>3.61885622221804</v>
      </c>
    </row>
    <row r="158" spans="1:14">
      <c r="A158" s="1">
        <v>157</v>
      </c>
      <c r="B158" t="s">
        <v>448</v>
      </c>
      <c r="C158" t="s">
        <v>449</v>
      </c>
      <c r="D158" t="s">
        <v>450</v>
      </c>
      <c r="E158" t="s">
        <v>448</v>
      </c>
      <c r="F158">
        <v>4</v>
      </c>
      <c r="G158">
        <v>4</v>
      </c>
      <c r="H158" t="s">
        <v>98</v>
      </c>
      <c r="I158" t="s">
        <v>98</v>
      </c>
      <c r="J158" t="s">
        <v>4</v>
      </c>
      <c r="K158">
        <v>0.90617650747299106</v>
      </c>
      <c r="L158" s="26">
        <v>2.5665464283997799E-5</v>
      </c>
      <c r="M158">
        <v>1.1461946825122899E-2</v>
      </c>
      <c r="N158">
        <v>3.4446227926290498</v>
      </c>
    </row>
    <row r="159" spans="1:14">
      <c r="A159" s="1">
        <v>158</v>
      </c>
      <c r="B159" t="s">
        <v>451</v>
      </c>
      <c r="C159" t="s">
        <v>452</v>
      </c>
      <c r="D159" t="s">
        <v>453</v>
      </c>
      <c r="E159" t="s">
        <v>451</v>
      </c>
      <c r="F159">
        <v>4</v>
      </c>
      <c r="G159">
        <v>7</v>
      </c>
      <c r="H159" t="s">
        <v>8</v>
      </c>
      <c r="I159" t="s">
        <v>8</v>
      </c>
      <c r="J159" t="s">
        <v>4</v>
      </c>
      <c r="K159">
        <v>0.98106062412261896</v>
      </c>
      <c r="L159" s="26">
        <v>3.0086975149157301E-5</v>
      </c>
      <c r="M159">
        <v>-6.3369287222485504E-3</v>
      </c>
      <c r="N159">
        <v>2.44689334276128</v>
      </c>
    </row>
    <row r="160" spans="1:14">
      <c r="A160" s="1">
        <v>159</v>
      </c>
      <c r="B160" t="s">
        <v>454</v>
      </c>
      <c r="C160" t="s">
        <v>455</v>
      </c>
      <c r="D160" t="s">
        <v>50</v>
      </c>
      <c r="E160" t="s">
        <v>454</v>
      </c>
      <c r="F160">
        <v>4</v>
      </c>
      <c r="G160">
        <v>3</v>
      </c>
      <c r="H160" t="s">
        <v>8</v>
      </c>
      <c r="I160" t="s">
        <v>8</v>
      </c>
      <c r="J160" t="s">
        <v>4</v>
      </c>
      <c r="K160">
        <v>0.93837994337081898</v>
      </c>
      <c r="L160" s="26">
        <v>2.7521212601455198E-5</v>
      </c>
      <c r="M160">
        <v>2.0741337345469901E-2</v>
      </c>
      <c r="N160">
        <v>3.5496628500555598</v>
      </c>
    </row>
    <row r="161" spans="1:14">
      <c r="A161" s="1">
        <v>160</v>
      </c>
      <c r="B161" t="s">
        <v>456</v>
      </c>
      <c r="C161" t="s">
        <v>457</v>
      </c>
      <c r="D161" t="s">
        <v>425</v>
      </c>
      <c r="E161" t="s">
        <v>456</v>
      </c>
      <c r="F161">
        <v>5</v>
      </c>
      <c r="G161">
        <v>4</v>
      </c>
      <c r="H161" t="s">
        <v>8</v>
      </c>
      <c r="I161" t="s">
        <v>8</v>
      </c>
      <c r="J161" t="s">
        <v>4</v>
      </c>
      <c r="K161">
        <v>0.89817374944686801</v>
      </c>
      <c r="L161" s="26">
        <v>2.5221956285399E-5</v>
      </c>
      <c r="M161">
        <v>-2.73222815994884E-2</v>
      </c>
      <c r="N161">
        <v>3.4910858353663499</v>
      </c>
    </row>
    <row r="162" spans="1:14">
      <c r="A162" s="1">
        <v>161</v>
      </c>
      <c r="B162" t="s">
        <v>458</v>
      </c>
      <c r="C162" t="s">
        <v>459</v>
      </c>
      <c r="D162" t="s">
        <v>460</v>
      </c>
      <c r="E162" t="s">
        <v>458</v>
      </c>
      <c r="F162">
        <v>5</v>
      </c>
      <c r="G162">
        <v>4</v>
      </c>
      <c r="H162" t="s">
        <v>8</v>
      </c>
      <c r="I162" t="s">
        <v>8</v>
      </c>
      <c r="J162" t="s">
        <v>4</v>
      </c>
      <c r="K162">
        <v>0.932667136192321</v>
      </c>
      <c r="L162" s="26">
        <v>2.7185407678569802E-5</v>
      </c>
      <c r="M162">
        <v>7.5029173388116901E-3</v>
      </c>
      <c r="N162">
        <v>3.40623588534487</v>
      </c>
    </row>
    <row r="163" spans="1:14">
      <c r="A163" s="1">
        <v>162</v>
      </c>
      <c r="B163" t="s">
        <v>461</v>
      </c>
      <c r="C163" t="s">
        <v>462</v>
      </c>
      <c r="D163" t="s">
        <v>463</v>
      </c>
      <c r="E163" t="s">
        <v>461</v>
      </c>
      <c r="F163">
        <v>4</v>
      </c>
      <c r="G163">
        <v>6</v>
      </c>
      <c r="H163" t="s">
        <v>8</v>
      </c>
      <c r="I163" t="s">
        <v>8</v>
      </c>
      <c r="J163" t="s">
        <v>4</v>
      </c>
      <c r="K163">
        <v>0.99781644344329801</v>
      </c>
      <c r="L163" s="26">
        <v>3.1113731900382699E-5</v>
      </c>
      <c r="M163">
        <v>1.9838919857292501E-2</v>
      </c>
      <c r="N163">
        <v>2.8054400391420402</v>
      </c>
    </row>
    <row r="164" spans="1:14">
      <c r="A164" s="1">
        <v>163</v>
      </c>
      <c r="B164" t="s">
        <v>464</v>
      </c>
      <c r="C164" t="s">
        <v>465</v>
      </c>
      <c r="D164" t="s">
        <v>466</v>
      </c>
      <c r="E164" t="s">
        <v>464</v>
      </c>
      <c r="F164">
        <v>4</v>
      </c>
      <c r="G164">
        <v>6</v>
      </c>
      <c r="H164" t="s">
        <v>8</v>
      </c>
      <c r="I164" t="s">
        <v>8</v>
      </c>
      <c r="J164" t="s">
        <v>4</v>
      </c>
      <c r="K164">
        <v>0.76678347587585405</v>
      </c>
      <c r="L164" s="26">
        <v>1.8939623350980499E-5</v>
      </c>
      <c r="M164">
        <v>9.5509934326969397E-3</v>
      </c>
      <c r="N164">
        <v>3.4478001177885802</v>
      </c>
    </row>
    <row r="165" spans="1:14">
      <c r="A165" s="1">
        <v>164</v>
      </c>
      <c r="B165" t="s">
        <v>467</v>
      </c>
      <c r="C165" t="s">
        <v>468</v>
      </c>
      <c r="D165" t="s">
        <v>469</v>
      </c>
      <c r="E165" t="s">
        <v>467</v>
      </c>
      <c r="F165">
        <v>5</v>
      </c>
      <c r="G165">
        <v>5</v>
      </c>
      <c r="H165" t="s">
        <v>8</v>
      </c>
      <c r="I165" t="s">
        <v>8</v>
      </c>
      <c r="J165" t="s">
        <v>4</v>
      </c>
      <c r="K165">
        <v>0.99821919202804499</v>
      </c>
      <c r="L165" s="26">
        <v>3.1138804853834898E-5</v>
      </c>
      <c r="M165">
        <v>2.1540604420849201E-2</v>
      </c>
      <c r="N165">
        <v>2.8127614736028499</v>
      </c>
    </row>
    <row r="166" spans="1:14">
      <c r="A166" s="1">
        <v>165</v>
      </c>
      <c r="B166" t="s">
        <v>470</v>
      </c>
      <c r="C166" t="s">
        <v>471</v>
      </c>
      <c r="D166" t="s">
        <v>472</v>
      </c>
      <c r="E166" t="s">
        <v>470</v>
      </c>
      <c r="F166">
        <v>6</v>
      </c>
      <c r="G166">
        <v>5</v>
      </c>
      <c r="H166" t="s">
        <v>8</v>
      </c>
      <c r="I166" t="s">
        <v>8</v>
      </c>
      <c r="J166" t="s">
        <v>4</v>
      </c>
      <c r="K166">
        <v>0.98813092708587602</v>
      </c>
      <c r="L166" s="26">
        <v>3.0513913279220001E-5</v>
      </c>
      <c r="M166">
        <v>2.35493381203042E-2</v>
      </c>
      <c r="N166">
        <v>3.00797848762241</v>
      </c>
    </row>
    <row r="167" spans="1:14">
      <c r="A167" s="1">
        <v>166</v>
      </c>
      <c r="B167" t="s">
        <v>473</v>
      </c>
      <c r="C167" t="s">
        <v>474</v>
      </c>
      <c r="D167" t="s">
        <v>475</v>
      </c>
      <c r="E167" t="s">
        <v>473</v>
      </c>
      <c r="F167">
        <v>6</v>
      </c>
      <c r="G167">
        <v>5</v>
      </c>
      <c r="H167" t="s">
        <v>8</v>
      </c>
      <c r="I167" t="s">
        <v>8</v>
      </c>
      <c r="J167" t="s">
        <v>4</v>
      </c>
      <c r="K167">
        <v>0.97403270006179798</v>
      </c>
      <c r="L167" s="26">
        <v>2.9648777515573E-5</v>
      </c>
      <c r="M167">
        <v>9.2406430282601093E-3</v>
      </c>
      <c r="N167">
        <v>3.6650480988979899</v>
      </c>
    </row>
    <row r="168" spans="1:14">
      <c r="A168" s="1">
        <v>167</v>
      </c>
      <c r="B168" t="s">
        <v>476</v>
      </c>
      <c r="C168" t="s">
        <v>477</v>
      </c>
      <c r="D168" t="s">
        <v>478</v>
      </c>
      <c r="E168" t="s">
        <v>476</v>
      </c>
      <c r="F168">
        <v>7</v>
      </c>
      <c r="G168">
        <v>5</v>
      </c>
      <c r="H168" t="s">
        <v>8</v>
      </c>
      <c r="I168" t="s">
        <v>8</v>
      </c>
      <c r="J168" t="s">
        <v>4</v>
      </c>
      <c r="K168">
        <v>0.99943810701370195</v>
      </c>
      <c r="L168" s="26">
        <v>3.1214890915260398E-5</v>
      </c>
      <c r="M168">
        <v>1.0070778026666E-2</v>
      </c>
      <c r="N168">
        <v>2.73015885773391</v>
      </c>
    </row>
    <row r="169" spans="1:14">
      <c r="A169" s="1">
        <v>168</v>
      </c>
      <c r="B169" t="s">
        <v>479</v>
      </c>
      <c r="C169" t="s">
        <v>480</v>
      </c>
      <c r="D169" t="s">
        <v>481</v>
      </c>
      <c r="E169" t="s">
        <v>479</v>
      </c>
      <c r="F169">
        <v>6</v>
      </c>
      <c r="G169">
        <v>6</v>
      </c>
      <c r="H169" t="s">
        <v>68</v>
      </c>
      <c r="I169" t="s">
        <v>68</v>
      </c>
      <c r="J169" t="s">
        <v>4</v>
      </c>
      <c r="K169">
        <v>0.95620906352996804</v>
      </c>
      <c r="L169" s="26">
        <v>2.8574293446779E-5</v>
      </c>
      <c r="M169">
        <v>-2.8929318218473499E-2</v>
      </c>
      <c r="N169">
        <v>3.4609787749844099</v>
      </c>
    </row>
    <row r="170" spans="1:14">
      <c r="A170" s="1">
        <v>169</v>
      </c>
      <c r="B170" t="s">
        <v>482</v>
      </c>
      <c r="C170" t="s">
        <v>483</v>
      </c>
      <c r="D170" t="s">
        <v>484</v>
      </c>
      <c r="E170" t="s">
        <v>482</v>
      </c>
      <c r="F170">
        <v>8</v>
      </c>
      <c r="G170">
        <v>5</v>
      </c>
      <c r="H170" t="s">
        <v>8</v>
      </c>
      <c r="I170" t="s">
        <v>8</v>
      </c>
      <c r="J170" t="s">
        <v>4</v>
      </c>
      <c r="K170">
        <v>0.94553577899932795</v>
      </c>
      <c r="L170" s="26">
        <v>2.7992235202069002E-5</v>
      </c>
      <c r="M170">
        <v>6.5566062005881698E-3</v>
      </c>
      <c r="N170">
        <v>3.7723083056851898</v>
      </c>
    </row>
    <row r="171" spans="1:14">
      <c r="A171" s="1">
        <v>170</v>
      </c>
      <c r="B171" t="s">
        <v>485</v>
      </c>
      <c r="C171" t="s">
        <v>486</v>
      </c>
      <c r="D171" t="s">
        <v>487</v>
      </c>
      <c r="E171" t="s">
        <v>485</v>
      </c>
      <c r="F171">
        <v>7</v>
      </c>
      <c r="G171">
        <v>5</v>
      </c>
      <c r="H171" t="s">
        <v>8</v>
      </c>
      <c r="I171" t="s">
        <v>8</v>
      </c>
      <c r="J171" t="s">
        <v>4</v>
      </c>
      <c r="K171">
        <v>0.89242345094680697</v>
      </c>
      <c r="L171" s="26">
        <v>2.49042422941035E-5</v>
      </c>
      <c r="M171">
        <v>-1.7576228295812499E-2</v>
      </c>
      <c r="N171">
        <v>3.5824827561377899</v>
      </c>
    </row>
    <row r="172" spans="1:14">
      <c r="A172" s="1">
        <v>171</v>
      </c>
      <c r="B172" t="s">
        <v>488</v>
      </c>
      <c r="C172" t="s">
        <v>489</v>
      </c>
      <c r="D172" t="s">
        <v>439</v>
      </c>
      <c r="E172" t="s">
        <v>488</v>
      </c>
      <c r="F172">
        <v>5</v>
      </c>
      <c r="G172">
        <v>4</v>
      </c>
      <c r="H172" t="s">
        <v>8</v>
      </c>
      <c r="I172" t="s">
        <v>8</v>
      </c>
      <c r="J172" t="s">
        <v>4</v>
      </c>
      <c r="K172">
        <v>0.88028943538665705</v>
      </c>
      <c r="L172" s="26">
        <v>2.4225967197046499E-5</v>
      </c>
      <c r="M172">
        <v>2.0079823790212E-2</v>
      </c>
      <c r="N172">
        <v>3.4230734723470602</v>
      </c>
    </row>
    <row r="173" spans="1:14">
      <c r="A173" s="1">
        <v>172</v>
      </c>
      <c r="B173" t="s">
        <v>490</v>
      </c>
      <c r="C173" t="s">
        <v>491</v>
      </c>
      <c r="D173" t="s">
        <v>47</v>
      </c>
      <c r="E173" t="s">
        <v>490</v>
      </c>
      <c r="F173">
        <v>5</v>
      </c>
      <c r="G173">
        <v>2</v>
      </c>
      <c r="H173" t="s">
        <v>12</v>
      </c>
      <c r="I173" t="s">
        <v>12</v>
      </c>
      <c r="J173" t="s">
        <v>4</v>
      </c>
      <c r="K173">
        <v>0.78233695030212402</v>
      </c>
      <c r="L173" s="26">
        <v>1.92265845699005E-5</v>
      </c>
      <c r="M173">
        <v>-2.0978958062023802E-2</v>
      </c>
      <c r="N173">
        <v>3.79981435966535</v>
      </c>
    </row>
    <row r="174" spans="1:14">
      <c r="A174" s="1">
        <v>173</v>
      </c>
      <c r="B174" t="s">
        <v>492</v>
      </c>
      <c r="C174" t="s">
        <v>493</v>
      </c>
      <c r="D174" t="s">
        <v>494</v>
      </c>
      <c r="E174" t="s">
        <v>492</v>
      </c>
      <c r="F174">
        <v>4</v>
      </c>
      <c r="G174">
        <v>8</v>
      </c>
      <c r="H174" t="s">
        <v>8</v>
      </c>
      <c r="I174" t="s">
        <v>8</v>
      </c>
      <c r="J174" t="s">
        <v>4</v>
      </c>
      <c r="K174">
        <v>0.98812675476074197</v>
      </c>
      <c r="L174" s="26">
        <v>3.0513576302058301E-5</v>
      </c>
      <c r="M174">
        <v>-1.9222478733013301E-2</v>
      </c>
      <c r="N174">
        <v>2.4854125895846</v>
      </c>
    </row>
    <row r="175" spans="1:14">
      <c r="A175" s="1">
        <v>174</v>
      </c>
      <c r="B175" t="s">
        <v>495</v>
      </c>
      <c r="C175" t="s">
        <v>496</v>
      </c>
      <c r="D175" t="s">
        <v>497</v>
      </c>
      <c r="E175" t="s">
        <v>495</v>
      </c>
      <c r="F175">
        <v>4</v>
      </c>
      <c r="G175">
        <v>6</v>
      </c>
      <c r="H175" t="s">
        <v>8</v>
      </c>
      <c r="I175" t="s">
        <v>8</v>
      </c>
      <c r="J175" t="s">
        <v>4</v>
      </c>
      <c r="K175">
        <v>0.388688474893569</v>
      </c>
      <c r="L175" s="26">
        <v>7.5206477398750199E-6</v>
      </c>
      <c r="M175">
        <v>3.4812406501899297E-2</v>
      </c>
      <c r="N175">
        <v>3.6592123452804599</v>
      </c>
    </row>
    <row r="176" spans="1:14">
      <c r="A176" s="1">
        <v>175</v>
      </c>
      <c r="B176" t="s">
        <v>498</v>
      </c>
      <c r="C176" t="s">
        <v>499</v>
      </c>
      <c r="D176" t="s">
        <v>500</v>
      </c>
      <c r="E176" t="s">
        <v>498</v>
      </c>
      <c r="F176">
        <v>4</v>
      </c>
      <c r="G176">
        <v>4</v>
      </c>
      <c r="H176" t="s">
        <v>98</v>
      </c>
      <c r="I176" t="s">
        <v>98</v>
      </c>
      <c r="J176" t="s">
        <v>4</v>
      </c>
      <c r="K176">
        <v>0.70063966512679998</v>
      </c>
      <c r="L176" s="26">
        <v>1.54751289541922E-5</v>
      </c>
      <c r="M176">
        <v>-2.3442028316208199E-2</v>
      </c>
      <c r="N176">
        <v>2.8598179536741402</v>
      </c>
    </row>
    <row r="177" spans="1:14">
      <c r="A177" s="1">
        <v>176</v>
      </c>
      <c r="B177" t="s">
        <v>501</v>
      </c>
      <c r="C177" t="s">
        <v>502</v>
      </c>
      <c r="D177" t="s">
        <v>503</v>
      </c>
      <c r="E177" t="s">
        <v>501</v>
      </c>
      <c r="F177">
        <v>5</v>
      </c>
      <c r="G177">
        <v>3</v>
      </c>
      <c r="H177" t="s">
        <v>12</v>
      </c>
      <c r="I177" t="s">
        <v>12</v>
      </c>
      <c r="J177" t="s">
        <v>4</v>
      </c>
      <c r="K177">
        <v>0.97977179288864102</v>
      </c>
      <c r="L177" s="26">
        <v>2.9999557876976299E-5</v>
      </c>
      <c r="M177">
        <v>-1.7896597564346799E-2</v>
      </c>
      <c r="N177">
        <v>3.7558607257137</v>
      </c>
    </row>
    <row r="178" spans="1:14">
      <c r="A178" s="1">
        <v>177</v>
      </c>
      <c r="B178" t="s">
        <v>504</v>
      </c>
      <c r="C178" t="s">
        <v>505</v>
      </c>
      <c r="D178" t="s">
        <v>506</v>
      </c>
      <c r="E178" t="s">
        <v>504</v>
      </c>
      <c r="F178">
        <v>4</v>
      </c>
      <c r="G178">
        <v>6</v>
      </c>
      <c r="H178" t="s">
        <v>68</v>
      </c>
      <c r="I178" t="s">
        <v>68</v>
      </c>
      <c r="J178" t="s">
        <v>4</v>
      </c>
      <c r="K178">
        <v>0.99412500858306796</v>
      </c>
      <c r="L178" s="26">
        <v>3.0884150110370197E-5</v>
      </c>
      <c r="M178">
        <v>-9.6477628968258903E-3</v>
      </c>
      <c r="N178">
        <v>2.3248136940609898</v>
      </c>
    </row>
    <row r="179" spans="1:14">
      <c r="A179" s="1">
        <v>178</v>
      </c>
      <c r="B179" t="s">
        <v>507</v>
      </c>
      <c r="C179" t="s">
        <v>508</v>
      </c>
      <c r="D179" t="s">
        <v>509</v>
      </c>
      <c r="E179" t="s">
        <v>507</v>
      </c>
      <c r="F179">
        <v>5</v>
      </c>
      <c r="G179">
        <v>4</v>
      </c>
      <c r="H179" t="s">
        <v>8</v>
      </c>
      <c r="I179" t="s">
        <v>8</v>
      </c>
      <c r="J179" t="s">
        <v>4</v>
      </c>
      <c r="K179">
        <v>0.93783986568450906</v>
      </c>
      <c r="L179" s="26">
        <v>2.74873993853838E-5</v>
      </c>
      <c r="M179">
        <v>1.22694954431068E-3</v>
      </c>
      <c r="N179">
        <v>3.7418617439543298</v>
      </c>
    </row>
    <row r="180" spans="1:14">
      <c r="A180" s="1">
        <v>179</v>
      </c>
      <c r="B180" t="s">
        <v>510</v>
      </c>
      <c r="C180" t="s">
        <v>511</v>
      </c>
      <c r="D180" t="s">
        <v>512</v>
      </c>
      <c r="E180" t="s">
        <v>510</v>
      </c>
      <c r="F180">
        <v>4</v>
      </c>
      <c r="G180">
        <v>4</v>
      </c>
      <c r="H180" t="s">
        <v>8</v>
      </c>
      <c r="I180" t="s">
        <v>8</v>
      </c>
      <c r="J180" t="s">
        <v>4</v>
      </c>
      <c r="K180">
        <v>0.93588232994079501</v>
      </c>
      <c r="L180" s="26">
        <v>2.7382926980986999E-5</v>
      </c>
      <c r="M180">
        <v>-6.1168622804208496E-4</v>
      </c>
      <c r="N180">
        <v>3.5968324706082</v>
      </c>
    </row>
    <row r="181" spans="1:14">
      <c r="A181" s="1">
        <v>180</v>
      </c>
      <c r="B181" t="s">
        <v>513</v>
      </c>
      <c r="C181" t="s">
        <v>514</v>
      </c>
      <c r="D181" t="s">
        <v>515</v>
      </c>
      <c r="E181" t="s">
        <v>513</v>
      </c>
      <c r="F181">
        <v>5</v>
      </c>
      <c r="G181">
        <v>4</v>
      </c>
      <c r="H181" t="s">
        <v>98</v>
      </c>
      <c r="I181" t="s">
        <v>98</v>
      </c>
      <c r="J181" t="s">
        <v>4</v>
      </c>
      <c r="K181">
        <v>0.90172529220580999</v>
      </c>
      <c r="L181" s="26">
        <v>2.54685670029388E-5</v>
      </c>
      <c r="M181">
        <v>1.17495498891173E-2</v>
      </c>
      <c r="N181">
        <v>3.6610247478409201</v>
      </c>
    </row>
    <row r="182" spans="1:14">
      <c r="A182" s="1">
        <v>181</v>
      </c>
      <c r="B182" t="s">
        <v>516</v>
      </c>
      <c r="C182" t="s">
        <v>517</v>
      </c>
      <c r="D182" t="s">
        <v>47</v>
      </c>
      <c r="E182" t="s">
        <v>516</v>
      </c>
      <c r="F182">
        <v>4</v>
      </c>
      <c r="G182">
        <v>2</v>
      </c>
      <c r="H182" t="s">
        <v>12</v>
      </c>
      <c r="I182" t="s">
        <v>12</v>
      </c>
      <c r="J182" t="s">
        <v>4</v>
      </c>
      <c r="K182">
        <v>0.58407926559448198</v>
      </c>
      <c r="L182" s="26">
        <v>1.11954049973224E-5</v>
      </c>
      <c r="M182">
        <v>9.9037115201818793E-3</v>
      </c>
      <c r="N182">
        <v>3.7977054078250498</v>
      </c>
    </row>
    <row r="183" spans="1:14">
      <c r="A183" s="1">
        <v>182</v>
      </c>
      <c r="B183" t="s">
        <v>518</v>
      </c>
      <c r="C183" t="s">
        <v>519</v>
      </c>
      <c r="D183" t="s">
        <v>520</v>
      </c>
      <c r="E183" t="s">
        <v>518</v>
      </c>
      <c r="F183">
        <v>5</v>
      </c>
      <c r="G183">
        <v>4</v>
      </c>
      <c r="H183" t="s">
        <v>8</v>
      </c>
      <c r="I183" t="s">
        <v>8</v>
      </c>
      <c r="J183" t="s">
        <v>4</v>
      </c>
      <c r="K183">
        <v>0.91574591398239102</v>
      </c>
      <c r="L183" s="26">
        <v>2.6219616629974299E-5</v>
      </c>
      <c r="M183">
        <v>-2.4966659745004401E-2</v>
      </c>
      <c r="N183">
        <v>3.4924301403949198</v>
      </c>
    </row>
    <row r="184" spans="1:14">
      <c r="A184" s="1">
        <v>183</v>
      </c>
      <c r="B184" t="s">
        <v>521</v>
      </c>
      <c r="C184" t="s">
        <v>522</v>
      </c>
      <c r="D184" t="s">
        <v>112</v>
      </c>
      <c r="E184" t="s">
        <v>521</v>
      </c>
      <c r="F184">
        <v>4</v>
      </c>
      <c r="G184">
        <v>3</v>
      </c>
      <c r="H184" t="s">
        <v>113</v>
      </c>
      <c r="I184" t="s">
        <v>113</v>
      </c>
      <c r="J184" t="s">
        <v>4</v>
      </c>
      <c r="K184">
        <v>0.67850232124328602</v>
      </c>
      <c r="L184" s="26">
        <v>1.61575437328486E-5</v>
      </c>
      <c r="M184">
        <v>-5.6673244879412703E-3</v>
      </c>
      <c r="N184">
        <v>3.8571437988551001</v>
      </c>
    </row>
    <row r="185" spans="1:14">
      <c r="A185" s="1">
        <v>184</v>
      </c>
      <c r="B185" t="s">
        <v>523</v>
      </c>
      <c r="C185" t="s">
        <v>524</v>
      </c>
      <c r="D185" t="s">
        <v>525</v>
      </c>
      <c r="E185" t="s">
        <v>523</v>
      </c>
      <c r="F185">
        <v>6</v>
      </c>
      <c r="G185">
        <v>4</v>
      </c>
      <c r="H185" t="s">
        <v>8</v>
      </c>
      <c r="I185" t="s">
        <v>8</v>
      </c>
      <c r="J185" t="s">
        <v>4</v>
      </c>
      <c r="K185">
        <v>0.94729489088058405</v>
      </c>
      <c r="L185" s="26">
        <v>2.8044852486861299E-5</v>
      </c>
      <c r="M185">
        <v>1.5896990497823001E-2</v>
      </c>
      <c r="N185">
        <v>3.5586762473236</v>
      </c>
    </row>
    <row r="186" spans="1:14">
      <c r="A186" s="1">
        <v>185</v>
      </c>
      <c r="B186" t="s">
        <v>526</v>
      </c>
      <c r="C186" t="s">
        <v>527</v>
      </c>
      <c r="D186" t="s">
        <v>528</v>
      </c>
      <c r="E186" t="s">
        <v>526</v>
      </c>
      <c r="F186">
        <v>4</v>
      </c>
      <c r="G186">
        <v>8</v>
      </c>
      <c r="H186" t="s">
        <v>8</v>
      </c>
      <c r="I186" t="s">
        <v>8</v>
      </c>
      <c r="J186" t="s">
        <v>4</v>
      </c>
      <c r="K186">
        <v>0.98388862609863204</v>
      </c>
      <c r="L186" s="26">
        <v>3.0257656182475399E-5</v>
      </c>
      <c r="M186">
        <v>2.7429182085825202E-3</v>
      </c>
      <c r="N186">
        <v>2.8576335377169699</v>
      </c>
    </row>
    <row r="187" spans="1:14">
      <c r="A187" s="1">
        <v>186</v>
      </c>
      <c r="B187" t="s">
        <v>529</v>
      </c>
      <c r="C187" t="s">
        <v>530</v>
      </c>
      <c r="D187" t="s">
        <v>531</v>
      </c>
      <c r="E187" t="s">
        <v>529</v>
      </c>
      <c r="F187">
        <v>4</v>
      </c>
      <c r="G187">
        <v>4</v>
      </c>
      <c r="H187" t="s">
        <v>8</v>
      </c>
      <c r="I187" t="s">
        <v>8</v>
      </c>
      <c r="J187" t="s">
        <v>4</v>
      </c>
      <c r="K187">
        <v>0.40040606260299599</v>
      </c>
      <c r="L187" s="26">
        <v>5.6038036701192296E-6</v>
      </c>
      <c r="M187">
        <v>-3.1593474096744899E-3</v>
      </c>
      <c r="N187">
        <v>3.2061837137573601</v>
      </c>
    </row>
    <row r="188" spans="1:14">
      <c r="A188" s="1">
        <v>187</v>
      </c>
      <c r="B188" t="s">
        <v>532</v>
      </c>
      <c r="C188" t="s">
        <v>533</v>
      </c>
      <c r="D188" t="s">
        <v>534</v>
      </c>
      <c r="E188" t="s">
        <v>532</v>
      </c>
      <c r="F188">
        <v>6</v>
      </c>
      <c r="G188">
        <v>4</v>
      </c>
      <c r="H188" t="s">
        <v>8</v>
      </c>
      <c r="I188" t="s">
        <v>8</v>
      </c>
      <c r="J188" t="s">
        <v>4</v>
      </c>
      <c r="K188">
        <v>0.84729075431823697</v>
      </c>
      <c r="L188" s="26">
        <v>2.2471220043445699E-5</v>
      </c>
      <c r="M188">
        <v>2.7331566953145901E-2</v>
      </c>
      <c r="N188">
        <v>3.58047037744908</v>
      </c>
    </row>
    <row r="189" spans="1:14">
      <c r="A189" s="1">
        <v>188</v>
      </c>
      <c r="B189" t="s">
        <v>535</v>
      </c>
      <c r="C189" t="s">
        <v>536</v>
      </c>
      <c r="D189" t="s">
        <v>537</v>
      </c>
      <c r="E189" t="s">
        <v>535</v>
      </c>
      <c r="F189">
        <v>4</v>
      </c>
      <c r="G189">
        <v>4</v>
      </c>
      <c r="H189" t="s">
        <v>8</v>
      </c>
      <c r="I189" t="s">
        <v>8</v>
      </c>
      <c r="J189" t="s">
        <v>4</v>
      </c>
      <c r="K189">
        <v>0.99920493364334095</v>
      </c>
      <c r="L189" s="26">
        <v>3.1200329050898297E-5</v>
      </c>
      <c r="M189">
        <v>6.1682316527829004E-3</v>
      </c>
      <c r="N189">
        <v>2.97368673029285</v>
      </c>
    </row>
    <row r="190" spans="1:14">
      <c r="A190" s="1">
        <v>189</v>
      </c>
      <c r="B190" t="s">
        <v>538</v>
      </c>
      <c r="C190" t="s">
        <v>539</v>
      </c>
      <c r="D190" t="s">
        <v>7</v>
      </c>
      <c r="E190" t="s">
        <v>538</v>
      </c>
      <c r="F190">
        <v>6</v>
      </c>
      <c r="G190">
        <v>3</v>
      </c>
      <c r="H190" t="s">
        <v>8</v>
      </c>
      <c r="I190" t="s">
        <v>8</v>
      </c>
      <c r="J190" t="s">
        <v>4</v>
      </c>
      <c r="K190">
        <v>0.978354811668396</v>
      </c>
      <c r="L190" s="26">
        <v>2.9912296869325801E-5</v>
      </c>
      <c r="M190">
        <v>-8.7200370633020406E-3</v>
      </c>
      <c r="N190">
        <v>3.7130156578342999</v>
      </c>
    </row>
    <row r="191" spans="1:14">
      <c r="A191" s="1">
        <v>190</v>
      </c>
      <c r="B191" t="s">
        <v>540</v>
      </c>
      <c r="C191" t="s">
        <v>541</v>
      </c>
      <c r="D191" t="s">
        <v>542</v>
      </c>
      <c r="E191" t="s">
        <v>2338</v>
      </c>
      <c r="F191">
        <v>4</v>
      </c>
      <c r="G191">
        <v>4</v>
      </c>
      <c r="H191" t="s">
        <v>8</v>
      </c>
      <c r="I191" t="s">
        <v>68</v>
      </c>
      <c r="J191" t="s">
        <v>180</v>
      </c>
      <c r="K191">
        <v>0.175199374556541</v>
      </c>
      <c r="L191" s="26">
        <v>1.9850173651765198E-6</v>
      </c>
      <c r="M191">
        <v>-5.9260453202144299E-2</v>
      </c>
      <c r="N191">
        <v>3.51837517763067</v>
      </c>
    </row>
    <row r="192" spans="1:14">
      <c r="A192" s="1">
        <v>191</v>
      </c>
      <c r="B192" t="s">
        <v>543</v>
      </c>
      <c r="C192" t="s">
        <v>544</v>
      </c>
      <c r="D192" t="s">
        <v>257</v>
      </c>
      <c r="E192" t="s">
        <v>543</v>
      </c>
      <c r="F192">
        <v>4</v>
      </c>
      <c r="G192">
        <v>3</v>
      </c>
      <c r="H192" t="s">
        <v>3</v>
      </c>
      <c r="I192" t="s">
        <v>3</v>
      </c>
      <c r="J192" t="s">
        <v>4</v>
      </c>
      <c r="K192">
        <v>0.86558306217193604</v>
      </c>
      <c r="L192" s="26">
        <v>2.34578298598696E-5</v>
      </c>
      <c r="M192">
        <v>4.0287485140268503E-2</v>
      </c>
      <c r="N192">
        <v>3.47408760935383</v>
      </c>
    </row>
    <row r="193" spans="1:14">
      <c r="A193" s="1">
        <v>192</v>
      </c>
      <c r="B193" t="s">
        <v>545</v>
      </c>
      <c r="C193" t="s">
        <v>546</v>
      </c>
      <c r="D193" t="s">
        <v>547</v>
      </c>
      <c r="E193" t="s">
        <v>545</v>
      </c>
      <c r="F193">
        <v>5</v>
      </c>
      <c r="G193">
        <v>7</v>
      </c>
      <c r="H193" t="s">
        <v>8</v>
      </c>
      <c r="I193" t="s">
        <v>8</v>
      </c>
      <c r="J193" t="s">
        <v>4</v>
      </c>
      <c r="K193">
        <v>0.69478839635848999</v>
      </c>
      <c r="L193" s="26">
        <v>1.53352667248812E-5</v>
      </c>
      <c r="M193">
        <v>1.7242767815453398E-2</v>
      </c>
      <c r="N193">
        <v>3.32524346181158</v>
      </c>
    </row>
    <row r="194" spans="1:14">
      <c r="A194" s="1">
        <v>193</v>
      </c>
      <c r="B194" t="s">
        <v>548</v>
      </c>
      <c r="C194" t="s">
        <v>549</v>
      </c>
      <c r="D194" t="s">
        <v>550</v>
      </c>
      <c r="E194" t="s">
        <v>2339</v>
      </c>
      <c r="F194">
        <v>4</v>
      </c>
      <c r="G194">
        <v>4</v>
      </c>
      <c r="H194" t="s">
        <v>8</v>
      </c>
      <c r="I194" t="s">
        <v>68</v>
      </c>
      <c r="J194" t="s">
        <v>180</v>
      </c>
      <c r="K194">
        <v>0.59581339359283403</v>
      </c>
      <c r="L194" s="26">
        <v>1.15470341251288E-5</v>
      </c>
      <c r="M194" s="26">
        <v>2.9508995289972901E-5</v>
      </c>
      <c r="N194">
        <v>3.9241778538704302</v>
      </c>
    </row>
    <row r="195" spans="1:14">
      <c r="A195" s="1">
        <v>194</v>
      </c>
      <c r="B195" t="s">
        <v>551</v>
      </c>
      <c r="C195" t="s">
        <v>552</v>
      </c>
      <c r="D195" t="s">
        <v>553</v>
      </c>
      <c r="E195" t="s">
        <v>551</v>
      </c>
      <c r="F195">
        <v>6</v>
      </c>
      <c r="G195">
        <v>4</v>
      </c>
      <c r="H195" t="s">
        <v>8</v>
      </c>
      <c r="I195" t="s">
        <v>8</v>
      </c>
      <c r="J195" t="s">
        <v>4</v>
      </c>
      <c r="K195">
        <v>0.926186263561248</v>
      </c>
      <c r="L195" s="26">
        <v>2.68146496269004E-5</v>
      </c>
      <c r="M195">
        <v>-6.3102689299867603E-3</v>
      </c>
      <c r="N195">
        <v>3.6351786360506799</v>
      </c>
    </row>
    <row r="196" spans="1:14">
      <c r="A196" s="1">
        <v>195</v>
      </c>
      <c r="B196" t="s">
        <v>554</v>
      </c>
      <c r="C196" t="s">
        <v>555</v>
      </c>
      <c r="D196" t="s">
        <v>556</v>
      </c>
      <c r="E196" t="s">
        <v>554</v>
      </c>
      <c r="F196">
        <v>4</v>
      </c>
      <c r="G196">
        <v>2</v>
      </c>
      <c r="H196" t="s">
        <v>12</v>
      </c>
      <c r="I196" t="s">
        <v>12</v>
      </c>
      <c r="J196" t="s">
        <v>4</v>
      </c>
      <c r="K196">
        <v>0.81885200738906805</v>
      </c>
      <c r="L196" s="26">
        <v>2.10115348121861E-5</v>
      </c>
      <c r="M196">
        <v>-1.9922832582995601E-2</v>
      </c>
      <c r="N196">
        <v>3.89984856486014</v>
      </c>
    </row>
    <row r="197" spans="1:14">
      <c r="A197" s="1">
        <v>196</v>
      </c>
      <c r="B197" t="s">
        <v>557</v>
      </c>
      <c r="C197" t="s">
        <v>558</v>
      </c>
      <c r="D197" t="s">
        <v>559</v>
      </c>
      <c r="E197" t="s">
        <v>557</v>
      </c>
      <c r="F197">
        <v>4</v>
      </c>
      <c r="G197">
        <v>6</v>
      </c>
      <c r="H197" t="s">
        <v>8</v>
      </c>
      <c r="I197" t="s">
        <v>8</v>
      </c>
      <c r="J197" t="s">
        <v>4</v>
      </c>
      <c r="K197">
        <v>0.93872386217117298</v>
      </c>
      <c r="L197" s="26">
        <v>2.75495606573143E-5</v>
      </c>
      <c r="M197">
        <v>-5.8521214558027099E-3</v>
      </c>
      <c r="N197">
        <v>3.7016139849151801</v>
      </c>
    </row>
    <row r="198" spans="1:14">
      <c r="A198" s="1">
        <v>197</v>
      </c>
      <c r="B198" t="s">
        <v>560</v>
      </c>
      <c r="C198" t="s">
        <v>561</v>
      </c>
      <c r="D198" t="s">
        <v>562</v>
      </c>
      <c r="E198" t="s">
        <v>560</v>
      </c>
      <c r="F198">
        <v>5</v>
      </c>
      <c r="G198">
        <v>5</v>
      </c>
      <c r="H198" t="s">
        <v>123</v>
      </c>
      <c r="I198" t="s">
        <v>123</v>
      </c>
      <c r="J198" t="s">
        <v>4</v>
      </c>
      <c r="K198">
        <v>0.83432823419570901</v>
      </c>
      <c r="L198" s="26">
        <v>2.22113924009738E-5</v>
      </c>
      <c r="M198">
        <v>-2.6809960243134802E-3</v>
      </c>
      <c r="N198">
        <v>3.1558123149398898</v>
      </c>
    </row>
    <row r="199" spans="1:14">
      <c r="A199" s="1">
        <v>198</v>
      </c>
      <c r="B199" t="s">
        <v>563</v>
      </c>
      <c r="C199" t="s">
        <v>564</v>
      </c>
      <c r="D199" t="s">
        <v>407</v>
      </c>
      <c r="E199" t="s">
        <v>563</v>
      </c>
      <c r="F199">
        <v>5</v>
      </c>
      <c r="G199">
        <v>4</v>
      </c>
      <c r="H199" t="s">
        <v>8</v>
      </c>
      <c r="I199" t="s">
        <v>8</v>
      </c>
      <c r="J199" t="s">
        <v>4</v>
      </c>
      <c r="K199">
        <v>0.84119403362274103</v>
      </c>
      <c r="L199" s="26">
        <v>2.2142456950992601E-5</v>
      </c>
      <c r="M199">
        <v>6.2898704678673303E-3</v>
      </c>
      <c r="N199">
        <v>3.2854006142813201</v>
      </c>
    </row>
    <row r="200" spans="1:14">
      <c r="A200" s="1">
        <v>199</v>
      </c>
      <c r="B200" t="s">
        <v>565</v>
      </c>
      <c r="C200" t="s">
        <v>566</v>
      </c>
      <c r="D200" t="s">
        <v>567</v>
      </c>
      <c r="E200" t="s">
        <v>2340</v>
      </c>
      <c r="F200">
        <v>4</v>
      </c>
      <c r="G200">
        <v>6</v>
      </c>
      <c r="H200" t="s">
        <v>8</v>
      </c>
      <c r="I200" t="s">
        <v>8</v>
      </c>
      <c r="J200" t="s">
        <v>180</v>
      </c>
      <c r="K200">
        <v>0.10163015127182</v>
      </c>
      <c r="L200" s="26">
        <v>1.04513539279395E-6</v>
      </c>
      <c r="M200">
        <v>-8.3264106869194096E-3</v>
      </c>
      <c r="N200">
        <v>3.5671969782290902</v>
      </c>
    </row>
    <row r="201" spans="1:14">
      <c r="A201" s="1">
        <v>200</v>
      </c>
      <c r="B201" t="s">
        <v>569</v>
      </c>
      <c r="C201" t="s">
        <v>570</v>
      </c>
      <c r="D201" t="s">
        <v>571</v>
      </c>
      <c r="E201" t="s">
        <v>569</v>
      </c>
      <c r="F201">
        <v>4</v>
      </c>
      <c r="G201">
        <v>6</v>
      </c>
      <c r="H201" t="s">
        <v>8</v>
      </c>
      <c r="I201" t="s">
        <v>8</v>
      </c>
      <c r="J201" t="s">
        <v>4</v>
      </c>
      <c r="K201">
        <v>0.964350044727325</v>
      </c>
      <c r="L201" s="26">
        <v>2.9062253303154799E-5</v>
      </c>
      <c r="M201">
        <v>2.1229838075079499E-2</v>
      </c>
      <c r="N201">
        <v>3.0803184525881</v>
      </c>
    </row>
    <row r="202" spans="1:14">
      <c r="A202" s="1">
        <v>201</v>
      </c>
      <c r="B202" t="s">
        <v>572</v>
      </c>
      <c r="C202" t="s">
        <v>573</v>
      </c>
      <c r="D202" t="s">
        <v>574</v>
      </c>
      <c r="E202" t="s">
        <v>572</v>
      </c>
      <c r="F202">
        <v>5</v>
      </c>
      <c r="G202">
        <v>4</v>
      </c>
      <c r="H202" t="s">
        <v>8</v>
      </c>
      <c r="I202" t="s">
        <v>8</v>
      </c>
      <c r="J202" t="s">
        <v>4</v>
      </c>
      <c r="K202">
        <v>0.87298983335494995</v>
      </c>
      <c r="L202" s="26">
        <v>2.38235665535046E-5</v>
      </c>
      <c r="M202">
        <v>1.88711299624841E-2</v>
      </c>
      <c r="N202">
        <v>2.5112183325016502</v>
      </c>
    </row>
    <row r="203" spans="1:14">
      <c r="A203" s="1">
        <v>202</v>
      </c>
      <c r="B203" t="s">
        <v>575</v>
      </c>
      <c r="C203" t="s">
        <v>576</v>
      </c>
      <c r="D203" t="s">
        <v>577</v>
      </c>
      <c r="E203" t="s">
        <v>575</v>
      </c>
      <c r="F203">
        <v>4</v>
      </c>
      <c r="G203">
        <v>4</v>
      </c>
      <c r="H203" t="s">
        <v>12</v>
      </c>
      <c r="I203" t="s">
        <v>12</v>
      </c>
      <c r="J203" t="s">
        <v>4</v>
      </c>
      <c r="K203">
        <v>0.358495563268661</v>
      </c>
      <c r="L203" s="26">
        <v>4.64438446262506E-6</v>
      </c>
      <c r="M203">
        <v>-1.11169055024715E-2</v>
      </c>
      <c r="N203">
        <v>3.3454927134827201</v>
      </c>
    </row>
    <row r="204" spans="1:14">
      <c r="A204" s="1">
        <v>203</v>
      </c>
      <c r="B204" t="s">
        <v>578</v>
      </c>
      <c r="C204" t="s">
        <v>579</v>
      </c>
      <c r="D204" t="s">
        <v>580</v>
      </c>
      <c r="E204" t="s">
        <v>578</v>
      </c>
      <c r="F204">
        <v>5</v>
      </c>
      <c r="G204">
        <v>4</v>
      </c>
      <c r="H204" t="s">
        <v>8</v>
      </c>
      <c r="I204" t="s">
        <v>8</v>
      </c>
      <c r="J204" t="s">
        <v>4</v>
      </c>
      <c r="K204">
        <v>0.96621412038803101</v>
      </c>
      <c r="L204" s="26">
        <v>2.9174585251461601E-5</v>
      </c>
      <c r="M204">
        <v>-3.45469087531569E-3</v>
      </c>
      <c r="N204">
        <v>3.7058773942377901</v>
      </c>
    </row>
    <row r="205" spans="1:14">
      <c r="A205" s="1">
        <v>204</v>
      </c>
      <c r="B205" t="s">
        <v>581</v>
      </c>
      <c r="C205" t="s">
        <v>582</v>
      </c>
      <c r="D205" t="s">
        <v>583</v>
      </c>
      <c r="E205" t="s">
        <v>581</v>
      </c>
      <c r="F205">
        <v>4</v>
      </c>
      <c r="G205">
        <v>6</v>
      </c>
      <c r="H205" t="s">
        <v>12</v>
      </c>
      <c r="I205" t="s">
        <v>12</v>
      </c>
      <c r="J205" t="s">
        <v>4</v>
      </c>
      <c r="K205">
        <v>0.61168229579925504</v>
      </c>
      <c r="L205" s="26">
        <v>1.30416716077684E-5</v>
      </c>
      <c r="M205">
        <v>-3.4152132393131703E-2</v>
      </c>
      <c r="N205">
        <v>3.7912956401513598</v>
      </c>
    </row>
    <row r="206" spans="1:14">
      <c r="A206" s="1">
        <v>205</v>
      </c>
      <c r="B206" t="s">
        <v>584</v>
      </c>
      <c r="C206" t="s">
        <v>585</v>
      </c>
      <c r="D206" t="s">
        <v>586</v>
      </c>
      <c r="E206" t="s">
        <v>584</v>
      </c>
      <c r="F206">
        <v>4</v>
      </c>
      <c r="G206">
        <v>7</v>
      </c>
      <c r="H206" t="s">
        <v>8</v>
      </c>
      <c r="I206" t="s">
        <v>8</v>
      </c>
      <c r="J206" t="s">
        <v>4</v>
      </c>
      <c r="K206">
        <v>0.98256647586822499</v>
      </c>
      <c r="L206" s="26">
        <v>3.01702620289163E-5</v>
      </c>
      <c r="M206">
        <v>-5.4489386546947502E-3</v>
      </c>
      <c r="N206">
        <v>3.7956032979407901</v>
      </c>
    </row>
    <row r="207" spans="1:14">
      <c r="A207" s="1">
        <v>206</v>
      </c>
      <c r="B207" t="s">
        <v>587</v>
      </c>
      <c r="C207" t="s">
        <v>588</v>
      </c>
      <c r="D207" t="s">
        <v>475</v>
      </c>
      <c r="E207" t="s">
        <v>587</v>
      </c>
      <c r="F207">
        <v>4</v>
      </c>
      <c r="G207">
        <v>5</v>
      </c>
      <c r="H207" t="s">
        <v>8</v>
      </c>
      <c r="I207" t="s">
        <v>8</v>
      </c>
      <c r="J207" t="s">
        <v>4</v>
      </c>
      <c r="K207">
        <v>0.76603233814239502</v>
      </c>
      <c r="L207" s="26">
        <v>1.8381958857772999E-5</v>
      </c>
      <c r="M207">
        <v>-7.9223777979535708E-3</v>
      </c>
      <c r="N207">
        <v>3.39057617222067</v>
      </c>
    </row>
    <row r="208" spans="1:14">
      <c r="A208" s="1">
        <v>207</v>
      </c>
      <c r="B208" t="s">
        <v>589</v>
      </c>
      <c r="C208" t="s">
        <v>590</v>
      </c>
      <c r="D208" t="s">
        <v>591</v>
      </c>
      <c r="E208" t="s">
        <v>589</v>
      </c>
      <c r="F208">
        <v>6</v>
      </c>
      <c r="G208">
        <v>6</v>
      </c>
      <c r="H208" t="s">
        <v>8</v>
      </c>
      <c r="I208" t="s">
        <v>8</v>
      </c>
      <c r="J208" t="s">
        <v>4</v>
      </c>
      <c r="K208">
        <v>0.21570600569248199</v>
      </c>
      <c r="L208" s="26">
        <v>1.55627002620843E-6</v>
      </c>
      <c r="M208">
        <v>1.5563980674136699E-2</v>
      </c>
      <c r="N208">
        <v>3.4097554531155598</v>
      </c>
    </row>
    <row r="209" spans="1:14">
      <c r="A209" s="1">
        <v>208</v>
      </c>
      <c r="B209" t="s">
        <v>592</v>
      </c>
      <c r="C209" t="s">
        <v>593</v>
      </c>
      <c r="D209" t="s">
        <v>594</v>
      </c>
      <c r="E209" t="s">
        <v>592</v>
      </c>
      <c r="F209">
        <v>4</v>
      </c>
      <c r="G209">
        <v>6</v>
      </c>
      <c r="H209" t="s">
        <v>8</v>
      </c>
      <c r="I209" t="s">
        <v>8</v>
      </c>
      <c r="J209" t="s">
        <v>4</v>
      </c>
      <c r="K209">
        <v>0.906488537788391</v>
      </c>
      <c r="L209" s="26">
        <v>2.5691060341992401E-5</v>
      </c>
      <c r="M209">
        <v>1.21987892626123E-2</v>
      </c>
      <c r="N209">
        <v>3.5936260442955201</v>
      </c>
    </row>
    <row r="210" spans="1:14">
      <c r="A210" s="1">
        <v>209</v>
      </c>
      <c r="B210" t="s">
        <v>595</v>
      </c>
      <c r="C210" t="s">
        <v>596</v>
      </c>
      <c r="D210" t="s">
        <v>597</v>
      </c>
      <c r="E210" t="s">
        <v>595</v>
      </c>
      <c r="F210">
        <v>5</v>
      </c>
      <c r="G210">
        <v>4</v>
      </c>
      <c r="H210" t="s">
        <v>68</v>
      </c>
      <c r="I210" t="s">
        <v>68</v>
      </c>
      <c r="J210" t="s">
        <v>4</v>
      </c>
      <c r="K210">
        <v>0.53309804201126099</v>
      </c>
      <c r="L210" s="26">
        <v>9.1773082591585406E-6</v>
      </c>
      <c r="M210">
        <v>2.62654212234565E-2</v>
      </c>
      <c r="N210">
        <v>3.0750188354331902</v>
      </c>
    </row>
    <row r="211" spans="1:14">
      <c r="A211" s="1">
        <v>210</v>
      </c>
      <c r="B211" t="s">
        <v>598</v>
      </c>
      <c r="C211" t="s">
        <v>599</v>
      </c>
      <c r="D211" t="s">
        <v>600</v>
      </c>
      <c r="E211" t="s">
        <v>598</v>
      </c>
      <c r="F211">
        <v>4</v>
      </c>
      <c r="G211">
        <v>5</v>
      </c>
      <c r="H211" t="s">
        <v>8</v>
      </c>
      <c r="I211" t="s">
        <v>8</v>
      </c>
      <c r="J211" t="s">
        <v>4</v>
      </c>
      <c r="K211">
        <v>0.79781991243362405</v>
      </c>
      <c r="L211" s="26">
        <v>1.9947202022864899E-5</v>
      </c>
      <c r="M211">
        <v>5.79886922051287E-3</v>
      </c>
      <c r="N211">
        <v>3.2241999438173501</v>
      </c>
    </row>
    <row r="212" spans="1:14">
      <c r="A212" s="1">
        <v>211</v>
      </c>
      <c r="B212" t="s">
        <v>601</v>
      </c>
      <c r="C212" t="s">
        <v>602</v>
      </c>
      <c r="D212" t="s">
        <v>257</v>
      </c>
      <c r="E212" t="s">
        <v>601</v>
      </c>
      <c r="F212">
        <v>4</v>
      </c>
      <c r="G212">
        <v>3</v>
      </c>
      <c r="H212" t="s">
        <v>12</v>
      </c>
      <c r="I212" t="s">
        <v>12</v>
      </c>
      <c r="J212" t="s">
        <v>4</v>
      </c>
      <c r="K212">
        <v>0.93882435560226396</v>
      </c>
      <c r="L212" s="26">
        <v>2.7563276781989401E-5</v>
      </c>
      <c r="M212">
        <v>-2.02634536408473E-2</v>
      </c>
      <c r="N212">
        <v>3.70938525679674</v>
      </c>
    </row>
    <row r="213" spans="1:14">
      <c r="A213" s="1">
        <v>212</v>
      </c>
      <c r="B213" t="s">
        <v>603</v>
      </c>
      <c r="C213" t="s">
        <v>604</v>
      </c>
      <c r="D213" t="s">
        <v>605</v>
      </c>
      <c r="E213" t="s">
        <v>603</v>
      </c>
      <c r="F213">
        <v>4</v>
      </c>
      <c r="G213">
        <v>3</v>
      </c>
      <c r="H213" t="s">
        <v>8</v>
      </c>
      <c r="I213" t="s">
        <v>8</v>
      </c>
      <c r="J213" t="s">
        <v>4</v>
      </c>
      <c r="K213">
        <v>0.65415346622466997</v>
      </c>
      <c r="L213" s="26">
        <v>1.34051795870574E-5</v>
      </c>
      <c r="M213">
        <v>5.4602029484125E-2</v>
      </c>
      <c r="N213">
        <v>3.0361682555022198</v>
      </c>
    </row>
    <row r="214" spans="1:14">
      <c r="A214" s="1">
        <v>213</v>
      </c>
      <c r="B214" t="s">
        <v>606</v>
      </c>
      <c r="C214" t="s">
        <v>607</v>
      </c>
      <c r="D214" t="s">
        <v>608</v>
      </c>
      <c r="E214" t="s">
        <v>606</v>
      </c>
      <c r="F214">
        <v>6</v>
      </c>
      <c r="G214">
        <v>4</v>
      </c>
      <c r="H214" t="s">
        <v>8</v>
      </c>
      <c r="I214" t="s">
        <v>8</v>
      </c>
      <c r="J214" t="s">
        <v>4</v>
      </c>
      <c r="K214">
        <v>0.97682136297225897</v>
      </c>
      <c r="L214" s="26">
        <v>2.9820688908890301E-5</v>
      </c>
      <c r="M214">
        <v>9.8075153958196992E-3</v>
      </c>
      <c r="N214">
        <v>3.7293587142765099</v>
      </c>
    </row>
    <row r="215" spans="1:14">
      <c r="A215" s="1">
        <v>214</v>
      </c>
      <c r="B215" t="s">
        <v>609</v>
      </c>
      <c r="C215" t="s">
        <v>610</v>
      </c>
      <c r="D215" t="s">
        <v>611</v>
      </c>
      <c r="E215" t="s">
        <v>609</v>
      </c>
      <c r="F215">
        <v>4</v>
      </c>
      <c r="G215">
        <v>4</v>
      </c>
      <c r="H215" t="s">
        <v>8</v>
      </c>
      <c r="I215" t="s">
        <v>8</v>
      </c>
      <c r="J215" t="s">
        <v>4</v>
      </c>
      <c r="K215">
        <v>0.98557043075561501</v>
      </c>
      <c r="L215" s="26">
        <v>3.03592392631095E-5</v>
      </c>
      <c r="M215">
        <v>-2.2582527145518599E-2</v>
      </c>
      <c r="N215">
        <v>3.2625039304159902</v>
      </c>
    </row>
    <row r="216" spans="1:14">
      <c r="A216" s="1">
        <v>215</v>
      </c>
      <c r="B216" t="s">
        <v>612</v>
      </c>
      <c r="C216" t="s">
        <v>613</v>
      </c>
      <c r="D216" t="s">
        <v>614</v>
      </c>
      <c r="E216" t="s">
        <v>612</v>
      </c>
      <c r="F216">
        <v>5</v>
      </c>
      <c r="G216">
        <v>5</v>
      </c>
      <c r="H216" t="s">
        <v>8</v>
      </c>
      <c r="I216" t="s">
        <v>8</v>
      </c>
      <c r="J216" t="s">
        <v>4</v>
      </c>
      <c r="K216">
        <v>0.99908649921417203</v>
      </c>
      <c r="L216" s="26">
        <v>3.11929332908059E-5</v>
      </c>
      <c r="M216">
        <v>4.4891489107072797E-3</v>
      </c>
      <c r="N216">
        <v>2.7258527758342099</v>
      </c>
    </row>
    <row r="217" spans="1:14">
      <c r="A217" s="1">
        <v>216</v>
      </c>
      <c r="B217" t="s">
        <v>615</v>
      </c>
      <c r="C217" t="s">
        <v>616</v>
      </c>
      <c r="D217" t="s">
        <v>617</v>
      </c>
      <c r="E217" t="s">
        <v>615</v>
      </c>
      <c r="F217">
        <v>5</v>
      </c>
      <c r="G217">
        <v>3</v>
      </c>
      <c r="H217" t="s">
        <v>3</v>
      </c>
      <c r="I217" t="s">
        <v>3</v>
      </c>
      <c r="J217" t="s">
        <v>4</v>
      </c>
      <c r="K217">
        <v>0.96857964992523105</v>
      </c>
      <c r="L217" s="26">
        <v>2.9319887647818599E-5</v>
      </c>
      <c r="M217">
        <v>-2.16834200787232E-2</v>
      </c>
      <c r="N217">
        <v>3.6685880290948401</v>
      </c>
    </row>
    <row r="218" spans="1:14">
      <c r="A218" s="1">
        <v>217</v>
      </c>
      <c r="B218" t="s">
        <v>618</v>
      </c>
      <c r="C218" t="s">
        <v>619</v>
      </c>
      <c r="D218" t="s">
        <v>620</v>
      </c>
      <c r="E218" t="s">
        <v>618</v>
      </c>
      <c r="F218">
        <v>8</v>
      </c>
      <c r="G218">
        <v>6</v>
      </c>
      <c r="H218" t="s">
        <v>8</v>
      </c>
      <c r="I218" t="s">
        <v>8</v>
      </c>
      <c r="J218" t="s">
        <v>4</v>
      </c>
      <c r="K218">
        <v>0.99730694293975797</v>
      </c>
      <c r="L218" s="26">
        <v>3.1081921757328101E-5</v>
      </c>
      <c r="M218">
        <v>5.3711168560809597E-2</v>
      </c>
      <c r="N218">
        <v>3.2031919569432499</v>
      </c>
    </row>
    <row r="219" spans="1:14">
      <c r="A219" s="1">
        <v>218</v>
      </c>
      <c r="B219" t="s">
        <v>621</v>
      </c>
      <c r="C219" t="s">
        <v>622</v>
      </c>
      <c r="D219" t="s">
        <v>28</v>
      </c>
      <c r="E219" t="s">
        <v>621</v>
      </c>
      <c r="F219">
        <v>5</v>
      </c>
      <c r="G219">
        <v>3</v>
      </c>
      <c r="H219" t="s">
        <v>8</v>
      </c>
      <c r="I219" t="s">
        <v>8</v>
      </c>
      <c r="J219" t="s">
        <v>4</v>
      </c>
      <c r="K219">
        <v>0.73274207115173295</v>
      </c>
      <c r="L219" s="26">
        <v>1.6898926795186501E-5</v>
      </c>
      <c r="M219">
        <v>-1.46952609739514E-3</v>
      </c>
      <c r="N219">
        <v>3.2944870965838802</v>
      </c>
    </row>
    <row r="220" spans="1:14">
      <c r="A220" s="1">
        <v>219</v>
      </c>
      <c r="B220" t="s">
        <v>623</v>
      </c>
      <c r="C220" t="s">
        <v>624</v>
      </c>
      <c r="D220" t="s">
        <v>625</v>
      </c>
      <c r="E220" t="s">
        <v>626</v>
      </c>
      <c r="F220">
        <v>4</v>
      </c>
      <c r="G220">
        <v>7</v>
      </c>
      <c r="H220" t="s">
        <v>8</v>
      </c>
      <c r="I220" t="s">
        <v>22</v>
      </c>
      <c r="J220" t="s">
        <v>180</v>
      </c>
      <c r="K220">
        <v>0.96430104970931996</v>
      </c>
      <c r="L220" s="26">
        <v>2.9062211385746601E-5</v>
      </c>
      <c r="M220">
        <v>8.4348933050506503E-3</v>
      </c>
      <c r="N220">
        <v>3.9316606387075099</v>
      </c>
    </row>
    <row r="221" spans="1:14">
      <c r="A221" s="1">
        <v>220</v>
      </c>
      <c r="B221" t="s">
        <v>627</v>
      </c>
      <c r="C221" t="s">
        <v>628</v>
      </c>
      <c r="D221" t="s">
        <v>119</v>
      </c>
      <c r="E221" t="s">
        <v>627</v>
      </c>
      <c r="F221">
        <v>4</v>
      </c>
      <c r="G221">
        <v>4</v>
      </c>
      <c r="H221" t="s">
        <v>8</v>
      </c>
      <c r="I221" t="s">
        <v>8</v>
      </c>
      <c r="J221" t="s">
        <v>4</v>
      </c>
      <c r="K221">
        <v>0.89580428600311202</v>
      </c>
      <c r="L221" s="26">
        <v>2.5110622233671301E-5</v>
      </c>
      <c r="M221">
        <v>-2.4613022529469501E-2</v>
      </c>
      <c r="N221">
        <v>3.5837717482346201</v>
      </c>
    </row>
    <row r="222" spans="1:14">
      <c r="A222" s="1">
        <v>221</v>
      </c>
      <c r="B222" t="s">
        <v>629</v>
      </c>
      <c r="C222" t="s">
        <v>630</v>
      </c>
      <c r="D222" t="s">
        <v>212</v>
      </c>
      <c r="E222" t="s">
        <v>629</v>
      </c>
      <c r="F222">
        <v>5</v>
      </c>
      <c r="G222">
        <v>4</v>
      </c>
      <c r="H222" t="s">
        <v>8</v>
      </c>
      <c r="I222" t="s">
        <v>8</v>
      </c>
      <c r="J222" t="s">
        <v>4</v>
      </c>
      <c r="K222">
        <v>0.90931320190429599</v>
      </c>
      <c r="L222" s="26">
        <v>2.58501323802251E-5</v>
      </c>
      <c r="M222">
        <v>-1.2385461900841201E-2</v>
      </c>
      <c r="N222">
        <v>3.4146085367179002</v>
      </c>
    </row>
    <row r="223" spans="1:14">
      <c r="A223" s="1">
        <v>222</v>
      </c>
      <c r="B223" t="s">
        <v>631</v>
      </c>
      <c r="C223" t="s">
        <v>632</v>
      </c>
      <c r="D223" t="s">
        <v>633</v>
      </c>
      <c r="E223" t="s">
        <v>631</v>
      </c>
      <c r="F223">
        <v>4</v>
      </c>
      <c r="G223">
        <v>5</v>
      </c>
      <c r="H223" t="s">
        <v>123</v>
      </c>
      <c r="I223" t="s">
        <v>123</v>
      </c>
      <c r="J223" t="s">
        <v>4</v>
      </c>
      <c r="K223">
        <v>0.98900651931762695</v>
      </c>
      <c r="L223" s="26">
        <v>3.0569668890834002E-5</v>
      </c>
      <c r="M223">
        <v>-1.7284214282933599E-2</v>
      </c>
      <c r="N223">
        <v>3.4549523232561201</v>
      </c>
    </row>
    <row r="224" spans="1:14">
      <c r="A224" s="1">
        <v>223</v>
      </c>
      <c r="B224" t="s">
        <v>634</v>
      </c>
      <c r="C224" t="s">
        <v>635</v>
      </c>
      <c r="D224" t="s">
        <v>50</v>
      </c>
      <c r="E224" t="s">
        <v>634</v>
      </c>
      <c r="F224">
        <v>5</v>
      </c>
      <c r="G224">
        <v>3</v>
      </c>
      <c r="H224" t="s">
        <v>8</v>
      </c>
      <c r="I224" t="s">
        <v>8</v>
      </c>
      <c r="J224" t="s">
        <v>4</v>
      </c>
      <c r="K224">
        <v>0.99674254655838002</v>
      </c>
      <c r="L224" s="26">
        <v>3.1046753955624503E-5</v>
      </c>
      <c r="M224">
        <v>-1.23065962282282E-2</v>
      </c>
      <c r="N224">
        <v>3.45985060500582</v>
      </c>
    </row>
    <row r="225" spans="1:14">
      <c r="A225" s="1">
        <v>224</v>
      </c>
      <c r="B225" t="s">
        <v>636</v>
      </c>
      <c r="C225" t="s">
        <v>637</v>
      </c>
      <c r="D225" t="s">
        <v>638</v>
      </c>
      <c r="E225" t="s">
        <v>636</v>
      </c>
      <c r="F225">
        <v>5</v>
      </c>
      <c r="G225">
        <v>5</v>
      </c>
      <c r="H225" t="s">
        <v>98</v>
      </c>
      <c r="I225" t="s">
        <v>98</v>
      </c>
      <c r="J225" t="s">
        <v>4</v>
      </c>
      <c r="K225">
        <v>0.99609899520874001</v>
      </c>
      <c r="L225" s="26">
        <v>3.1006674146838397E-5</v>
      </c>
      <c r="M225">
        <v>6.2055825974525096E-3</v>
      </c>
      <c r="N225">
        <v>1.6218692099410601</v>
      </c>
    </row>
    <row r="226" spans="1:14">
      <c r="A226" s="1">
        <v>225</v>
      </c>
      <c r="B226" t="s">
        <v>639</v>
      </c>
      <c r="C226" t="s">
        <v>640</v>
      </c>
      <c r="D226" t="s">
        <v>142</v>
      </c>
      <c r="E226" t="s">
        <v>639</v>
      </c>
      <c r="F226">
        <v>4</v>
      </c>
      <c r="G226">
        <v>2</v>
      </c>
      <c r="H226" t="s">
        <v>12</v>
      </c>
      <c r="I226" t="s">
        <v>12</v>
      </c>
      <c r="J226" t="s">
        <v>4</v>
      </c>
      <c r="K226">
        <v>0.82464677095413197</v>
      </c>
      <c r="L226" s="26">
        <v>2.1354847784236001E-5</v>
      </c>
      <c r="M226">
        <v>-2.2572767226275599E-2</v>
      </c>
      <c r="N226">
        <v>3.7540070738676099</v>
      </c>
    </row>
    <row r="227" spans="1:14">
      <c r="A227" s="1">
        <v>226</v>
      </c>
      <c r="B227" t="s">
        <v>641</v>
      </c>
      <c r="C227" t="s">
        <v>642</v>
      </c>
      <c r="D227" t="s">
        <v>583</v>
      </c>
      <c r="E227" t="s">
        <v>641</v>
      </c>
      <c r="F227">
        <v>5</v>
      </c>
      <c r="G227">
        <v>6</v>
      </c>
      <c r="H227" t="s">
        <v>3</v>
      </c>
      <c r="I227" t="s">
        <v>3</v>
      </c>
      <c r="J227" t="s">
        <v>4</v>
      </c>
      <c r="K227">
        <v>0.923536837100982</v>
      </c>
      <c r="L227" s="26">
        <v>2.67222842711786E-5</v>
      </c>
      <c r="M227">
        <v>7.53624227935034E-3</v>
      </c>
      <c r="N227">
        <v>3.6542452948771902</v>
      </c>
    </row>
    <row r="228" spans="1:14">
      <c r="A228" s="1">
        <v>227</v>
      </c>
      <c r="B228" t="s">
        <v>643</v>
      </c>
      <c r="C228" t="s">
        <v>644</v>
      </c>
      <c r="D228" t="s">
        <v>645</v>
      </c>
      <c r="E228" t="s">
        <v>643</v>
      </c>
      <c r="F228">
        <v>6</v>
      </c>
      <c r="G228">
        <v>5</v>
      </c>
      <c r="H228" t="s">
        <v>8</v>
      </c>
      <c r="I228" t="s">
        <v>8</v>
      </c>
      <c r="J228" t="s">
        <v>4</v>
      </c>
      <c r="K228">
        <v>0.99714040756225497</v>
      </c>
      <c r="L228" s="26">
        <v>3.1071610225988299E-5</v>
      </c>
      <c r="M228">
        <v>-2.54732313874797E-2</v>
      </c>
      <c r="N228">
        <v>3.2870903889257299</v>
      </c>
    </row>
    <row r="229" spans="1:14">
      <c r="A229" s="1">
        <v>228</v>
      </c>
      <c r="B229" t="s">
        <v>646</v>
      </c>
      <c r="C229" t="s">
        <v>647</v>
      </c>
      <c r="D229" t="s">
        <v>648</v>
      </c>
      <c r="E229" t="s">
        <v>646</v>
      </c>
      <c r="F229">
        <v>5</v>
      </c>
      <c r="G229">
        <v>4</v>
      </c>
      <c r="H229" t="s">
        <v>98</v>
      </c>
      <c r="I229" t="s">
        <v>98</v>
      </c>
      <c r="J229" t="s">
        <v>4</v>
      </c>
      <c r="K229">
        <v>0.89518839120864802</v>
      </c>
      <c r="L229" s="26">
        <v>2.5047892057242699E-5</v>
      </c>
      <c r="M229">
        <v>-1.34532089620229E-2</v>
      </c>
      <c r="N229">
        <v>3.5659355892009001</v>
      </c>
    </row>
    <row r="230" spans="1:14">
      <c r="A230" s="1">
        <v>229</v>
      </c>
      <c r="B230" t="s">
        <v>649</v>
      </c>
      <c r="C230" t="s">
        <v>650</v>
      </c>
      <c r="D230" t="s">
        <v>651</v>
      </c>
      <c r="E230" t="s">
        <v>649</v>
      </c>
      <c r="F230">
        <v>4</v>
      </c>
      <c r="G230">
        <v>3</v>
      </c>
      <c r="H230" t="s">
        <v>68</v>
      </c>
      <c r="I230" t="s">
        <v>68</v>
      </c>
      <c r="J230" t="s">
        <v>4</v>
      </c>
      <c r="K230">
        <v>0.98140162229537897</v>
      </c>
      <c r="L230" s="26">
        <v>3.00987307949431E-5</v>
      </c>
      <c r="M230">
        <v>1.6099059262515401E-2</v>
      </c>
      <c r="N230">
        <v>3.31171995180696</v>
      </c>
    </row>
    <row r="231" spans="1:14">
      <c r="A231" s="1">
        <v>230</v>
      </c>
      <c r="B231" t="s">
        <v>652</v>
      </c>
      <c r="C231" t="s">
        <v>653</v>
      </c>
      <c r="D231" t="s">
        <v>654</v>
      </c>
      <c r="E231" t="s">
        <v>652</v>
      </c>
      <c r="F231">
        <v>4</v>
      </c>
      <c r="G231">
        <v>4</v>
      </c>
      <c r="H231" t="s">
        <v>3</v>
      </c>
      <c r="I231" t="s">
        <v>3</v>
      </c>
      <c r="J231" t="s">
        <v>4</v>
      </c>
      <c r="K231">
        <v>0.51896309852600098</v>
      </c>
      <c r="L231" s="26">
        <v>1.00976719301013E-5</v>
      </c>
      <c r="M231">
        <v>2.90072141015098E-2</v>
      </c>
      <c r="N231">
        <v>3.5024241907565798</v>
      </c>
    </row>
    <row r="232" spans="1:14">
      <c r="A232" s="1">
        <v>231</v>
      </c>
      <c r="B232" t="s">
        <v>655</v>
      </c>
      <c r="C232" t="s">
        <v>656</v>
      </c>
      <c r="D232" t="s">
        <v>112</v>
      </c>
      <c r="E232" t="s">
        <v>655</v>
      </c>
      <c r="F232">
        <v>6</v>
      </c>
      <c r="G232">
        <v>3</v>
      </c>
      <c r="H232" t="s">
        <v>113</v>
      </c>
      <c r="I232" t="s">
        <v>113</v>
      </c>
      <c r="J232" t="s">
        <v>4</v>
      </c>
      <c r="K232">
        <v>0.85769677162170399</v>
      </c>
      <c r="L232" s="26">
        <v>2.3112962642750799E-5</v>
      </c>
      <c r="M232">
        <v>1.6882449067033099E-2</v>
      </c>
      <c r="N232">
        <v>3.7463528035213098</v>
      </c>
    </row>
    <row r="233" spans="1:14">
      <c r="A233" s="1">
        <v>232</v>
      </c>
      <c r="B233" t="s">
        <v>657</v>
      </c>
      <c r="C233" t="s">
        <v>658</v>
      </c>
      <c r="D233" t="s">
        <v>407</v>
      </c>
      <c r="E233" t="s">
        <v>657</v>
      </c>
      <c r="F233">
        <v>7</v>
      </c>
      <c r="G233">
        <v>4</v>
      </c>
      <c r="H233" t="s">
        <v>8</v>
      </c>
      <c r="I233" t="s">
        <v>8</v>
      </c>
      <c r="J233" t="s">
        <v>4</v>
      </c>
      <c r="K233">
        <v>0.98336350917816095</v>
      </c>
      <c r="L233" s="26">
        <v>3.0219032904630199E-5</v>
      </c>
      <c r="M233">
        <v>-3.6118160808626901E-3</v>
      </c>
      <c r="N233">
        <v>3.68447633763838</v>
      </c>
    </row>
    <row r="234" spans="1:14">
      <c r="A234" s="1">
        <v>233</v>
      </c>
      <c r="B234" t="s">
        <v>659</v>
      </c>
      <c r="C234" t="s">
        <v>660</v>
      </c>
      <c r="D234" t="s">
        <v>661</v>
      </c>
      <c r="E234" t="s">
        <v>659</v>
      </c>
      <c r="F234">
        <v>6</v>
      </c>
      <c r="G234">
        <v>7</v>
      </c>
      <c r="H234" t="s">
        <v>8</v>
      </c>
      <c r="I234" t="s">
        <v>8</v>
      </c>
      <c r="J234" t="s">
        <v>4</v>
      </c>
      <c r="K234">
        <v>0.99121409654617298</v>
      </c>
      <c r="L234" s="26">
        <v>3.0705354659983298E-5</v>
      </c>
      <c r="M234">
        <v>1.3116131431157399E-2</v>
      </c>
      <c r="N234">
        <v>3.8400674071985099</v>
      </c>
    </row>
    <row r="235" spans="1:14">
      <c r="A235" s="1">
        <v>234</v>
      </c>
      <c r="B235" t="s">
        <v>662</v>
      </c>
      <c r="C235" t="s">
        <v>663</v>
      </c>
      <c r="D235" t="s">
        <v>664</v>
      </c>
      <c r="E235" t="s">
        <v>662</v>
      </c>
      <c r="F235">
        <v>4</v>
      </c>
      <c r="G235">
        <v>3</v>
      </c>
      <c r="H235" t="s">
        <v>68</v>
      </c>
      <c r="I235" t="s">
        <v>68</v>
      </c>
      <c r="J235" t="s">
        <v>4</v>
      </c>
      <c r="K235">
        <v>0.95901370048522905</v>
      </c>
      <c r="L235" s="26">
        <v>2.8741913218477501E-5</v>
      </c>
      <c r="M235">
        <v>-5.0962067842050297E-2</v>
      </c>
      <c r="N235">
        <v>3.5034554149642401</v>
      </c>
    </row>
    <row r="236" spans="1:14">
      <c r="A236" s="1">
        <v>235</v>
      </c>
      <c r="B236" t="s">
        <v>665</v>
      </c>
      <c r="C236" t="s">
        <v>666</v>
      </c>
      <c r="D236" t="s">
        <v>667</v>
      </c>
      <c r="E236" t="s">
        <v>665</v>
      </c>
      <c r="F236">
        <v>4</v>
      </c>
      <c r="G236">
        <v>5</v>
      </c>
      <c r="H236" t="s">
        <v>8</v>
      </c>
      <c r="I236" t="s">
        <v>8</v>
      </c>
      <c r="J236" t="s">
        <v>4</v>
      </c>
      <c r="K236">
        <v>0.99792373180389404</v>
      </c>
      <c r="L236" s="26">
        <v>3.1120368233675397E-5</v>
      </c>
      <c r="M236">
        <v>-2.98430234652187E-2</v>
      </c>
      <c r="N236">
        <v>2.7644817473945</v>
      </c>
    </row>
    <row r="237" spans="1:14">
      <c r="A237" s="1">
        <v>236</v>
      </c>
      <c r="B237" t="s">
        <v>668</v>
      </c>
      <c r="C237" t="s">
        <v>669</v>
      </c>
      <c r="D237" t="s">
        <v>670</v>
      </c>
      <c r="E237" t="s">
        <v>671</v>
      </c>
      <c r="F237">
        <v>4</v>
      </c>
      <c r="G237">
        <v>8</v>
      </c>
      <c r="H237" t="s">
        <v>123</v>
      </c>
      <c r="I237" t="s">
        <v>8</v>
      </c>
      <c r="J237" t="s">
        <v>180</v>
      </c>
      <c r="K237">
        <v>6.1472512781619998E-2</v>
      </c>
      <c r="L237" s="26">
        <v>2.4559357778465598E-7</v>
      </c>
      <c r="M237">
        <v>3.2018797519927297E-2</v>
      </c>
      <c r="N237">
        <v>2.4859028018372702</v>
      </c>
    </row>
    <row r="238" spans="1:14">
      <c r="A238" s="1">
        <v>237</v>
      </c>
      <c r="B238" t="s">
        <v>672</v>
      </c>
      <c r="C238" t="s">
        <v>673</v>
      </c>
      <c r="D238" t="s">
        <v>674</v>
      </c>
      <c r="E238" t="s">
        <v>672</v>
      </c>
      <c r="F238">
        <v>4</v>
      </c>
      <c r="G238">
        <v>3</v>
      </c>
      <c r="H238" t="s">
        <v>8</v>
      </c>
      <c r="I238" t="s">
        <v>8</v>
      </c>
      <c r="J238" t="s">
        <v>4</v>
      </c>
      <c r="K238">
        <v>0.571280777454376</v>
      </c>
      <c r="L238" s="26">
        <v>1.0488766729527599E-5</v>
      </c>
      <c r="M238">
        <v>5.3279381030613103E-3</v>
      </c>
      <c r="N238">
        <v>3.4426715081418702</v>
      </c>
    </row>
    <row r="239" spans="1:14">
      <c r="A239" s="1">
        <v>238</v>
      </c>
      <c r="B239" t="s">
        <v>675</v>
      </c>
      <c r="C239" t="s">
        <v>676</v>
      </c>
      <c r="D239" t="s">
        <v>677</v>
      </c>
      <c r="E239" t="s">
        <v>675</v>
      </c>
      <c r="F239">
        <v>4</v>
      </c>
      <c r="G239">
        <v>2</v>
      </c>
      <c r="H239" t="s">
        <v>12</v>
      </c>
      <c r="I239" t="s">
        <v>12</v>
      </c>
      <c r="J239" t="s">
        <v>4</v>
      </c>
      <c r="K239">
        <v>0.84864866733551003</v>
      </c>
      <c r="L239" s="26">
        <v>2.2531026134336501E-5</v>
      </c>
      <c r="M239">
        <v>-7.8214662772985805E-2</v>
      </c>
      <c r="N239">
        <v>3.5415938077933098</v>
      </c>
    </row>
    <row r="240" spans="1:14">
      <c r="A240" s="1">
        <v>239</v>
      </c>
      <c r="B240" t="s">
        <v>678</v>
      </c>
      <c r="C240" t="s">
        <v>679</v>
      </c>
      <c r="D240" t="s">
        <v>677</v>
      </c>
      <c r="E240" t="s">
        <v>678</v>
      </c>
      <c r="F240">
        <v>5</v>
      </c>
      <c r="G240">
        <v>2</v>
      </c>
      <c r="H240" t="s">
        <v>12</v>
      </c>
      <c r="I240" t="s">
        <v>12</v>
      </c>
      <c r="J240" t="s">
        <v>4</v>
      </c>
      <c r="K240">
        <v>0.98058664798736495</v>
      </c>
      <c r="L240" s="26">
        <v>3.0050955379700399E-5</v>
      </c>
      <c r="M240">
        <v>-1.56568699329717E-2</v>
      </c>
      <c r="N240">
        <v>3.66700853721591</v>
      </c>
    </row>
    <row r="241" spans="1:14">
      <c r="A241" s="1">
        <v>240</v>
      </c>
      <c r="B241" t="s">
        <v>680</v>
      </c>
      <c r="C241" t="s">
        <v>681</v>
      </c>
      <c r="D241" t="s">
        <v>682</v>
      </c>
      <c r="E241" t="s">
        <v>2341</v>
      </c>
      <c r="F241">
        <v>4</v>
      </c>
      <c r="G241">
        <v>4</v>
      </c>
      <c r="H241" t="s">
        <v>8</v>
      </c>
      <c r="I241" t="s">
        <v>8</v>
      </c>
      <c r="J241" t="s">
        <v>180</v>
      </c>
      <c r="K241">
        <v>0.23183599114417999</v>
      </c>
      <c r="L241" s="26">
        <v>3.5410642883022098E-6</v>
      </c>
      <c r="M241">
        <v>-1.32689674769466E-2</v>
      </c>
      <c r="N241">
        <v>3.73717728259113</v>
      </c>
    </row>
    <row r="242" spans="1:14">
      <c r="A242" s="1">
        <v>241</v>
      </c>
      <c r="B242" t="s">
        <v>683</v>
      </c>
      <c r="C242" t="s">
        <v>684</v>
      </c>
      <c r="D242" t="s">
        <v>685</v>
      </c>
      <c r="E242" t="s">
        <v>683</v>
      </c>
      <c r="F242">
        <v>6</v>
      </c>
      <c r="G242">
        <v>3</v>
      </c>
      <c r="H242" t="s">
        <v>8</v>
      </c>
      <c r="I242" t="s">
        <v>8</v>
      </c>
      <c r="J242" t="s">
        <v>4</v>
      </c>
      <c r="K242">
        <v>0.78893029689788796</v>
      </c>
      <c r="L242" s="26">
        <v>1.9553415515797999E-5</v>
      </c>
      <c r="M242">
        <v>-2.5628188572394298E-2</v>
      </c>
      <c r="N242">
        <v>3.5197833235817302</v>
      </c>
    </row>
    <row r="243" spans="1:14">
      <c r="A243" s="1">
        <v>242</v>
      </c>
      <c r="B243" t="s">
        <v>686</v>
      </c>
      <c r="C243" t="s">
        <v>687</v>
      </c>
      <c r="D243" t="s">
        <v>688</v>
      </c>
      <c r="E243" t="s">
        <v>686</v>
      </c>
      <c r="F243">
        <v>4</v>
      </c>
      <c r="G243">
        <v>7</v>
      </c>
      <c r="H243" t="s">
        <v>8</v>
      </c>
      <c r="I243" t="s">
        <v>8</v>
      </c>
      <c r="J243" t="s">
        <v>4</v>
      </c>
      <c r="K243">
        <v>0.98624515533447199</v>
      </c>
      <c r="L243" s="26">
        <v>3.0399249651462299E-5</v>
      </c>
      <c r="M243">
        <v>-6.5171019741434499E-3</v>
      </c>
      <c r="N243">
        <v>2.9488003291030802</v>
      </c>
    </row>
    <row r="244" spans="1:14">
      <c r="A244" s="1">
        <v>243</v>
      </c>
      <c r="B244" t="s">
        <v>689</v>
      </c>
      <c r="C244" t="s">
        <v>690</v>
      </c>
      <c r="D244" t="s">
        <v>97</v>
      </c>
      <c r="E244" t="s">
        <v>689</v>
      </c>
      <c r="F244">
        <v>6</v>
      </c>
      <c r="G244">
        <v>3</v>
      </c>
      <c r="H244" t="s">
        <v>98</v>
      </c>
      <c r="I244" t="s">
        <v>98</v>
      </c>
      <c r="J244" t="s">
        <v>4</v>
      </c>
      <c r="K244">
        <v>0.79004025459289495</v>
      </c>
      <c r="L244" s="26">
        <v>1.9702318152861199E-5</v>
      </c>
      <c r="M244">
        <v>3.9318949113491498E-3</v>
      </c>
      <c r="N244">
        <v>3.6429483159493001</v>
      </c>
    </row>
    <row r="245" spans="1:14">
      <c r="A245" s="1">
        <v>244</v>
      </c>
      <c r="B245" t="s">
        <v>691</v>
      </c>
      <c r="C245" t="s">
        <v>692</v>
      </c>
      <c r="D245" t="s">
        <v>693</v>
      </c>
      <c r="E245" t="s">
        <v>691</v>
      </c>
      <c r="F245">
        <v>5</v>
      </c>
      <c r="G245">
        <v>5</v>
      </c>
      <c r="H245" t="s">
        <v>12</v>
      </c>
      <c r="I245" t="s">
        <v>12</v>
      </c>
      <c r="J245" t="s">
        <v>4</v>
      </c>
      <c r="K245">
        <v>0.96138882637023904</v>
      </c>
      <c r="L245" s="26">
        <v>2.8887945199263699E-5</v>
      </c>
      <c r="M245">
        <v>-2.7681606384575699E-2</v>
      </c>
      <c r="N245">
        <v>3.6513883347549201</v>
      </c>
    </row>
    <row r="246" spans="1:14">
      <c r="A246" s="1">
        <v>245</v>
      </c>
      <c r="B246" t="s">
        <v>694</v>
      </c>
      <c r="C246" t="s">
        <v>695</v>
      </c>
      <c r="D246" t="s">
        <v>33</v>
      </c>
      <c r="E246" t="s">
        <v>694</v>
      </c>
      <c r="F246">
        <v>4</v>
      </c>
      <c r="G246">
        <v>2</v>
      </c>
      <c r="H246" t="s">
        <v>12</v>
      </c>
      <c r="I246" t="s">
        <v>12</v>
      </c>
      <c r="J246" t="s">
        <v>4</v>
      </c>
      <c r="K246">
        <v>0.718794286251068</v>
      </c>
      <c r="L246" s="26">
        <v>1.6230489038781E-5</v>
      </c>
      <c r="M246">
        <v>-1.02899233985453E-2</v>
      </c>
      <c r="N246">
        <v>3.49070829739125</v>
      </c>
    </row>
    <row r="247" spans="1:14">
      <c r="A247" s="1">
        <v>246</v>
      </c>
      <c r="B247" t="s">
        <v>696</v>
      </c>
      <c r="C247" t="s">
        <v>697</v>
      </c>
      <c r="D247" t="s">
        <v>142</v>
      </c>
      <c r="E247" t="s">
        <v>696</v>
      </c>
      <c r="F247">
        <v>4</v>
      </c>
      <c r="G247">
        <v>2</v>
      </c>
      <c r="H247" t="s">
        <v>12</v>
      </c>
      <c r="I247" t="s">
        <v>12</v>
      </c>
      <c r="J247" t="s">
        <v>4</v>
      </c>
      <c r="K247">
        <v>0.88206452131271296</v>
      </c>
      <c r="L247" s="26">
        <v>2.4333989502585899E-5</v>
      </c>
      <c r="M247">
        <v>7.6858460998976402E-3</v>
      </c>
      <c r="N247">
        <v>3.8259313852689099</v>
      </c>
    </row>
    <row r="248" spans="1:14">
      <c r="A248" s="1">
        <v>247</v>
      </c>
      <c r="B248" t="s">
        <v>698</v>
      </c>
      <c r="C248" t="s">
        <v>699</v>
      </c>
      <c r="D248" t="s">
        <v>700</v>
      </c>
      <c r="E248" t="s">
        <v>698</v>
      </c>
      <c r="F248">
        <v>9</v>
      </c>
      <c r="G248">
        <v>7</v>
      </c>
      <c r="H248" t="s">
        <v>8</v>
      </c>
      <c r="I248" t="s">
        <v>8</v>
      </c>
      <c r="J248" t="s">
        <v>4</v>
      </c>
      <c r="K248">
        <v>0.99698895215988104</v>
      </c>
      <c r="L248" s="26">
        <v>3.1062159961188699E-5</v>
      </c>
      <c r="M248">
        <v>-2.3176881240309401E-2</v>
      </c>
      <c r="N248">
        <v>2.4712952594751298</v>
      </c>
    </row>
    <row r="249" spans="1:14">
      <c r="A249" s="1">
        <v>248</v>
      </c>
      <c r="B249" t="s">
        <v>701</v>
      </c>
      <c r="C249" t="s">
        <v>702</v>
      </c>
      <c r="D249" t="s">
        <v>703</v>
      </c>
      <c r="E249" t="s">
        <v>701</v>
      </c>
      <c r="F249">
        <v>5</v>
      </c>
      <c r="G249">
        <v>5</v>
      </c>
      <c r="H249" t="s">
        <v>8</v>
      </c>
      <c r="I249" t="s">
        <v>8</v>
      </c>
      <c r="J249" t="s">
        <v>4</v>
      </c>
      <c r="K249">
        <v>0.99039357900619496</v>
      </c>
      <c r="L249" s="26">
        <v>3.0652624222946001E-5</v>
      </c>
      <c r="M249">
        <v>-2.0233060319735902E-2</v>
      </c>
      <c r="N249">
        <v>3.7912634470229101</v>
      </c>
    </row>
    <row r="250" spans="1:14">
      <c r="A250" s="1">
        <v>249</v>
      </c>
      <c r="B250" t="s">
        <v>704</v>
      </c>
      <c r="C250" t="s">
        <v>705</v>
      </c>
      <c r="D250" t="s">
        <v>706</v>
      </c>
      <c r="E250" t="s">
        <v>704</v>
      </c>
      <c r="F250">
        <v>4</v>
      </c>
      <c r="G250">
        <v>5</v>
      </c>
      <c r="H250" t="s">
        <v>68</v>
      </c>
      <c r="I250" t="s">
        <v>68</v>
      </c>
      <c r="J250" t="s">
        <v>4</v>
      </c>
      <c r="K250">
        <v>0.73219549655914296</v>
      </c>
      <c r="L250" s="26">
        <v>1.6771259415741E-5</v>
      </c>
      <c r="M250">
        <v>-3.0162345650523999E-3</v>
      </c>
      <c r="N250">
        <v>3.1719899889472201</v>
      </c>
    </row>
    <row r="251" spans="1:14">
      <c r="A251" s="1">
        <v>250</v>
      </c>
      <c r="B251" t="s">
        <v>707</v>
      </c>
      <c r="C251" t="s">
        <v>708</v>
      </c>
      <c r="D251" t="s">
        <v>709</v>
      </c>
      <c r="E251" t="s">
        <v>707</v>
      </c>
      <c r="F251">
        <v>6</v>
      </c>
      <c r="G251">
        <v>5</v>
      </c>
      <c r="H251" t="s">
        <v>8</v>
      </c>
      <c r="I251" t="s">
        <v>8</v>
      </c>
      <c r="J251" t="s">
        <v>4</v>
      </c>
      <c r="K251">
        <v>0.94898080825805597</v>
      </c>
      <c r="L251" s="26">
        <v>2.81441309621121E-5</v>
      </c>
      <c r="M251">
        <v>1.6010956197419501E-2</v>
      </c>
      <c r="N251">
        <v>3.7040802151744199</v>
      </c>
    </row>
    <row r="252" spans="1:14">
      <c r="A252" s="1">
        <v>251</v>
      </c>
      <c r="B252" t="s">
        <v>710</v>
      </c>
      <c r="C252" t="s">
        <v>711</v>
      </c>
      <c r="D252" t="s">
        <v>712</v>
      </c>
      <c r="E252" t="s">
        <v>710</v>
      </c>
      <c r="F252">
        <v>5</v>
      </c>
      <c r="G252">
        <v>6</v>
      </c>
      <c r="H252" t="s">
        <v>68</v>
      </c>
      <c r="I252" t="s">
        <v>68</v>
      </c>
      <c r="J252" t="s">
        <v>4</v>
      </c>
      <c r="K252">
        <v>0.93449175357818604</v>
      </c>
      <c r="L252" s="26">
        <v>2.73028086828617E-5</v>
      </c>
      <c r="M252">
        <v>-2.2203505062222399E-2</v>
      </c>
      <c r="N252">
        <v>3.2832073889752902</v>
      </c>
    </row>
    <row r="253" spans="1:14">
      <c r="A253" s="1">
        <v>252</v>
      </c>
      <c r="B253" t="s">
        <v>713</v>
      </c>
      <c r="C253" t="s">
        <v>714</v>
      </c>
      <c r="D253" t="s">
        <v>594</v>
      </c>
      <c r="E253" t="s">
        <v>713</v>
      </c>
      <c r="F253">
        <v>4</v>
      </c>
      <c r="G253">
        <v>6</v>
      </c>
      <c r="H253" t="s">
        <v>8</v>
      </c>
      <c r="I253" t="s">
        <v>8</v>
      </c>
      <c r="J253" t="s">
        <v>4</v>
      </c>
      <c r="K253">
        <v>0.88523066043853704</v>
      </c>
      <c r="L253" s="26">
        <v>2.4513255948308199E-5</v>
      </c>
      <c r="M253">
        <v>1.7518519387218399E-2</v>
      </c>
      <c r="N253">
        <v>3.6156423375520599</v>
      </c>
    </row>
    <row r="254" spans="1:14">
      <c r="A254" s="1">
        <v>253</v>
      </c>
      <c r="B254" t="s">
        <v>715</v>
      </c>
      <c r="C254" t="s">
        <v>716</v>
      </c>
      <c r="D254" t="s">
        <v>717</v>
      </c>
      <c r="E254" t="s">
        <v>715</v>
      </c>
      <c r="F254">
        <v>6</v>
      </c>
      <c r="G254">
        <v>7</v>
      </c>
      <c r="H254" t="s">
        <v>8</v>
      </c>
      <c r="I254" t="s">
        <v>8</v>
      </c>
      <c r="J254" t="s">
        <v>4</v>
      </c>
      <c r="K254">
        <v>0.99763512611389105</v>
      </c>
      <c r="L254" s="26">
        <v>3.1102398064378499E-5</v>
      </c>
      <c r="M254">
        <v>1.89081322275228E-2</v>
      </c>
      <c r="N254">
        <v>2.7962305076405398</v>
      </c>
    </row>
    <row r="255" spans="1:14">
      <c r="A255" s="1">
        <v>254</v>
      </c>
      <c r="B255" t="s">
        <v>718</v>
      </c>
      <c r="C255" t="s">
        <v>719</v>
      </c>
      <c r="D255" t="s">
        <v>53</v>
      </c>
      <c r="E255" t="s">
        <v>718</v>
      </c>
      <c r="F255">
        <v>4</v>
      </c>
      <c r="G255">
        <v>4</v>
      </c>
      <c r="H255" t="s">
        <v>8</v>
      </c>
      <c r="I255" t="s">
        <v>8</v>
      </c>
      <c r="J255" t="s">
        <v>4</v>
      </c>
      <c r="K255">
        <v>0.92172759771347001</v>
      </c>
      <c r="L255" s="26">
        <v>2.65522859564117E-5</v>
      </c>
      <c r="M255">
        <v>4.7257346757696404E-3</v>
      </c>
      <c r="N255">
        <v>3.5973889116493898</v>
      </c>
    </row>
    <row r="256" spans="1:14">
      <c r="A256" s="1">
        <v>255</v>
      </c>
      <c r="B256" t="s">
        <v>720</v>
      </c>
      <c r="C256" t="s">
        <v>721</v>
      </c>
      <c r="D256" t="s">
        <v>722</v>
      </c>
      <c r="E256" t="s">
        <v>720</v>
      </c>
      <c r="F256">
        <v>4</v>
      </c>
      <c r="G256">
        <v>5</v>
      </c>
      <c r="H256" t="s">
        <v>8</v>
      </c>
      <c r="I256" t="s">
        <v>8</v>
      </c>
      <c r="J256" t="s">
        <v>4</v>
      </c>
      <c r="K256">
        <v>0.61008375883102395</v>
      </c>
      <c r="L256" s="26">
        <v>1.2134591770436299E-5</v>
      </c>
      <c r="M256">
        <v>4.51052084970626E-2</v>
      </c>
      <c r="N256">
        <v>3.2496334666819999</v>
      </c>
    </row>
    <row r="257" spans="1:14">
      <c r="A257" s="1">
        <v>256</v>
      </c>
      <c r="B257" t="s">
        <v>723</v>
      </c>
      <c r="C257" t="s">
        <v>724</v>
      </c>
      <c r="D257" t="s">
        <v>725</v>
      </c>
      <c r="E257" t="s">
        <v>723</v>
      </c>
      <c r="F257">
        <v>6</v>
      </c>
      <c r="G257">
        <v>5</v>
      </c>
      <c r="H257" t="s">
        <v>8</v>
      </c>
      <c r="I257" t="s">
        <v>8</v>
      </c>
      <c r="J257" t="s">
        <v>4</v>
      </c>
      <c r="K257">
        <v>0.88236063718795699</v>
      </c>
      <c r="L257" s="26">
        <v>2.4392942674740801E-5</v>
      </c>
      <c r="M257">
        <v>4.6624397975688403E-2</v>
      </c>
      <c r="N257">
        <v>3.47837945499673</v>
      </c>
    </row>
    <row r="258" spans="1:14">
      <c r="A258" s="1">
        <v>257</v>
      </c>
      <c r="B258" t="s">
        <v>726</v>
      </c>
      <c r="C258" t="s">
        <v>727</v>
      </c>
      <c r="D258" t="s">
        <v>503</v>
      </c>
      <c r="E258" t="s">
        <v>726</v>
      </c>
      <c r="F258">
        <v>4</v>
      </c>
      <c r="G258">
        <v>3</v>
      </c>
      <c r="H258" t="s">
        <v>12</v>
      </c>
      <c r="I258" t="s">
        <v>12</v>
      </c>
      <c r="J258" t="s">
        <v>4</v>
      </c>
      <c r="K258">
        <v>0.95856463909149103</v>
      </c>
      <c r="L258" s="26">
        <v>2.8715252157674398E-5</v>
      </c>
      <c r="M258">
        <v>-3.6812343451430203E-2</v>
      </c>
      <c r="N258">
        <v>3.6681045817392799</v>
      </c>
    </row>
    <row r="259" spans="1:14">
      <c r="A259" s="1">
        <v>258</v>
      </c>
      <c r="B259" t="s">
        <v>728</v>
      </c>
      <c r="C259" t="s">
        <v>729</v>
      </c>
      <c r="D259" t="s">
        <v>556</v>
      </c>
      <c r="E259" t="s">
        <v>728</v>
      </c>
      <c r="F259">
        <v>5</v>
      </c>
      <c r="G259">
        <v>2</v>
      </c>
      <c r="H259" t="s">
        <v>12</v>
      </c>
      <c r="I259" t="s">
        <v>12</v>
      </c>
      <c r="J259" t="s">
        <v>4</v>
      </c>
      <c r="K259">
        <v>0.96004903316497803</v>
      </c>
      <c r="L259" s="26">
        <v>2.8805786106457401E-5</v>
      </c>
      <c r="M259">
        <v>6.3398164187162803E-3</v>
      </c>
      <c r="N259">
        <v>3.61820442439616</v>
      </c>
    </row>
    <row r="260" spans="1:14">
      <c r="A260" s="1">
        <v>259</v>
      </c>
      <c r="B260" t="s">
        <v>730</v>
      </c>
      <c r="C260" t="s">
        <v>731</v>
      </c>
      <c r="D260" t="s">
        <v>413</v>
      </c>
      <c r="E260" t="s">
        <v>730</v>
      </c>
      <c r="F260">
        <v>5</v>
      </c>
      <c r="G260">
        <v>5</v>
      </c>
      <c r="H260" t="s">
        <v>8</v>
      </c>
      <c r="I260" t="s">
        <v>8</v>
      </c>
      <c r="J260" t="s">
        <v>4</v>
      </c>
      <c r="K260">
        <v>0.89561194181442205</v>
      </c>
      <c r="L260" s="26">
        <v>2.5073544386598001E-5</v>
      </c>
      <c r="M260">
        <v>-2.3930656385289201E-3</v>
      </c>
      <c r="N260">
        <v>3.5823328408486601</v>
      </c>
    </row>
    <row r="261" spans="1:14">
      <c r="A261" s="1">
        <v>260</v>
      </c>
      <c r="B261" t="s">
        <v>732</v>
      </c>
      <c r="C261" t="s">
        <v>733</v>
      </c>
      <c r="D261" t="s">
        <v>142</v>
      </c>
      <c r="E261" t="s">
        <v>732</v>
      </c>
      <c r="F261">
        <v>4</v>
      </c>
      <c r="G261">
        <v>2</v>
      </c>
      <c r="H261" t="s">
        <v>12</v>
      </c>
      <c r="I261" t="s">
        <v>12</v>
      </c>
      <c r="J261" t="s">
        <v>4</v>
      </c>
      <c r="K261">
        <v>0.285759687423706</v>
      </c>
      <c r="L261" s="26">
        <v>3.0591154996165901E-6</v>
      </c>
      <c r="M261">
        <v>6.8776597381514596E-3</v>
      </c>
      <c r="N261">
        <v>3.6301828115887602</v>
      </c>
    </row>
    <row r="262" spans="1:14">
      <c r="A262" s="1">
        <v>261</v>
      </c>
      <c r="B262" t="s">
        <v>734</v>
      </c>
      <c r="C262" t="s">
        <v>735</v>
      </c>
      <c r="D262" t="s">
        <v>736</v>
      </c>
      <c r="E262" t="s">
        <v>737</v>
      </c>
      <c r="F262">
        <v>4</v>
      </c>
      <c r="G262">
        <v>6</v>
      </c>
      <c r="H262" t="s">
        <v>8</v>
      </c>
      <c r="I262" t="s">
        <v>12</v>
      </c>
      <c r="J262" t="s">
        <v>180</v>
      </c>
      <c r="K262">
        <v>0.40646061301231301</v>
      </c>
      <c r="L262" s="26">
        <v>5.5085993901919197E-6</v>
      </c>
      <c r="M262">
        <v>-2.4929712927992301E-2</v>
      </c>
      <c r="N262">
        <v>3.4140343957586898</v>
      </c>
    </row>
    <row r="263" spans="1:14">
      <c r="A263" s="1">
        <v>262</v>
      </c>
      <c r="B263" t="s">
        <v>738</v>
      </c>
      <c r="C263" t="s">
        <v>739</v>
      </c>
      <c r="D263" t="s">
        <v>740</v>
      </c>
      <c r="E263" t="s">
        <v>738</v>
      </c>
      <c r="F263">
        <v>5</v>
      </c>
      <c r="G263">
        <v>4</v>
      </c>
      <c r="H263" t="s">
        <v>8</v>
      </c>
      <c r="I263" t="s">
        <v>8</v>
      </c>
      <c r="J263" t="s">
        <v>4</v>
      </c>
      <c r="K263">
        <v>0.98821121454238803</v>
      </c>
      <c r="L263" s="26">
        <v>3.0517896235923901E-5</v>
      </c>
      <c r="M263">
        <v>-1.7742523454273801E-3</v>
      </c>
      <c r="N263">
        <v>3.7047661425901701</v>
      </c>
    </row>
    <row r="264" spans="1:14">
      <c r="A264" s="1">
        <v>263</v>
      </c>
      <c r="B264" t="s">
        <v>741</v>
      </c>
      <c r="C264" t="s">
        <v>742</v>
      </c>
      <c r="D264" t="s">
        <v>743</v>
      </c>
      <c r="E264" t="s">
        <v>741</v>
      </c>
      <c r="F264">
        <v>4</v>
      </c>
      <c r="G264">
        <v>6</v>
      </c>
      <c r="H264" t="s">
        <v>8</v>
      </c>
      <c r="I264" t="s">
        <v>8</v>
      </c>
      <c r="J264" t="s">
        <v>4</v>
      </c>
      <c r="K264">
        <v>0.99842262268066395</v>
      </c>
      <c r="L264" s="26">
        <v>3.1151515753184098E-5</v>
      </c>
      <c r="M264">
        <v>1.26902045249011E-2</v>
      </c>
      <c r="N264">
        <v>2.6780668178921099</v>
      </c>
    </row>
    <row r="265" spans="1:14">
      <c r="A265" s="1">
        <v>264</v>
      </c>
      <c r="B265" t="s">
        <v>744</v>
      </c>
      <c r="C265" t="s">
        <v>745</v>
      </c>
      <c r="D265" t="s">
        <v>531</v>
      </c>
      <c r="E265" t="s">
        <v>744</v>
      </c>
      <c r="F265">
        <v>5</v>
      </c>
      <c r="G265">
        <v>4</v>
      </c>
      <c r="H265" t="s">
        <v>8</v>
      </c>
      <c r="I265" t="s">
        <v>8</v>
      </c>
      <c r="J265" t="s">
        <v>4</v>
      </c>
      <c r="K265">
        <v>0.39242717623710599</v>
      </c>
      <c r="L265" s="26">
        <v>5.0363589504260603E-6</v>
      </c>
      <c r="M265">
        <v>3.8692193086768902E-3</v>
      </c>
      <c r="N265">
        <v>3.3258737287993498</v>
      </c>
    </row>
    <row r="266" spans="1:14">
      <c r="A266" s="1">
        <v>265</v>
      </c>
      <c r="B266" t="s">
        <v>746</v>
      </c>
      <c r="C266" t="s">
        <v>747</v>
      </c>
      <c r="D266" t="s">
        <v>748</v>
      </c>
      <c r="E266" t="s">
        <v>746</v>
      </c>
      <c r="F266">
        <v>4</v>
      </c>
      <c r="G266">
        <v>5</v>
      </c>
      <c r="H266" t="s">
        <v>8</v>
      </c>
      <c r="I266" t="s">
        <v>8</v>
      </c>
      <c r="J266" t="s">
        <v>4</v>
      </c>
      <c r="K266">
        <v>0.88355189561843805</v>
      </c>
      <c r="L266" s="26">
        <v>2.44386380086344E-5</v>
      </c>
      <c r="M266">
        <v>-2.0756175160514E-2</v>
      </c>
      <c r="N266">
        <v>3.5980779463750601</v>
      </c>
    </row>
    <row r="267" spans="1:14">
      <c r="A267" s="1">
        <v>266</v>
      </c>
      <c r="B267" t="s">
        <v>749</v>
      </c>
      <c r="C267" t="s">
        <v>750</v>
      </c>
      <c r="D267" t="s">
        <v>47</v>
      </c>
      <c r="E267" t="s">
        <v>749</v>
      </c>
      <c r="F267">
        <v>5</v>
      </c>
      <c r="G267">
        <v>2</v>
      </c>
      <c r="H267" t="s">
        <v>12</v>
      </c>
      <c r="I267" t="s">
        <v>12</v>
      </c>
      <c r="J267" t="s">
        <v>4</v>
      </c>
      <c r="K267">
        <v>0.89607751369476296</v>
      </c>
      <c r="L267" s="26">
        <v>2.51229177017625E-5</v>
      </c>
      <c r="M267">
        <v>-3.9981487221964998E-2</v>
      </c>
      <c r="N267">
        <v>3.73232236906999</v>
      </c>
    </row>
    <row r="268" spans="1:14">
      <c r="A268" s="1">
        <v>267</v>
      </c>
      <c r="B268" t="s">
        <v>751</v>
      </c>
      <c r="C268" t="s">
        <v>752</v>
      </c>
      <c r="D268" t="s">
        <v>142</v>
      </c>
      <c r="E268" t="s">
        <v>751</v>
      </c>
      <c r="F268">
        <v>4</v>
      </c>
      <c r="G268">
        <v>2</v>
      </c>
      <c r="H268" t="s">
        <v>12</v>
      </c>
      <c r="I268" t="s">
        <v>12</v>
      </c>
      <c r="J268" t="s">
        <v>4</v>
      </c>
      <c r="K268">
        <v>0.87189263105392401</v>
      </c>
      <c r="L268" s="26">
        <v>2.3792122911271999E-5</v>
      </c>
      <c r="M268">
        <v>2.52751617756601E-2</v>
      </c>
      <c r="N268">
        <v>3.7740628902231799</v>
      </c>
    </row>
    <row r="269" spans="1:14">
      <c r="A269" s="1">
        <v>268</v>
      </c>
      <c r="B269" t="s">
        <v>753</v>
      </c>
      <c r="C269" t="s">
        <v>754</v>
      </c>
      <c r="D269" t="s">
        <v>755</v>
      </c>
      <c r="E269" t="s">
        <v>753</v>
      </c>
      <c r="F269">
        <v>7</v>
      </c>
      <c r="G269">
        <v>6</v>
      </c>
      <c r="H269" t="s">
        <v>8</v>
      </c>
      <c r="I269" t="s">
        <v>8</v>
      </c>
      <c r="J269" t="s">
        <v>4</v>
      </c>
      <c r="K269">
        <v>0.99616783857345503</v>
      </c>
      <c r="L269" s="26">
        <v>3.1011043706464898E-5</v>
      </c>
      <c r="M269">
        <v>5.1064360321646501E-3</v>
      </c>
      <c r="N269">
        <v>3.0283134342239002</v>
      </c>
    </row>
    <row r="270" spans="1:14">
      <c r="A270" s="1">
        <v>269</v>
      </c>
      <c r="B270" t="s">
        <v>756</v>
      </c>
      <c r="C270" t="s">
        <v>757</v>
      </c>
      <c r="D270" t="s">
        <v>758</v>
      </c>
      <c r="E270" t="s">
        <v>756</v>
      </c>
      <c r="F270">
        <v>7</v>
      </c>
      <c r="G270">
        <v>3</v>
      </c>
      <c r="H270" t="s">
        <v>8</v>
      </c>
      <c r="I270" t="s">
        <v>8</v>
      </c>
      <c r="J270" t="s">
        <v>4</v>
      </c>
      <c r="K270">
        <v>0.92296558618545499</v>
      </c>
      <c r="L270" s="26">
        <v>2.6639723697138702E-5</v>
      </c>
      <c r="M270">
        <v>2.8026129843482201E-2</v>
      </c>
      <c r="N270">
        <v>3.76721788549531</v>
      </c>
    </row>
    <row r="271" spans="1:14">
      <c r="A271" s="1">
        <v>270</v>
      </c>
      <c r="B271" t="s">
        <v>759</v>
      </c>
      <c r="C271" t="s">
        <v>760</v>
      </c>
      <c r="D271" t="s">
        <v>142</v>
      </c>
      <c r="E271" t="s">
        <v>759</v>
      </c>
      <c r="F271">
        <v>4</v>
      </c>
      <c r="G271">
        <v>2</v>
      </c>
      <c r="H271" t="s">
        <v>12</v>
      </c>
      <c r="I271" t="s">
        <v>12</v>
      </c>
      <c r="J271" t="s">
        <v>4</v>
      </c>
      <c r="K271">
        <v>0.88844847679138095</v>
      </c>
      <c r="L271" s="26">
        <v>2.46889138827602E-5</v>
      </c>
      <c r="M271">
        <v>-1.1817201352840799E-2</v>
      </c>
      <c r="N271">
        <v>3.5455936758878401</v>
      </c>
    </row>
    <row r="272" spans="1:14">
      <c r="A272" s="1">
        <v>271</v>
      </c>
      <c r="B272" t="s">
        <v>761</v>
      </c>
      <c r="C272" t="s">
        <v>762</v>
      </c>
      <c r="D272" t="s">
        <v>763</v>
      </c>
      <c r="E272" t="s">
        <v>761</v>
      </c>
      <c r="F272">
        <v>4</v>
      </c>
      <c r="G272">
        <v>5</v>
      </c>
      <c r="H272" t="s">
        <v>8</v>
      </c>
      <c r="I272" t="s">
        <v>8</v>
      </c>
      <c r="J272" t="s">
        <v>4</v>
      </c>
      <c r="K272">
        <v>0.976060330867767</v>
      </c>
      <c r="L272" s="26">
        <v>2.9776116706115499E-5</v>
      </c>
      <c r="M272">
        <v>1.29694309710011E-2</v>
      </c>
      <c r="N272">
        <v>3.5656241676053702</v>
      </c>
    </row>
    <row r="273" spans="1:14">
      <c r="A273" s="1">
        <v>272</v>
      </c>
      <c r="B273" t="s">
        <v>764</v>
      </c>
      <c r="C273" t="s">
        <v>765</v>
      </c>
      <c r="D273" t="s">
        <v>257</v>
      </c>
      <c r="E273" t="s">
        <v>764</v>
      </c>
      <c r="F273">
        <v>4</v>
      </c>
      <c r="G273">
        <v>3</v>
      </c>
      <c r="H273" t="s">
        <v>12</v>
      </c>
      <c r="I273" t="s">
        <v>12</v>
      </c>
      <c r="J273" t="s">
        <v>4</v>
      </c>
      <c r="K273">
        <v>0.75039577484130804</v>
      </c>
      <c r="L273" s="26">
        <v>1.7764817512540801E-5</v>
      </c>
      <c r="M273">
        <v>-1.4373522941620601E-2</v>
      </c>
      <c r="N273">
        <v>3.7247578453302701</v>
      </c>
    </row>
    <row r="274" spans="1:14">
      <c r="A274" s="1">
        <v>273</v>
      </c>
      <c r="B274" t="s">
        <v>766</v>
      </c>
      <c r="C274" t="s">
        <v>767</v>
      </c>
      <c r="D274" t="s">
        <v>768</v>
      </c>
      <c r="E274" t="s">
        <v>766</v>
      </c>
      <c r="F274">
        <v>4</v>
      </c>
      <c r="G274">
        <v>4</v>
      </c>
      <c r="H274" t="s">
        <v>3</v>
      </c>
      <c r="I274" t="s">
        <v>3</v>
      </c>
      <c r="J274" t="s">
        <v>4</v>
      </c>
      <c r="K274">
        <v>0.93443226814269997</v>
      </c>
      <c r="L274" s="26">
        <v>2.7289934441397299E-5</v>
      </c>
      <c r="M274">
        <v>-8.3426056048310198E-3</v>
      </c>
      <c r="N274">
        <v>3.4967696783768201</v>
      </c>
    </row>
    <row r="275" spans="1:14">
      <c r="A275" s="1">
        <v>274</v>
      </c>
      <c r="B275" t="s">
        <v>769</v>
      </c>
      <c r="C275" t="s">
        <v>770</v>
      </c>
      <c r="D275" t="s">
        <v>771</v>
      </c>
      <c r="E275" t="s">
        <v>769</v>
      </c>
      <c r="F275">
        <v>6</v>
      </c>
      <c r="G275">
        <v>5</v>
      </c>
      <c r="H275" t="s">
        <v>8</v>
      </c>
      <c r="I275" t="s">
        <v>8</v>
      </c>
      <c r="J275" t="s">
        <v>4</v>
      </c>
      <c r="K275">
        <v>0.99484586715698198</v>
      </c>
      <c r="L275" s="26">
        <v>3.0928742378965199E-5</v>
      </c>
      <c r="M275">
        <v>9.6231282120271492E-3</v>
      </c>
      <c r="N275">
        <v>2.45646482451165</v>
      </c>
    </row>
    <row r="276" spans="1:14">
      <c r="A276" s="1">
        <v>275</v>
      </c>
      <c r="B276" t="s">
        <v>772</v>
      </c>
      <c r="C276" t="s">
        <v>773</v>
      </c>
      <c r="D276" t="s">
        <v>774</v>
      </c>
      <c r="E276" t="s">
        <v>772</v>
      </c>
      <c r="F276">
        <v>6</v>
      </c>
      <c r="G276">
        <v>11</v>
      </c>
      <c r="H276" t="s">
        <v>8</v>
      </c>
      <c r="I276" t="s">
        <v>8</v>
      </c>
      <c r="J276" t="s">
        <v>4</v>
      </c>
      <c r="K276">
        <v>0.99909496307373002</v>
      </c>
      <c r="L276" s="26">
        <v>3.1193462097881801E-5</v>
      </c>
      <c r="M276">
        <v>-1.1327434739868599E-2</v>
      </c>
      <c r="N276">
        <v>2.9711743171588898</v>
      </c>
    </row>
    <row r="277" spans="1:14">
      <c r="A277" s="1">
        <v>276</v>
      </c>
      <c r="B277" t="s">
        <v>775</v>
      </c>
      <c r="C277" t="s">
        <v>776</v>
      </c>
      <c r="D277" t="s">
        <v>777</v>
      </c>
      <c r="E277" t="s">
        <v>775</v>
      </c>
      <c r="F277">
        <v>5</v>
      </c>
      <c r="G277">
        <v>4</v>
      </c>
      <c r="H277" t="s">
        <v>8</v>
      </c>
      <c r="I277" t="s">
        <v>8</v>
      </c>
      <c r="J277" t="s">
        <v>4</v>
      </c>
      <c r="K277">
        <v>0.99533110857009799</v>
      </c>
      <c r="L277" s="26">
        <v>3.0958973662601002E-5</v>
      </c>
      <c r="M277">
        <v>-1.4949761605578199E-2</v>
      </c>
      <c r="N277">
        <v>3.0491543310731899</v>
      </c>
    </row>
    <row r="278" spans="1:14">
      <c r="A278" s="1">
        <v>277</v>
      </c>
      <c r="B278" t="s">
        <v>778</v>
      </c>
      <c r="C278" t="s">
        <v>779</v>
      </c>
      <c r="D278" t="s">
        <v>780</v>
      </c>
      <c r="E278" t="s">
        <v>2342</v>
      </c>
      <c r="F278">
        <v>7</v>
      </c>
      <c r="G278">
        <v>9</v>
      </c>
      <c r="H278" t="s">
        <v>8</v>
      </c>
      <c r="I278" t="s">
        <v>8</v>
      </c>
      <c r="J278" t="s">
        <v>180</v>
      </c>
      <c r="K278">
        <v>0.248679354786872</v>
      </c>
      <c r="L278" s="26">
        <v>4.3092196255879701E-6</v>
      </c>
      <c r="M278">
        <v>9.90356837064609E-4</v>
      </c>
      <c r="N278">
        <v>3.7166000695768</v>
      </c>
    </row>
    <row r="279" spans="1:14">
      <c r="A279" s="1">
        <v>278</v>
      </c>
      <c r="B279" t="s">
        <v>781</v>
      </c>
      <c r="C279" t="s">
        <v>782</v>
      </c>
      <c r="D279" t="s">
        <v>783</v>
      </c>
      <c r="E279" t="s">
        <v>781</v>
      </c>
      <c r="F279">
        <v>8</v>
      </c>
      <c r="G279">
        <v>5</v>
      </c>
      <c r="H279" t="s">
        <v>8</v>
      </c>
      <c r="I279" t="s">
        <v>8</v>
      </c>
      <c r="J279" t="s">
        <v>4</v>
      </c>
      <c r="K279">
        <v>0.99036121368408203</v>
      </c>
      <c r="L279" s="26">
        <v>3.0650702436453601E-5</v>
      </c>
      <c r="M279">
        <v>-1.36487453060709E-2</v>
      </c>
      <c r="N279">
        <v>2.81063571668389</v>
      </c>
    </row>
    <row r="280" spans="1:14">
      <c r="A280" s="1">
        <v>279</v>
      </c>
      <c r="B280" t="s">
        <v>784</v>
      </c>
      <c r="C280" t="s">
        <v>785</v>
      </c>
      <c r="D280" t="s">
        <v>61</v>
      </c>
      <c r="E280" t="s">
        <v>784</v>
      </c>
      <c r="F280">
        <v>9</v>
      </c>
      <c r="G280">
        <v>2</v>
      </c>
      <c r="H280" t="s">
        <v>22</v>
      </c>
      <c r="I280" t="s">
        <v>22</v>
      </c>
      <c r="J280" t="s">
        <v>4</v>
      </c>
      <c r="K280">
        <v>0.92790269851684504</v>
      </c>
      <c r="L280" s="26">
        <v>2.6943825752793E-5</v>
      </c>
      <c r="M280">
        <v>2.6493713718878098E-3</v>
      </c>
      <c r="N280">
        <v>3.6661658714937801</v>
      </c>
    </row>
    <row r="281" spans="1:14">
      <c r="A281" s="1">
        <v>280</v>
      </c>
      <c r="B281" t="s">
        <v>786</v>
      </c>
      <c r="C281" t="s">
        <v>787</v>
      </c>
      <c r="D281" t="s">
        <v>525</v>
      </c>
      <c r="E281" t="s">
        <v>786</v>
      </c>
      <c r="F281">
        <v>7</v>
      </c>
      <c r="G281">
        <v>4</v>
      </c>
      <c r="H281" t="s">
        <v>8</v>
      </c>
      <c r="I281" t="s">
        <v>8</v>
      </c>
      <c r="J281" t="s">
        <v>4</v>
      </c>
      <c r="K281">
        <v>0.96575880050659102</v>
      </c>
      <c r="L281" s="26">
        <v>2.91507204661537E-5</v>
      </c>
      <c r="M281">
        <v>-5.2913022326350704E-3</v>
      </c>
      <c r="N281">
        <v>3.5659749531312799</v>
      </c>
    </row>
    <row r="282" spans="1:14">
      <c r="A282" s="1">
        <v>281</v>
      </c>
      <c r="B282" t="s">
        <v>788</v>
      </c>
      <c r="C282" t="s">
        <v>789</v>
      </c>
      <c r="D282" t="s">
        <v>413</v>
      </c>
      <c r="E282" t="s">
        <v>788</v>
      </c>
      <c r="F282">
        <v>4</v>
      </c>
      <c r="G282">
        <v>5</v>
      </c>
      <c r="H282" t="s">
        <v>8</v>
      </c>
      <c r="I282" t="s">
        <v>8</v>
      </c>
      <c r="J282" t="s">
        <v>4</v>
      </c>
      <c r="K282">
        <v>0.98031103610992398</v>
      </c>
      <c r="L282" s="26">
        <v>3.0031759814049702E-5</v>
      </c>
      <c r="M282">
        <v>-7.8274519401446696E-3</v>
      </c>
      <c r="N282">
        <v>3.6825773215527202</v>
      </c>
    </row>
    <row r="283" spans="1:14">
      <c r="A283" s="1">
        <v>282</v>
      </c>
      <c r="B283" t="s">
        <v>790</v>
      </c>
      <c r="C283" t="s">
        <v>791</v>
      </c>
      <c r="D283" t="s">
        <v>792</v>
      </c>
      <c r="E283" t="s">
        <v>2343</v>
      </c>
      <c r="F283">
        <v>4</v>
      </c>
      <c r="G283">
        <v>4</v>
      </c>
      <c r="H283" t="s">
        <v>8</v>
      </c>
      <c r="I283" t="s">
        <v>8</v>
      </c>
      <c r="J283" t="s">
        <v>180</v>
      </c>
      <c r="K283">
        <v>0.15426868200302099</v>
      </c>
      <c r="L283" s="26">
        <v>1.77049502863505E-6</v>
      </c>
      <c r="M283">
        <v>-4.9474081058775701E-3</v>
      </c>
      <c r="N283">
        <v>3.6486234448538002</v>
      </c>
    </row>
    <row r="284" spans="1:14">
      <c r="A284" s="1">
        <v>283</v>
      </c>
      <c r="B284" t="s">
        <v>793</v>
      </c>
      <c r="C284" t="s">
        <v>794</v>
      </c>
      <c r="D284" t="s">
        <v>795</v>
      </c>
      <c r="E284" t="s">
        <v>793</v>
      </c>
      <c r="F284">
        <v>6</v>
      </c>
      <c r="G284">
        <v>10</v>
      </c>
      <c r="H284" t="s">
        <v>8</v>
      </c>
      <c r="I284" t="s">
        <v>8</v>
      </c>
      <c r="J284" t="s">
        <v>4</v>
      </c>
      <c r="K284">
        <v>0.89170956611633301</v>
      </c>
      <c r="L284" s="26">
        <v>2.4876919979023399E-5</v>
      </c>
      <c r="M284">
        <v>-4.3364251381689201E-2</v>
      </c>
      <c r="N284">
        <v>3.8272372026052999</v>
      </c>
    </row>
    <row r="285" spans="1:14">
      <c r="A285" s="1">
        <v>284</v>
      </c>
      <c r="B285" t="s">
        <v>796</v>
      </c>
      <c r="C285" t="s">
        <v>797</v>
      </c>
      <c r="D285" t="s">
        <v>556</v>
      </c>
      <c r="E285" t="s">
        <v>796</v>
      </c>
      <c r="F285">
        <v>4</v>
      </c>
      <c r="G285">
        <v>2</v>
      </c>
      <c r="H285" t="s">
        <v>12</v>
      </c>
      <c r="I285" t="s">
        <v>12</v>
      </c>
      <c r="J285" t="s">
        <v>4</v>
      </c>
      <c r="K285">
        <v>0.57024407386779696</v>
      </c>
      <c r="L285" s="26">
        <v>1.0863029357517899E-5</v>
      </c>
      <c r="M285">
        <v>1.1501468368848499E-3</v>
      </c>
      <c r="N285">
        <v>3.7333876567008999</v>
      </c>
    </row>
    <row r="286" spans="1:14">
      <c r="A286" s="1">
        <v>285</v>
      </c>
      <c r="B286" t="s">
        <v>798</v>
      </c>
      <c r="C286" t="s">
        <v>799</v>
      </c>
      <c r="D286" t="s">
        <v>800</v>
      </c>
      <c r="E286" t="s">
        <v>798</v>
      </c>
      <c r="F286">
        <v>4</v>
      </c>
      <c r="G286">
        <v>6</v>
      </c>
      <c r="H286" t="s">
        <v>8</v>
      </c>
      <c r="I286" t="s">
        <v>8</v>
      </c>
      <c r="J286" t="s">
        <v>4</v>
      </c>
      <c r="K286">
        <v>0.69286918640136697</v>
      </c>
      <c r="L286" s="26">
        <v>1.6058939113536001E-5</v>
      </c>
      <c r="M286">
        <v>-3.6794640882931103E-4</v>
      </c>
      <c r="N286">
        <v>3.3239656788868399</v>
      </c>
    </row>
    <row r="287" spans="1:14">
      <c r="A287" s="1">
        <v>286</v>
      </c>
      <c r="B287" t="s">
        <v>801</v>
      </c>
      <c r="C287" t="s">
        <v>802</v>
      </c>
      <c r="D287" t="s">
        <v>803</v>
      </c>
      <c r="E287" t="s">
        <v>801</v>
      </c>
      <c r="F287">
        <v>5</v>
      </c>
      <c r="G287">
        <v>2</v>
      </c>
      <c r="H287" t="s">
        <v>22</v>
      </c>
      <c r="I287" t="s">
        <v>22</v>
      </c>
      <c r="J287" t="s">
        <v>4</v>
      </c>
      <c r="K287">
        <v>0.88185614347457797</v>
      </c>
      <c r="L287" s="26">
        <v>2.4384140848049599E-5</v>
      </c>
      <c r="M287">
        <v>-3.1018992603151201E-3</v>
      </c>
      <c r="N287">
        <v>3.7078827818573199</v>
      </c>
    </row>
    <row r="288" spans="1:14">
      <c r="A288" s="1">
        <v>287</v>
      </c>
      <c r="B288" t="s">
        <v>804</v>
      </c>
      <c r="C288" t="s">
        <v>805</v>
      </c>
      <c r="D288" t="s">
        <v>503</v>
      </c>
      <c r="E288" t="s">
        <v>804</v>
      </c>
      <c r="F288">
        <v>4</v>
      </c>
      <c r="G288">
        <v>3</v>
      </c>
      <c r="H288" t="s">
        <v>12</v>
      </c>
      <c r="I288" t="s">
        <v>12</v>
      </c>
      <c r="J288" t="s">
        <v>4</v>
      </c>
      <c r="K288">
        <v>0.98290467262268</v>
      </c>
      <c r="L288" s="26">
        <v>3.0191034121865801E-5</v>
      </c>
      <c r="M288">
        <v>-1.2296433327364201E-2</v>
      </c>
      <c r="N288">
        <v>3.7258341418916299</v>
      </c>
    </row>
    <row r="289" spans="1:14">
      <c r="A289" s="1">
        <v>288</v>
      </c>
      <c r="B289" t="s">
        <v>806</v>
      </c>
      <c r="C289" t="s">
        <v>493</v>
      </c>
      <c r="D289" t="s">
        <v>807</v>
      </c>
      <c r="E289" t="s">
        <v>808</v>
      </c>
      <c r="F289">
        <v>4</v>
      </c>
      <c r="G289">
        <v>4</v>
      </c>
      <c r="H289" t="s">
        <v>8</v>
      </c>
      <c r="I289" t="s">
        <v>8</v>
      </c>
      <c r="J289" t="s">
        <v>180</v>
      </c>
      <c r="K289">
        <v>0.54786765575408902</v>
      </c>
      <c r="L289" s="26">
        <v>1.13960867032156E-5</v>
      </c>
      <c r="M289">
        <v>-3.8530451426034E-2</v>
      </c>
      <c r="N289">
        <v>3.5348932426028998</v>
      </c>
    </row>
    <row r="290" spans="1:14">
      <c r="A290" s="1">
        <v>289</v>
      </c>
      <c r="B290" t="s">
        <v>809</v>
      </c>
      <c r="C290" t="s">
        <v>810</v>
      </c>
      <c r="D290" t="s">
        <v>811</v>
      </c>
      <c r="E290" t="s">
        <v>809</v>
      </c>
      <c r="F290">
        <v>4</v>
      </c>
      <c r="G290">
        <v>4</v>
      </c>
      <c r="H290" t="s">
        <v>8</v>
      </c>
      <c r="I290" t="s">
        <v>8</v>
      </c>
      <c r="J290" t="s">
        <v>4</v>
      </c>
      <c r="K290">
        <v>0.86349368095397905</v>
      </c>
      <c r="L290" s="26">
        <v>2.3314177049263401E-5</v>
      </c>
      <c r="M290">
        <v>9.1627959640057099E-3</v>
      </c>
      <c r="N290">
        <v>3.0463170272056801</v>
      </c>
    </row>
    <row r="291" spans="1:14">
      <c r="A291" s="1">
        <v>290</v>
      </c>
      <c r="B291" t="s">
        <v>812</v>
      </c>
      <c r="C291" t="s">
        <v>813</v>
      </c>
      <c r="D291" t="s">
        <v>553</v>
      </c>
      <c r="E291" t="s">
        <v>812</v>
      </c>
      <c r="F291">
        <v>6</v>
      </c>
      <c r="G291">
        <v>4</v>
      </c>
      <c r="H291" t="s">
        <v>8</v>
      </c>
      <c r="I291" t="s">
        <v>8</v>
      </c>
      <c r="J291" t="s">
        <v>4</v>
      </c>
      <c r="K291">
        <v>0.85427188873291005</v>
      </c>
      <c r="L291" s="26">
        <v>2.28641814465977E-5</v>
      </c>
      <c r="M291">
        <v>-1.26402100896285E-2</v>
      </c>
      <c r="N291">
        <v>3.4887118070300298</v>
      </c>
    </row>
    <row r="292" spans="1:14">
      <c r="A292" s="1">
        <v>291</v>
      </c>
      <c r="B292" t="s">
        <v>814</v>
      </c>
      <c r="C292" t="s">
        <v>815</v>
      </c>
      <c r="D292" t="s">
        <v>816</v>
      </c>
      <c r="E292" t="s">
        <v>814</v>
      </c>
      <c r="F292">
        <v>7</v>
      </c>
      <c r="G292">
        <v>3</v>
      </c>
      <c r="H292" t="s">
        <v>8</v>
      </c>
      <c r="I292" t="s">
        <v>8</v>
      </c>
      <c r="J292" t="s">
        <v>4</v>
      </c>
      <c r="K292">
        <v>0.79781413078308105</v>
      </c>
      <c r="L292" s="26">
        <v>1.99839444075423E-5</v>
      </c>
      <c r="M292">
        <v>4.39672907174326E-3</v>
      </c>
      <c r="N292">
        <v>3.4606329648581799</v>
      </c>
    </row>
    <row r="293" spans="1:14">
      <c r="A293" s="1">
        <v>292</v>
      </c>
      <c r="B293" t="s">
        <v>817</v>
      </c>
      <c r="C293" t="s">
        <v>818</v>
      </c>
      <c r="D293" t="s">
        <v>819</v>
      </c>
      <c r="E293" t="s">
        <v>817</v>
      </c>
      <c r="F293">
        <v>6</v>
      </c>
      <c r="G293">
        <v>5</v>
      </c>
      <c r="H293" t="s">
        <v>8</v>
      </c>
      <c r="I293" t="s">
        <v>8</v>
      </c>
      <c r="J293" t="s">
        <v>4</v>
      </c>
      <c r="K293">
        <v>0.97626399993896396</v>
      </c>
      <c r="L293" s="26">
        <v>2.97851523374382E-5</v>
      </c>
      <c r="M293">
        <v>-6.0503480295395198E-3</v>
      </c>
      <c r="N293">
        <v>3.64461832099233</v>
      </c>
    </row>
    <row r="294" spans="1:14">
      <c r="A294" s="1">
        <v>293</v>
      </c>
      <c r="B294" t="s">
        <v>820</v>
      </c>
      <c r="C294" t="s">
        <v>821</v>
      </c>
      <c r="D294" t="s">
        <v>822</v>
      </c>
      <c r="E294" t="s">
        <v>820</v>
      </c>
      <c r="F294">
        <v>4</v>
      </c>
      <c r="G294">
        <v>3</v>
      </c>
      <c r="H294" t="s">
        <v>68</v>
      </c>
      <c r="I294" t="s">
        <v>68</v>
      </c>
      <c r="J294" t="s">
        <v>4</v>
      </c>
      <c r="K294">
        <v>0.55718034505844105</v>
      </c>
      <c r="L294" s="26">
        <v>1.0104964574275599E-5</v>
      </c>
      <c r="M294">
        <v>-8.04151251102069E-3</v>
      </c>
      <c r="N294">
        <v>3.3629150018415301</v>
      </c>
    </row>
    <row r="295" spans="1:14">
      <c r="A295" s="1">
        <v>294</v>
      </c>
      <c r="B295" t="s">
        <v>823</v>
      </c>
      <c r="C295" t="s">
        <v>824</v>
      </c>
      <c r="D295" t="s">
        <v>825</v>
      </c>
      <c r="E295" t="s">
        <v>826</v>
      </c>
      <c r="F295">
        <v>4</v>
      </c>
      <c r="G295">
        <v>6</v>
      </c>
      <c r="H295" t="s">
        <v>8</v>
      </c>
      <c r="I295" t="s">
        <v>8</v>
      </c>
      <c r="J295" t="s">
        <v>180</v>
      </c>
      <c r="K295">
        <v>0.204872101545333</v>
      </c>
      <c r="L295" s="26">
        <v>1.7056212749933099E-6</v>
      </c>
      <c r="M295">
        <v>1.9726104625213702E-2</v>
      </c>
      <c r="N295">
        <v>2.9435215039462101</v>
      </c>
    </row>
    <row r="296" spans="1:14">
      <c r="A296" s="1">
        <v>295</v>
      </c>
      <c r="B296" t="s">
        <v>827</v>
      </c>
      <c r="C296" t="s">
        <v>828</v>
      </c>
      <c r="D296" t="s">
        <v>829</v>
      </c>
      <c r="E296" t="s">
        <v>827</v>
      </c>
      <c r="F296">
        <v>6</v>
      </c>
      <c r="G296">
        <v>5</v>
      </c>
      <c r="H296" t="s">
        <v>8</v>
      </c>
      <c r="I296" t="s">
        <v>8</v>
      </c>
      <c r="J296" t="s">
        <v>4</v>
      </c>
      <c r="K296">
        <v>0.95512187480926503</v>
      </c>
      <c r="L296" s="26">
        <v>2.8509814726778901E-5</v>
      </c>
      <c r="M296">
        <v>-7.9539503030545602E-3</v>
      </c>
      <c r="N296">
        <v>3.5180691738057801</v>
      </c>
    </row>
    <row r="297" spans="1:14">
      <c r="A297" s="1">
        <v>296</v>
      </c>
      <c r="B297" t="s">
        <v>830</v>
      </c>
      <c r="C297" t="s">
        <v>831</v>
      </c>
      <c r="D297" t="s">
        <v>7</v>
      </c>
      <c r="E297" t="s">
        <v>830</v>
      </c>
      <c r="F297">
        <v>4</v>
      </c>
      <c r="G297">
        <v>3</v>
      </c>
      <c r="H297" t="s">
        <v>8</v>
      </c>
      <c r="I297" t="s">
        <v>8</v>
      </c>
      <c r="J297" t="s">
        <v>4</v>
      </c>
      <c r="K297">
        <v>0.50641036033630304</v>
      </c>
      <c r="L297" s="26">
        <v>1.3756287793655599E-5</v>
      </c>
      <c r="M297">
        <v>-8.6072801599072993E-3</v>
      </c>
      <c r="N297">
        <v>3.6540328395723298</v>
      </c>
    </row>
    <row r="298" spans="1:14">
      <c r="A298" s="1">
        <v>297</v>
      </c>
      <c r="B298" t="s">
        <v>832</v>
      </c>
      <c r="C298" t="s">
        <v>833</v>
      </c>
      <c r="D298" t="s">
        <v>47</v>
      </c>
      <c r="E298" t="s">
        <v>832</v>
      </c>
      <c r="F298">
        <v>5</v>
      </c>
      <c r="G298">
        <v>2</v>
      </c>
      <c r="H298" t="s">
        <v>12</v>
      </c>
      <c r="I298" t="s">
        <v>12</v>
      </c>
      <c r="J298" t="s">
        <v>4</v>
      </c>
      <c r="K298">
        <v>0.96703982353210405</v>
      </c>
      <c r="L298" s="26">
        <v>2.92260064731294E-5</v>
      </c>
      <c r="M298">
        <v>-3.4042077847775597E-2</v>
      </c>
      <c r="N298">
        <v>3.6299279561372599</v>
      </c>
    </row>
    <row r="299" spans="1:14">
      <c r="A299" s="1">
        <v>298</v>
      </c>
      <c r="B299" t="s">
        <v>834</v>
      </c>
      <c r="C299" t="s">
        <v>835</v>
      </c>
      <c r="D299" t="s">
        <v>295</v>
      </c>
      <c r="E299" t="s">
        <v>834</v>
      </c>
      <c r="F299">
        <v>5</v>
      </c>
      <c r="G299">
        <v>5</v>
      </c>
      <c r="H299" t="s">
        <v>8</v>
      </c>
      <c r="I299" t="s">
        <v>8</v>
      </c>
      <c r="J299" t="s">
        <v>4</v>
      </c>
      <c r="K299">
        <v>0.52486759424209595</v>
      </c>
      <c r="L299" s="26">
        <v>1.354936769279E-5</v>
      </c>
      <c r="M299">
        <v>-3.27739020208071E-2</v>
      </c>
      <c r="N299">
        <v>3.5837614817700598</v>
      </c>
    </row>
    <row r="300" spans="1:14">
      <c r="A300" s="1">
        <v>299</v>
      </c>
      <c r="B300" t="s">
        <v>836</v>
      </c>
      <c r="C300" t="s">
        <v>837</v>
      </c>
      <c r="D300" t="s">
        <v>61</v>
      </c>
      <c r="E300" t="s">
        <v>836</v>
      </c>
      <c r="F300">
        <v>5</v>
      </c>
      <c r="G300">
        <v>2</v>
      </c>
      <c r="H300" t="s">
        <v>22</v>
      </c>
      <c r="I300" t="s">
        <v>22</v>
      </c>
      <c r="J300" t="s">
        <v>4</v>
      </c>
      <c r="K300">
        <v>0.89351600408553999</v>
      </c>
      <c r="L300" s="26">
        <v>2.49576931366086E-5</v>
      </c>
      <c r="M300">
        <v>3.6605620754812601E-3</v>
      </c>
      <c r="N300">
        <v>3.5705812283350902</v>
      </c>
    </row>
    <row r="301" spans="1:14">
      <c r="A301" s="1">
        <v>300</v>
      </c>
      <c r="B301" t="s">
        <v>838</v>
      </c>
      <c r="C301" t="s">
        <v>839</v>
      </c>
      <c r="D301" t="s">
        <v>840</v>
      </c>
      <c r="E301" t="s">
        <v>838</v>
      </c>
      <c r="F301">
        <v>6</v>
      </c>
      <c r="G301">
        <v>4</v>
      </c>
      <c r="H301" t="s">
        <v>8</v>
      </c>
      <c r="I301" t="s">
        <v>8</v>
      </c>
      <c r="J301" t="s">
        <v>4</v>
      </c>
      <c r="K301">
        <v>0.77325469255447299</v>
      </c>
      <c r="L301" s="26">
        <v>1.8709315928557498E-5</v>
      </c>
      <c r="M301">
        <v>1.6946651362858601E-2</v>
      </c>
      <c r="N301">
        <v>3.4212178877822899</v>
      </c>
    </row>
    <row r="302" spans="1:14">
      <c r="A302" s="1">
        <v>301</v>
      </c>
      <c r="B302" t="s">
        <v>841</v>
      </c>
      <c r="C302" t="s">
        <v>842</v>
      </c>
      <c r="D302" t="s">
        <v>257</v>
      </c>
      <c r="E302" t="s">
        <v>841</v>
      </c>
      <c r="F302">
        <v>4</v>
      </c>
      <c r="G302">
        <v>3</v>
      </c>
      <c r="H302" t="s">
        <v>12</v>
      </c>
      <c r="I302" t="s">
        <v>12</v>
      </c>
      <c r="J302" t="s">
        <v>4</v>
      </c>
      <c r="K302">
        <v>0.81386190652847201</v>
      </c>
      <c r="L302" s="26">
        <v>2.0821091479903401E-5</v>
      </c>
      <c r="M302">
        <v>-2.5888046647087201E-2</v>
      </c>
      <c r="N302">
        <v>3.8847763891688198</v>
      </c>
    </row>
    <row r="303" spans="1:14">
      <c r="A303" s="1">
        <v>302</v>
      </c>
      <c r="B303" t="s">
        <v>843</v>
      </c>
      <c r="C303" t="s">
        <v>844</v>
      </c>
      <c r="D303" t="s">
        <v>803</v>
      </c>
      <c r="E303" t="s">
        <v>843</v>
      </c>
      <c r="F303">
        <v>5</v>
      </c>
      <c r="G303">
        <v>2</v>
      </c>
      <c r="H303" t="s">
        <v>22</v>
      </c>
      <c r="I303" t="s">
        <v>22</v>
      </c>
      <c r="J303" t="s">
        <v>4</v>
      </c>
      <c r="K303">
        <v>0.77383941411972001</v>
      </c>
      <c r="L303" s="26">
        <v>1.88730961926531E-5</v>
      </c>
      <c r="M303">
        <v>6.5608522071158798E-3</v>
      </c>
      <c r="N303">
        <v>3.5835589933496501</v>
      </c>
    </row>
    <row r="304" spans="1:14">
      <c r="A304" s="1">
        <v>303</v>
      </c>
      <c r="B304" t="s">
        <v>845</v>
      </c>
      <c r="C304" t="s">
        <v>846</v>
      </c>
      <c r="D304" t="s">
        <v>847</v>
      </c>
      <c r="E304" t="s">
        <v>2457</v>
      </c>
      <c r="F304">
        <v>7</v>
      </c>
      <c r="G304">
        <v>3</v>
      </c>
      <c r="H304" t="s">
        <v>34</v>
      </c>
      <c r="I304" t="s">
        <v>8</v>
      </c>
      <c r="J304" t="s">
        <v>180</v>
      </c>
      <c r="K304">
        <v>0.99401086568832397</v>
      </c>
      <c r="L304" s="26">
        <v>3.0876879508073399E-5</v>
      </c>
      <c r="M304">
        <v>7.5960999095876502E-3</v>
      </c>
      <c r="N304">
        <v>3.3883737487747898</v>
      </c>
    </row>
    <row r="305" spans="1:14">
      <c r="A305" s="1">
        <v>304</v>
      </c>
      <c r="B305" t="s">
        <v>848</v>
      </c>
      <c r="C305" t="s">
        <v>849</v>
      </c>
      <c r="D305" t="s">
        <v>334</v>
      </c>
      <c r="E305" t="s">
        <v>848</v>
      </c>
      <c r="F305">
        <v>5</v>
      </c>
      <c r="G305">
        <v>5</v>
      </c>
      <c r="H305" t="s">
        <v>8</v>
      </c>
      <c r="I305" t="s">
        <v>8</v>
      </c>
      <c r="J305" t="s">
        <v>4</v>
      </c>
      <c r="K305">
        <v>0.99991714954376198</v>
      </c>
      <c r="L305" s="26">
        <v>3.1244821913220197E-5</v>
      </c>
      <c r="M305">
        <v>-1.88455371055056E-2</v>
      </c>
      <c r="N305">
        <v>3.0288927021964098</v>
      </c>
    </row>
    <row r="306" spans="1:14">
      <c r="A306" s="1">
        <v>305</v>
      </c>
      <c r="B306" t="s">
        <v>850</v>
      </c>
      <c r="C306" t="s">
        <v>851</v>
      </c>
      <c r="D306" t="s">
        <v>852</v>
      </c>
      <c r="E306" t="s">
        <v>850</v>
      </c>
      <c r="F306">
        <v>6</v>
      </c>
      <c r="G306">
        <v>5</v>
      </c>
      <c r="H306" t="s">
        <v>8</v>
      </c>
      <c r="I306" t="s">
        <v>8</v>
      </c>
      <c r="J306" t="s">
        <v>4</v>
      </c>
      <c r="K306">
        <v>0.99692779779434204</v>
      </c>
      <c r="L306" s="26">
        <v>3.1058532107478901E-5</v>
      </c>
      <c r="M306">
        <v>-3.0306911414115199E-3</v>
      </c>
      <c r="N306">
        <v>3.6871587739985898</v>
      </c>
    </row>
    <row r="307" spans="1:14">
      <c r="A307" s="1">
        <v>306</v>
      </c>
      <c r="B307" t="s">
        <v>853</v>
      </c>
      <c r="C307" t="s">
        <v>854</v>
      </c>
      <c r="D307" t="s">
        <v>855</v>
      </c>
      <c r="E307" t="s">
        <v>853</v>
      </c>
      <c r="F307">
        <v>4</v>
      </c>
      <c r="G307">
        <v>8</v>
      </c>
      <c r="H307" t="s">
        <v>3</v>
      </c>
      <c r="I307" t="s">
        <v>3</v>
      </c>
      <c r="J307" t="s">
        <v>4</v>
      </c>
      <c r="K307">
        <v>0.74388295412063599</v>
      </c>
      <c r="L307" s="26">
        <v>1.75350386820723E-5</v>
      </c>
      <c r="M307">
        <v>2.5044436537832799E-2</v>
      </c>
      <c r="N307">
        <v>3.39935566970702</v>
      </c>
    </row>
    <row r="308" spans="1:14">
      <c r="A308" s="1">
        <v>307</v>
      </c>
      <c r="B308" t="s">
        <v>856</v>
      </c>
      <c r="C308" t="s">
        <v>857</v>
      </c>
      <c r="D308" t="s">
        <v>858</v>
      </c>
      <c r="E308" t="s">
        <v>856</v>
      </c>
      <c r="F308">
        <v>4</v>
      </c>
      <c r="G308">
        <v>5</v>
      </c>
      <c r="H308" t="s">
        <v>8</v>
      </c>
      <c r="I308" t="s">
        <v>8</v>
      </c>
      <c r="J308" t="s">
        <v>4</v>
      </c>
      <c r="K308">
        <v>0.102958023548126</v>
      </c>
      <c r="L308" s="26">
        <v>4.0592035053254203E-7</v>
      </c>
      <c r="M308">
        <v>4.1973307804918002E-2</v>
      </c>
      <c r="N308">
        <v>3.22820967073184</v>
      </c>
    </row>
    <row r="309" spans="1:14">
      <c r="A309" s="1">
        <v>308</v>
      </c>
      <c r="B309" t="s">
        <v>859</v>
      </c>
      <c r="C309" t="s">
        <v>860</v>
      </c>
      <c r="D309" t="s">
        <v>861</v>
      </c>
      <c r="E309" t="s">
        <v>859</v>
      </c>
      <c r="F309">
        <v>6</v>
      </c>
      <c r="G309">
        <v>4</v>
      </c>
      <c r="H309" t="s">
        <v>8</v>
      </c>
      <c r="I309" t="s">
        <v>8</v>
      </c>
      <c r="J309" t="s">
        <v>4</v>
      </c>
      <c r="K309">
        <v>0.97658789157867398</v>
      </c>
      <c r="L309" s="26">
        <v>2.98084211984874E-5</v>
      </c>
      <c r="M309">
        <v>1.16581701913309E-2</v>
      </c>
      <c r="N309">
        <v>3.5874863908955699</v>
      </c>
    </row>
    <row r="310" spans="1:14">
      <c r="A310" s="1">
        <v>309</v>
      </c>
      <c r="B310" t="s">
        <v>862</v>
      </c>
      <c r="C310" t="s">
        <v>863</v>
      </c>
      <c r="D310" t="s">
        <v>864</v>
      </c>
      <c r="E310" t="s">
        <v>862</v>
      </c>
      <c r="F310">
        <v>7</v>
      </c>
      <c r="G310">
        <v>5</v>
      </c>
      <c r="H310" t="s">
        <v>8</v>
      </c>
      <c r="I310" t="s">
        <v>8</v>
      </c>
      <c r="J310" t="s">
        <v>4</v>
      </c>
      <c r="K310">
        <v>0.88895237445831299</v>
      </c>
      <c r="L310" s="26">
        <v>2.47032459214203E-5</v>
      </c>
      <c r="M310">
        <v>2.6335789546294498E-3</v>
      </c>
      <c r="N310">
        <v>3.48309817166558</v>
      </c>
    </row>
    <row r="311" spans="1:14">
      <c r="A311" s="1">
        <v>310</v>
      </c>
      <c r="B311" t="s">
        <v>865</v>
      </c>
      <c r="C311" t="s">
        <v>866</v>
      </c>
      <c r="D311" t="s">
        <v>867</v>
      </c>
      <c r="E311" t="s">
        <v>865</v>
      </c>
      <c r="F311">
        <v>4</v>
      </c>
      <c r="G311">
        <v>3</v>
      </c>
      <c r="H311" t="s">
        <v>34</v>
      </c>
      <c r="I311" t="s">
        <v>34</v>
      </c>
      <c r="J311" t="s">
        <v>4</v>
      </c>
      <c r="K311">
        <v>0.89982205629348699</v>
      </c>
      <c r="L311" s="26">
        <v>2.53169080156112E-5</v>
      </c>
      <c r="M311">
        <v>-1.6597609748657701E-2</v>
      </c>
      <c r="N311">
        <v>3.6747773558591899</v>
      </c>
    </row>
    <row r="312" spans="1:14">
      <c r="A312" s="1">
        <v>311</v>
      </c>
      <c r="B312" t="s">
        <v>868</v>
      </c>
      <c r="C312" t="s">
        <v>869</v>
      </c>
      <c r="D312" t="s">
        <v>870</v>
      </c>
      <c r="E312" t="s">
        <v>868</v>
      </c>
      <c r="F312">
        <v>6</v>
      </c>
      <c r="G312">
        <v>5</v>
      </c>
      <c r="H312" t="s">
        <v>98</v>
      </c>
      <c r="I312" t="s">
        <v>98</v>
      </c>
      <c r="J312" t="s">
        <v>4</v>
      </c>
      <c r="K312">
        <v>0.994509518146514</v>
      </c>
      <c r="L312" s="26">
        <v>3.0907815478441698E-5</v>
      </c>
      <c r="M312">
        <v>-1.1742767756920999E-2</v>
      </c>
      <c r="N312">
        <v>3.77989525552817</v>
      </c>
    </row>
    <row r="313" spans="1:14">
      <c r="A313" s="1">
        <v>312</v>
      </c>
      <c r="B313" t="s">
        <v>871</v>
      </c>
      <c r="C313" t="s">
        <v>872</v>
      </c>
      <c r="D313" t="s">
        <v>873</v>
      </c>
      <c r="E313" t="s">
        <v>871</v>
      </c>
      <c r="F313">
        <v>4</v>
      </c>
      <c r="G313">
        <v>4</v>
      </c>
      <c r="H313" t="s">
        <v>8</v>
      </c>
      <c r="I313" t="s">
        <v>8</v>
      </c>
      <c r="J313" t="s">
        <v>4</v>
      </c>
      <c r="K313">
        <v>0.94494664669036799</v>
      </c>
      <c r="L313" s="26">
        <v>2.7906429897798498E-5</v>
      </c>
      <c r="M313">
        <v>-1.14833425538094E-2</v>
      </c>
      <c r="N313">
        <v>3.1830104806123698</v>
      </c>
    </row>
    <row r="314" spans="1:14">
      <c r="A314" s="1">
        <v>313</v>
      </c>
      <c r="B314" t="s">
        <v>874</v>
      </c>
      <c r="C314" t="s">
        <v>875</v>
      </c>
      <c r="D314" t="s">
        <v>840</v>
      </c>
      <c r="E314" t="s">
        <v>874</v>
      </c>
      <c r="F314">
        <v>6</v>
      </c>
      <c r="G314">
        <v>4</v>
      </c>
      <c r="H314" t="s">
        <v>8</v>
      </c>
      <c r="I314" t="s">
        <v>8</v>
      </c>
      <c r="J314" t="s">
        <v>4</v>
      </c>
      <c r="K314">
        <v>0.91037720441818204</v>
      </c>
      <c r="L314" s="26">
        <v>2.5906821445378101E-5</v>
      </c>
      <c r="M314">
        <v>1.58371058853745E-2</v>
      </c>
      <c r="N314">
        <v>3.4430030099897699</v>
      </c>
    </row>
    <row r="315" spans="1:14">
      <c r="A315" s="1">
        <v>314</v>
      </c>
      <c r="B315" t="s">
        <v>876</v>
      </c>
      <c r="C315" t="s">
        <v>877</v>
      </c>
      <c r="D315" t="s">
        <v>878</v>
      </c>
      <c r="E315" t="s">
        <v>876</v>
      </c>
      <c r="F315">
        <v>5</v>
      </c>
      <c r="G315">
        <v>4</v>
      </c>
      <c r="H315" t="s">
        <v>8</v>
      </c>
      <c r="I315" t="s">
        <v>8</v>
      </c>
      <c r="J315" t="s">
        <v>4</v>
      </c>
      <c r="K315">
        <v>0.99853050708770696</v>
      </c>
      <c r="L315" s="26">
        <v>3.1158253874592202E-5</v>
      </c>
      <c r="M315">
        <v>-1.19681475332811E-4</v>
      </c>
      <c r="N315">
        <v>2.7881925230983402</v>
      </c>
    </row>
    <row r="316" spans="1:14">
      <c r="A316" s="1">
        <v>315</v>
      </c>
      <c r="B316" t="s">
        <v>879</v>
      </c>
      <c r="C316" t="s">
        <v>880</v>
      </c>
      <c r="D316" t="s">
        <v>881</v>
      </c>
      <c r="E316" t="s">
        <v>879</v>
      </c>
      <c r="F316">
        <v>6</v>
      </c>
      <c r="G316">
        <v>4</v>
      </c>
      <c r="H316" t="s">
        <v>123</v>
      </c>
      <c r="I316" t="s">
        <v>123</v>
      </c>
      <c r="J316" t="s">
        <v>4</v>
      </c>
      <c r="K316">
        <v>0.99656939506530695</v>
      </c>
      <c r="L316" s="26">
        <v>3.1036087816693098E-5</v>
      </c>
      <c r="M316">
        <v>1.4019874771836501E-2</v>
      </c>
      <c r="N316">
        <v>2.3005480530160298</v>
      </c>
    </row>
    <row r="317" spans="1:14">
      <c r="A317" s="1">
        <v>316</v>
      </c>
      <c r="B317" t="s">
        <v>882</v>
      </c>
      <c r="C317" t="s">
        <v>883</v>
      </c>
      <c r="D317" t="s">
        <v>884</v>
      </c>
      <c r="E317" t="s">
        <v>882</v>
      </c>
      <c r="F317">
        <v>6</v>
      </c>
      <c r="G317">
        <v>4</v>
      </c>
      <c r="H317" t="s">
        <v>8</v>
      </c>
      <c r="I317" t="s">
        <v>8</v>
      </c>
      <c r="J317" t="s">
        <v>4</v>
      </c>
      <c r="K317">
        <v>0.85161733627319303</v>
      </c>
      <c r="L317" s="26">
        <v>2.3021373372525001E-5</v>
      </c>
      <c r="M317">
        <v>1.0513676091299801E-2</v>
      </c>
      <c r="N317">
        <v>3.40277522759003</v>
      </c>
    </row>
    <row r="318" spans="1:14">
      <c r="A318" s="1">
        <v>317</v>
      </c>
      <c r="B318" t="s">
        <v>885</v>
      </c>
      <c r="C318" t="s">
        <v>886</v>
      </c>
      <c r="D318" t="s">
        <v>142</v>
      </c>
      <c r="E318" t="s">
        <v>2344</v>
      </c>
      <c r="F318">
        <v>4</v>
      </c>
      <c r="G318">
        <v>2</v>
      </c>
      <c r="H318" t="s">
        <v>12</v>
      </c>
      <c r="I318" t="s">
        <v>12</v>
      </c>
      <c r="J318" t="s">
        <v>180</v>
      </c>
      <c r="K318">
        <v>0.185136884450912</v>
      </c>
      <c r="L318" s="26">
        <v>2.4297652105218301E-6</v>
      </c>
      <c r="M318">
        <v>4.1486898677538502E-3</v>
      </c>
      <c r="N318">
        <v>3.27012845253148</v>
      </c>
    </row>
    <row r="319" spans="1:14">
      <c r="A319" s="1">
        <v>318</v>
      </c>
      <c r="B319" t="s">
        <v>887</v>
      </c>
      <c r="C319" t="s">
        <v>888</v>
      </c>
      <c r="D319" t="s">
        <v>889</v>
      </c>
      <c r="E319" t="s">
        <v>887</v>
      </c>
      <c r="F319">
        <v>4</v>
      </c>
      <c r="G319">
        <v>4</v>
      </c>
      <c r="H319" t="s">
        <v>8</v>
      </c>
      <c r="I319" t="s">
        <v>8</v>
      </c>
      <c r="J319" t="s">
        <v>4</v>
      </c>
      <c r="K319">
        <v>0.99360716342926003</v>
      </c>
      <c r="L319" s="26">
        <v>3.0852012353058201E-5</v>
      </c>
      <c r="M319">
        <v>-1.7563742922179701E-2</v>
      </c>
      <c r="N319">
        <v>2.2830118379225302</v>
      </c>
    </row>
    <row r="320" spans="1:14">
      <c r="A320" s="1">
        <v>319</v>
      </c>
      <c r="B320" t="s">
        <v>890</v>
      </c>
      <c r="C320" t="s">
        <v>891</v>
      </c>
      <c r="D320" t="s">
        <v>892</v>
      </c>
      <c r="E320" t="s">
        <v>890</v>
      </c>
      <c r="F320">
        <v>7</v>
      </c>
      <c r="G320">
        <v>4</v>
      </c>
      <c r="H320" t="s">
        <v>8</v>
      </c>
      <c r="I320" t="s">
        <v>8</v>
      </c>
      <c r="J320" t="s">
        <v>4</v>
      </c>
      <c r="K320">
        <v>0.93154537677764804</v>
      </c>
      <c r="L320" s="26">
        <v>2.71459329252044E-5</v>
      </c>
      <c r="M320">
        <v>5.6952315220577497E-3</v>
      </c>
      <c r="N320">
        <v>3.57787982526047</v>
      </c>
    </row>
    <row r="321" spans="1:14">
      <c r="A321" s="1">
        <v>320</v>
      </c>
      <c r="B321" t="s">
        <v>893</v>
      </c>
      <c r="C321" t="s">
        <v>894</v>
      </c>
      <c r="D321" t="s">
        <v>895</v>
      </c>
      <c r="E321" t="s">
        <v>893</v>
      </c>
      <c r="F321">
        <v>7</v>
      </c>
      <c r="G321">
        <v>2</v>
      </c>
      <c r="H321" t="s">
        <v>98</v>
      </c>
      <c r="I321" t="s">
        <v>98</v>
      </c>
      <c r="J321" t="s">
        <v>4</v>
      </c>
      <c r="K321">
        <v>0.86553245782852095</v>
      </c>
      <c r="L321" s="26">
        <v>2.3417537806887999E-5</v>
      </c>
      <c r="M321">
        <v>1.0263757734207899E-2</v>
      </c>
      <c r="N321">
        <v>3.5118092102038201</v>
      </c>
    </row>
    <row r="322" spans="1:14">
      <c r="A322" s="1">
        <v>321</v>
      </c>
      <c r="B322" t="s">
        <v>896</v>
      </c>
      <c r="C322" t="s">
        <v>897</v>
      </c>
      <c r="D322" t="s">
        <v>377</v>
      </c>
      <c r="E322" t="s">
        <v>896</v>
      </c>
      <c r="F322">
        <v>4</v>
      </c>
      <c r="G322">
        <v>5</v>
      </c>
      <c r="H322" t="s">
        <v>68</v>
      </c>
      <c r="I322" t="s">
        <v>68</v>
      </c>
      <c r="J322" t="s">
        <v>4</v>
      </c>
      <c r="K322">
        <v>0.24873961508274001</v>
      </c>
      <c r="L322" s="26">
        <v>4.4544024393195501E-6</v>
      </c>
      <c r="M322">
        <v>-2.1139738094834801E-2</v>
      </c>
      <c r="N322">
        <v>3.37074054554685</v>
      </c>
    </row>
    <row r="323" spans="1:14">
      <c r="A323" s="1">
        <v>322</v>
      </c>
      <c r="B323" t="s">
        <v>898</v>
      </c>
      <c r="C323" t="s">
        <v>899</v>
      </c>
      <c r="D323" t="s">
        <v>900</v>
      </c>
      <c r="E323" t="s">
        <v>898</v>
      </c>
      <c r="F323">
        <v>4</v>
      </c>
      <c r="G323">
        <v>5</v>
      </c>
      <c r="H323" t="s">
        <v>8</v>
      </c>
      <c r="I323" t="s">
        <v>8</v>
      </c>
      <c r="J323" t="s">
        <v>4</v>
      </c>
      <c r="K323">
        <v>0.87567466497421198</v>
      </c>
      <c r="L323" s="26">
        <v>2.4000814074696401E-5</v>
      </c>
      <c r="M323">
        <v>-1.7132211064790601E-2</v>
      </c>
      <c r="N323">
        <v>3.2911617433611702</v>
      </c>
    </row>
    <row r="324" spans="1:14">
      <c r="A324" s="1">
        <v>323</v>
      </c>
      <c r="B324" t="s">
        <v>901</v>
      </c>
      <c r="C324" t="s">
        <v>902</v>
      </c>
      <c r="D324" t="s">
        <v>855</v>
      </c>
      <c r="E324" t="s">
        <v>901</v>
      </c>
      <c r="F324">
        <v>4</v>
      </c>
      <c r="G324">
        <v>8</v>
      </c>
      <c r="H324" t="s">
        <v>3</v>
      </c>
      <c r="I324" t="s">
        <v>3</v>
      </c>
      <c r="J324" t="s">
        <v>4</v>
      </c>
      <c r="K324">
        <v>0.88467735052108698</v>
      </c>
      <c r="L324" s="26">
        <v>2.4475777071559601E-5</v>
      </c>
      <c r="M324">
        <v>-1.77549118739221E-2</v>
      </c>
      <c r="N324">
        <v>3.6982972247540502</v>
      </c>
    </row>
    <row r="325" spans="1:14">
      <c r="A325" s="1">
        <v>324</v>
      </c>
      <c r="B325" t="s">
        <v>903</v>
      </c>
      <c r="C325" t="s">
        <v>904</v>
      </c>
      <c r="D325" t="s">
        <v>905</v>
      </c>
      <c r="E325" t="s">
        <v>903</v>
      </c>
      <c r="F325">
        <v>7</v>
      </c>
      <c r="G325">
        <v>5</v>
      </c>
      <c r="H325" t="s">
        <v>8</v>
      </c>
      <c r="I325" t="s">
        <v>8</v>
      </c>
      <c r="J325" t="s">
        <v>4</v>
      </c>
      <c r="K325">
        <v>0.984061419963836</v>
      </c>
      <c r="L325" s="26">
        <v>3.0262105662208901E-5</v>
      </c>
      <c r="M325">
        <v>-1.9843360973254599E-2</v>
      </c>
      <c r="N325">
        <v>3.8225120451422101</v>
      </c>
    </row>
    <row r="326" spans="1:14">
      <c r="A326" s="1">
        <v>325</v>
      </c>
      <c r="B326" t="s">
        <v>906</v>
      </c>
      <c r="C326" t="s">
        <v>907</v>
      </c>
      <c r="D326" t="s">
        <v>365</v>
      </c>
      <c r="E326" t="s">
        <v>906</v>
      </c>
      <c r="F326">
        <v>6</v>
      </c>
      <c r="G326">
        <v>5</v>
      </c>
      <c r="H326" t="s">
        <v>8</v>
      </c>
      <c r="I326" t="s">
        <v>8</v>
      </c>
      <c r="J326" t="s">
        <v>4</v>
      </c>
      <c r="K326">
        <v>0.93302762508392301</v>
      </c>
      <c r="L326" s="26">
        <v>2.7222185140485999E-5</v>
      </c>
      <c r="M326">
        <v>1.21140858769592E-2</v>
      </c>
      <c r="N326">
        <v>3.7090101902523598</v>
      </c>
    </row>
    <row r="327" spans="1:14">
      <c r="A327" s="1">
        <v>326</v>
      </c>
      <c r="B327" t="s">
        <v>908</v>
      </c>
      <c r="C327" t="s">
        <v>909</v>
      </c>
      <c r="D327" t="s">
        <v>910</v>
      </c>
      <c r="E327" t="s">
        <v>908</v>
      </c>
      <c r="F327">
        <v>4</v>
      </c>
      <c r="G327">
        <v>7</v>
      </c>
      <c r="H327" t="s">
        <v>8</v>
      </c>
      <c r="I327" t="s">
        <v>8</v>
      </c>
      <c r="J327" t="s">
        <v>4</v>
      </c>
      <c r="K327">
        <v>0.88948982954025202</v>
      </c>
      <c r="L327" s="26">
        <v>2.49104201720783E-5</v>
      </c>
      <c r="M327">
        <v>-9.9380482918824901E-3</v>
      </c>
      <c r="N327">
        <v>3.5751441740054899</v>
      </c>
    </row>
    <row r="328" spans="1:14">
      <c r="A328" s="1">
        <v>327</v>
      </c>
      <c r="B328" t="s">
        <v>911</v>
      </c>
      <c r="C328" t="s">
        <v>912</v>
      </c>
      <c r="D328" t="s">
        <v>913</v>
      </c>
      <c r="E328" t="s">
        <v>911</v>
      </c>
      <c r="F328">
        <v>5</v>
      </c>
      <c r="G328">
        <v>4</v>
      </c>
      <c r="H328" t="s">
        <v>8</v>
      </c>
      <c r="I328" t="s">
        <v>8</v>
      </c>
      <c r="J328" t="s">
        <v>4</v>
      </c>
      <c r="K328">
        <v>0.95400977134704501</v>
      </c>
      <c r="L328" s="26">
        <v>2.84704272544562E-5</v>
      </c>
      <c r="M328">
        <v>-1.10468742064995E-2</v>
      </c>
      <c r="N328">
        <v>3.5336762042094398</v>
      </c>
    </row>
    <row r="329" spans="1:14">
      <c r="A329" s="1">
        <v>328</v>
      </c>
      <c r="B329" t="s">
        <v>914</v>
      </c>
      <c r="C329" t="s">
        <v>915</v>
      </c>
      <c r="D329" t="s">
        <v>916</v>
      </c>
      <c r="E329" t="s">
        <v>914</v>
      </c>
      <c r="F329">
        <v>5</v>
      </c>
      <c r="G329">
        <v>5</v>
      </c>
      <c r="H329" t="s">
        <v>68</v>
      </c>
      <c r="I329" t="s">
        <v>68</v>
      </c>
      <c r="J329" t="s">
        <v>4</v>
      </c>
      <c r="K329">
        <v>0.94111704826354903</v>
      </c>
      <c r="L329" s="26">
        <v>2.7684244559975899E-5</v>
      </c>
      <c r="M329">
        <v>-4.02226442986943E-2</v>
      </c>
      <c r="N329">
        <v>3.64794413442125</v>
      </c>
    </row>
    <row r="330" spans="1:14">
      <c r="A330" s="1">
        <v>329</v>
      </c>
      <c r="B330" t="s">
        <v>917</v>
      </c>
      <c r="C330" t="s">
        <v>918</v>
      </c>
      <c r="D330" t="s">
        <v>919</v>
      </c>
      <c r="E330" t="s">
        <v>917</v>
      </c>
      <c r="F330">
        <v>4</v>
      </c>
      <c r="G330">
        <v>4</v>
      </c>
      <c r="H330" t="s">
        <v>8</v>
      </c>
      <c r="I330" t="s">
        <v>8</v>
      </c>
      <c r="J330" t="s">
        <v>4</v>
      </c>
      <c r="K330">
        <v>0.52823841571807795</v>
      </c>
      <c r="L330" s="26">
        <v>8.8107492553379101E-6</v>
      </c>
      <c r="M330">
        <v>2.7413384607786601E-2</v>
      </c>
      <c r="N330">
        <v>3.09013349818128</v>
      </c>
    </row>
    <row r="331" spans="1:14">
      <c r="A331" s="1">
        <v>330</v>
      </c>
      <c r="B331" t="s">
        <v>920</v>
      </c>
      <c r="C331" t="s">
        <v>921</v>
      </c>
      <c r="D331" t="s">
        <v>922</v>
      </c>
      <c r="E331" t="s">
        <v>920</v>
      </c>
      <c r="F331">
        <v>4</v>
      </c>
      <c r="G331">
        <v>4</v>
      </c>
      <c r="H331" t="s">
        <v>68</v>
      </c>
      <c r="I331" t="s">
        <v>68</v>
      </c>
      <c r="J331" t="s">
        <v>4</v>
      </c>
      <c r="K331">
        <v>0.83795595169067305</v>
      </c>
      <c r="L331" s="26">
        <v>2.19519001098722E-5</v>
      </c>
      <c r="M331">
        <v>1.6597767895202498E-2</v>
      </c>
      <c r="N331">
        <v>3.43394591118635</v>
      </c>
    </row>
    <row r="332" spans="1:14">
      <c r="A332" s="1">
        <v>331</v>
      </c>
      <c r="B332" t="s">
        <v>923</v>
      </c>
      <c r="C332" t="s">
        <v>924</v>
      </c>
      <c r="D332" t="s">
        <v>925</v>
      </c>
      <c r="E332" t="s">
        <v>923</v>
      </c>
      <c r="F332">
        <v>5</v>
      </c>
      <c r="G332">
        <v>6</v>
      </c>
      <c r="H332" t="s">
        <v>8</v>
      </c>
      <c r="I332" t="s">
        <v>8</v>
      </c>
      <c r="J332" t="s">
        <v>4</v>
      </c>
      <c r="K332">
        <v>0.97347575426101596</v>
      </c>
      <c r="L332" s="26">
        <v>2.9615747262041E-5</v>
      </c>
      <c r="M332">
        <v>4.22743978969819E-3</v>
      </c>
      <c r="N332">
        <v>3.83521026160735</v>
      </c>
    </row>
    <row r="333" spans="1:14">
      <c r="A333" s="1">
        <v>332</v>
      </c>
      <c r="B333" t="s">
        <v>926</v>
      </c>
      <c r="C333" t="s">
        <v>927</v>
      </c>
      <c r="D333" t="s">
        <v>928</v>
      </c>
      <c r="E333" t="s">
        <v>926</v>
      </c>
      <c r="F333">
        <v>6</v>
      </c>
      <c r="G333">
        <v>5</v>
      </c>
      <c r="H333" t="s">
        <v>8</v>
      </c>
      <c r="I333" t="s">
        <v>8</v>
      </c>
      <c r="J333" t="s">
        <v>4</v>
      </c>
      <c r="K333">
        <v>0.95498770475387496</v>
      </c>
      <c r="L333" s="26">
        <v>2.8502483556159699E-5</v>
      </c>
      <c r="M333">
        <v>5.8064732518649997E-3</v>
      </c>
      <c r="N333">
        <v>3.42115366402356</v>
      </c>
    </row>
    <row r="334" spans="1:14">
      <c r="A334" s="1">
        <v>333</v>
      </c>
      <c r="B334" t="s">
        <v>929</v>
      </c>
      <c r="C334" t="s">
        <v>930</v>
      </c>
      <c r="D334" t="s">
        <v>931</v>
      </c>
      <c r="E334" t="s">
        <v>929</v>
      </c>
      <c r="F334">
        <v>4</v>
      </c>
      <c r="G334">
        <v>5</v>
      </c>
      <c r="H334" t="s">
        <v>3</v>
      </c>
      <c r="I334" t="s">
        <v>3</v>
      </c>
      <c r="J334" t="s">
        <v>4</v>
      </c>
      <c r="K334">
        <v>0.67122167348861606</v>
      </c>
      <c r="L334" s="26">
        <v>1.44708355529403E-5</v>
      </c>
      <c r="M334">
        <v>3.04695998252952E-2</v>
      </c>
      <c r="N334">
        <v>3.3092214068178398</v>
      </c>
    </row>
    <row r="335" spans="1:14">
      <c r="A335" s="1">
        <v>334</v>
      </c>
      <c r="B335" t="s">
        <v>932</v>
      </c>
      <c r="C335" t="s">
        <v>933</v>
      </c>
      <c r="D335" t="s">
        <v>61</v>
      </c>
      <c r="E335" t="s">
        <v>932</v>
      </c>
      <c r="F335">
        <v>9</v>
      </c>
      <c r="G335">
        <v>2</v>
      </c>
      <c r="H335" t="s">
        <v>22</v>
      </c>
      <c r="I335" t="s">
        <v>22</v>
      </c>
      <c r="J335" t="s">
        <v>4</v>
      </c>
      <c r="K335">
        <v>0.99127507209777799</v>
      </c>
      <c r="L335" s="26">
        <v>3.0707270695680602E-5</v>
      </c>
      <c r="M335">
        <v>-1.04130924769663E-2</v>
      </c>
      <c r="N335">
        <v>3.66430491330813</v>
      </c>
    </row>
    <row r="336" spans="1:14">
      <c r="A336" s="1">
        <v>335</v>
      </c>
      <c r="B336" t="s">
        <v>934</v>
      </c>
      <c r="C336" t="s">
        <v>935</v>
      </c>
      <c r="D336" t="s">
        <v>936</v>
      </c>
      <c r="E336" t="s">
        <v>934</v>
      </c>
      <c r="F336">
        <v>11</v>
      </c>
      <c r="G336">
        <v>4</v>
      </c>
      <c r="H336" t="s">
        <v>8</v>
      </c>
      <c r="I336" t="s">
        <v>8</v>
      </c>
      <c r="J336" t="s">
        <v>4</v>
      </c>
      <c r="K336">
        <v>0.87429690361022905</v>
      </c>
      <c r="L336" s="26">
        <v>2.3899371333454998E-5</v>
      </c>
      <c r="M336">
        <v>4.3092767972794301E-2</v>
      </c>
      <c r="N336">
        <v>3.3193520417343301</v>
      </c>
    </row>
    <row r="337" spans="1:14">
      <c r="A337" s="1">
        <v>336</v>
      </c>
      <c r="B337" t="s">
        <v>937</v>
      </c>
      <c r="C337" t="s">
        <v>938</v>
      </c>
      <c r="D337" t="s">
        <v>939</v>
      </c>
      <c r="E337" t="s">
        <v>937</v>
      </c>
      <c r="F337">
        <v>7</v>
      </c>
      <c r="G337">
        <v>6</v>
      </c>
      <c r="H337" t="s">
        <v>98</v>
      </c>
      <c r="I337" t="s">
        <v>98</v>
      </c>
      <c r="J337" t="s">
        <v>4</v>
      </c>
      <c r="K337">
        <v>0.69919031858444203</v>
      </c>
      <c r="L337" s="26">
        <v>1.5372313133686601E-5</v>
      </c>
      <c r="M337">
        <v>-1.90341323006215E-3</v>
      </c>
      <c r="N337">
        <v>3.2124586585356298</v>
      </c>
    </row>
    <row r="338" spans="1:14">
      <c r="A338" s="1">
        <v>337</v>
      </c>
      <c r="B338" t="s">
        <v>940</v>
      </c>
      <c r="C338" t="s">
        <v>941</v>
      </c>
      <c r="D338" t="s">
        <v>942</v>
      </c>
      <c r="E338" t="s">
        <v>940</v>
      </c>
      <c r="F338">
        <v>6</v>
      </c>
      <c r="G338">
        <v>5</v>
      </c>
      <c r="H338" t="s">
        <v>8</v>
      </c>
      <c r="I338" t="s">
        <v>8</v>
      </c>
      <c r="J338" t="s">
        <v>4</v>
      </c>
      <c r="K338">
        <v>0.87102037668228105</v>
      </c>
      <c r="L338" s="26">
        <v>2.3713937262849199E-5</v>
      </c>
      <c r="M338">
        <v>3.7476037661370698E-2</v>
      </c>
      <c r="N338">
        <v>3.65784828443631</v>
      </c>
    </row>
    <row r="339" spans="1:14">
      <c r="A339" s="1">
        <v>338</v>
      </c>
      <c r="B339" t="s">
        <v>943</v>
      </c>
      <c r="C339" t="s">
        <v>944</v>
      </c>
      <c r="D339" t="s">
        <v>942</v>
      </c>
      <c r="E339" t="s">
        <v>943</v>
      </c>
      <c r="F339">
        <v>5</v>
      </c>
      <c r="G339">
        <v>5</v>
      </c>
      <c r="H339" t="s">
        <v>8</v>
      </c>
      <c r="I339" t="s">
        <v>8</v>
      </c>
      <c r="J339" t="s">
        <v>4</v>
      </c>
      <c r="K339">
        <v>0.86824977397918701</v>
      </c>
      <c r="L339" s="26">
        <v>2.35614536350641E-5</v>
      </c>
      <c r="M339">
        <v>3.4020400938565801E-2</v>
      </c>
      <c r="N339">
        <v>3.3347271019629199</v>
      </c>
    </row>
    <row r="340" spans="1:14">
      <c r="A340" s="1">
        <v>339</v>
      </c>
      <c r="B340" t="s">
        <v>945</v>
      </c>
      <c r="C340" t="s">
        <v>946</v>
      </c>
      <c r="D340" t="s">
        <v>460</v>
      </c>
      <c r="E340" t="s">
        <v>945</v>
      </c>
      <c r="F340">
        <v>5</v>
      </c>
      <c r="G340">
        <v>4</v>
      </c>
      <c r="H340" t="s">
        <v>8</v>
      </c>
      <c r="I340" t="s">
        <v>8</v>
      </c>
      <c r="J340" t="s">
        <v>4</v>
      </c>
      <c r="K340">
        <v>0.85594940185546797</v>
      </c>
      <c r="L340" s="26">
        <v>2.2900556188399299E-5</v>
      </c>
      <c r="M340">
        <v>1.07310665769091E-2</v>
      </c>
      <c r="N340">
        <v>3.3548308700228699</v>
      </c>
    </row>
    <row r="341" spans="1:14">
      <c r="A341" s="1">
        <v>340</v>
      </c>
      <c r="B341" t="s">
        <v>947</v>
      </c>
      <c r="C341" t="s">
        <v>948</v>
      </c>
      <c r="D341" t="s">
        <v>855</v>
      </c>
      <c r="E341" t="s">
        <v>947</v>
      </c>
      <c r="F341">
        <v>6</v>
      </c>
      <c r="G341">
        <v>8</v>
      </c>
      <c r="H341" t="s">
        <v>3</v>
      </c>
      <c r="I341" t="s">
        <v>3</v>
      </c>
      <c r="J341" t="s">
        <v>4</v>
      </c>
      <c r="K341">
        <v>0.92838478088378895</v>
      </c>
      <c r="L341" s="26">
        <v>2.69488523435567E-5</v>
      </c>
      <c r="M341">
        <v>1.35666433190273E-3</v>
      </c>
      <c r="N341">
        <v>3.8059117597463401</v>
      </c>
    </row>
    <row r="342" spans="1:14">
      <c r="A342" s="1">
        <v>341</v>
      </c>
      <c r="B342" t="s">
        <v>949</v>
      </c>
      <c r="C342" t="s">
        <v>950</v>
      </c>
      <c r="D342" t="s">
        <v>951</v>
      </c>
      <c r="E342" t="s">
        <v>949</v>
      </c>
      <c r="F342">
        <v>4</v>
      </c>
      <c r="G342">
        <v>7</v>
      </c>
      <c r="H342" t="s">
        <v>8</v>
      </c>
      <c r="I342" t="s">
        <v>8</v>
      </c>
      <c r="J342" t="s">
        <v>4</v>
      </c>
      <c r="K342">
        <v>0.99477553367614702</v>
      </c>
      <c r="L342" s="26">
        <v>3.0924657075359899E-5</v>
      </c>
      <c r="M342">
        <v>1.35786288385872E-2</v>
      </c>
      <c r="N342">
        <v>2.2259577391960801</v>
      </c>
    </row>
    <row r="343" spans="1:14">
      <c r="A343" s="1">
        <v>342</v>
      </c>
      <c r="B343" t="s">
        <v>952</v>
      </c>
      <c r="C343" t="s">
        <v>953</v>
      </c>
      <c r="D343" t="s">
        <v>954</v>
      </c>
      <c r="E343" t="s">
        <v>952</v>
      </c>
      <c r="F343">
        <v>6</v>
      </c>
      <c r="G343">
        <v>3</v>
      </c>
      <c r="H343" t="s">
        <v>8</v>
      </c>
      <c r="I343" t="s">
        <v>8</v>
      </c>
      <c r="J343" t="s">
        <v>4</v>
      </c>
      <c r="K343">
        <v>0.98861032724380404</v>
      </c>
      <c r="L343" s="26">
        <v>3.0542265446401899E-5</v>
      </c>
      <c r="M343">
        <v>-2.4398879262420702E-2</v>
      </c>
      <c r="N343">
        <v>3.70010171727718</v>
      </c>
    </row>
    <row r="344" spans="1:14">
      <c r="A344" s="1">
        <v>343</v>
      </c>
      <c r="B344" t="s">
        <v>955</v>
      </c>
      <c r="C344" t="s">
        <v>956</v>
      </c>
      <c r="D344" t="s">
        <v>227</v>
      </c>
      <c r="E344" t="s">
        <v>955</v>
      </c>
      <c r="F344">
        <v>8</v>
      </c>
      <c r="G344">
        <v>3</v>
      </c>
      <c r="H344" t="s">
        <v>8</v>
      </c>
      <c r="I344" t="s">
        <v>8</v>
      </c>
      <c r="J344" t="s">
        <v>4</v>
      </c>
      <c r="K344">
        <v>0.89786577224731401</v>
      </c>
      <c r="L344" s="26">
        <v>2.5229612843028602E-5</v>
      </c>
      <c r="M344">
        <v>-3.2014095451415799E-4</v>
      </c>
      <c r="N344">
        <v>3.5626596588361199</v>
      </c>
    </row>
    <row r="345" spans="1:14">
      <c r="A345" s="1">
        <v>344</v>
      </c>
      <c r="B345" t="s">
        <v>957</v>
      </c>
      <c r="C345" t="s">
        <v>958</v>
      </c>
      <c r="D345" t="s">
        <v>959</v>
      </c>
      <c r="E345" t="s">
        <v>957</v>
      </c>
      <c r="F345">
        <v>11</v>
      </c>
      <c r="G345">
        <v>3</v>
      </c>
      <c r="H345" t="s">
        <v>22</v>
      </c>
      <c r="I345" t="s">
        <v>22</v>
      </c>
      <c r="J345" t="s">
        <v>4</v>
      </c>
      <c r="K345">
        <v>0.89791864156723</v>
      </c>
      <c r="L345" s="26">
        <v>2.5214750894709499E-5</v>
      </c>
      <c r="M345">
        <v>1.4799390961549299E-2</v>
      </c>
      <c r="N345">
        <v>3.6920708231230499</v>
      </c>
    </row>
    <row r="346" spans="1:14">
      <c r="A346" s="1">
        <v>345</v>
      </c>
      <c r="B346" t="s">
        <v>960</v>
      </c>
      <c r="C346" t="s">
        <v>961</v>
      </c>
      <c r="D346" t="s">
        <v>962</v>
      </c>
      <c r="E346" t="s">
        <v>960</v>
      </c>
      <c r="F346">
        <v>7</v>
      </c>
      <c r="G346">
        <v>5</v>
      </c>
      <c r="H346" t="s">
        <v>98</v>
      </c>
      <c r="I346" t="s">
        <v>98</v>
      </c>
      <c r="J346" t="s">
        <v>4</v>
      </c>
      <c r="K346">
        <v>0.99790668487548795</v>
      </c>
      <c r="L346" s="26">
        <v>3.1119308725592601E-5</v>
      </c>
      <c r="M346">
        <v>-1.0088079676597399E-2</v>
      </c>
      <c r="N346">
        <v>2.8002478089060299</v>
      </c>
    </row>
    <row r="347" spans="1:14">
      <c r="A347" s="1">
        <v>346</v>
      </c>
      <c r="B347" t="s">
        <v>963</v>
      </c>
      <c r="C347" t="s">
        <v>964</v>
      </c>
      <c r="D347" t="s">
        <v>965</v>
      </c>
      <c r="E347" t="s">
        <v>963</v>
      </c>
      <c r="F347">
        <v>5</v>
      </c>
      <c r="G347">
        <v>4</v>
      </c>
      <c r="H347" t="s">
        <v>8</v>
      </c>
      <c r="I347" t="s">
        <v>8</v>
      </c>
      <c r="J347" t="s">
        <v>4</v>
      </c>
      <c r="K347">
        <v>0.68096017837524403</v>
      </c>
      <c r="L347" s="26">
        <v>1.4534050375895101E-5</v>
      </c>
      <c r="M347">
        <v>1.3602250380451101E-3</v>
      </c>
      <c r="N347">
        <v>3.2832676518278401</v>
      </c>
    </row>
    <row r="348" spans="1:14">
      <c r="A348" s="1">
        <v>347</v>
      </c>
      <c r="B348" t="s">
        <v>966</v>
      </c>
      <c r="C348" t="s">
        <v>967</v>
      </c>
      <c r="D348" t="s">
        <v>685</v>
      </c>
      <c r="E348" t="s">
        <v>966</v>
      </c>
      <c r="F348">
        <v>6</v>
      </c>
      <c r="G348">
        <v>3</v>
      </c>
      <c r="H348" t="s">
        <v>8</v>
      </c>
      <c r="I348" t="s">
        <v>8</v>
      </c>
      <c r="J348" t="s">
        <v>4</v>
      </c>
      <c r="K348">
        <v>0.70880734920501698</v>
      </c>
      <c r="L348" s="26">
        <v>1.6533402850357801E-5</v>
      </c>
      <c r="M348">
        <v>-2.8171723885678901E-2</v>
      </c>
      <c r="N348">
        <v>3.7341246278982201</v>
      </c>
    </row>
    <row r="349" spans="1:14">
      <c r="A349" s="1">
        <v>348</v>
      </c>
      <c r="B349" t="s">
        <v>968</v>
      </c>
      <c r="C349" t="s">
        <v>969</v>
      </c>
      <c r="D349" t="s">
        <v>970</v>
      </c>
      <c r="E349" t="s">
        <v>968</v>
      </c>
      <c r="F349">
        <v>8</v>
      </c>
      <c r="G349">
        <v>6</v>
      </c>
      <c r="H349" t="s">
        <v>8</v>
      </c>
      <c r="I349" t="s">
        <v>8</v>
      </c>
      <c r="J349" t="s">
        <v>4</v>
      </c>
      <c r="K349">
        <v>0.69416093826293901</v>
      </c>
      <c r="L349" s="26">
        <v>1.50761814417979E-5</v>
      </c>
      <c r="M349">
        <v>1.73623230735344E-2</v>
      </c>
      <c r="N349">
        <v>3.5515780994661799</v>
      </c>
    </row>
    <row r="350" spans="1:14">
      <c r="A350" s="1">
        <v>349</v>
      </c>
      <c r="B350" t="s">
        <v>971</v>
      </c>
      <c r="C350" t="s">
        <v>972</v>
      </c>
      <c r="D350" t="s">
        <v>973</v>
      </c>
      <c r="E350" t="s">
        <v>971</v>
      </c>
      <c r="F350">
        <v>6</v>
      </c>
      <c r="G350">
        <v>6</v>
      </c>
      <c r="H350" t="s">
        <v>8</v>
      </c>
      <c r="I350" t="s">
        <v>8</v>
      </c>
      <c r="J350" t="s">
        <v>4</v>
      </c>
      <c r="K350">
        <v>0.99765586853027299</v>
      </c>
      <c r="L350" s="26">
        <v>3.11037021544654E-5</v>
      </c>
      <c r="M350">
        <v>-2.5439045042993699E-2</v>
      </c>
      <c r="N350">
        <v>2.8156524142312498</v>
      </c>
    </row>
    <row r="351" spans="1:14">
      <c r="A351" s="1">
        <v>350</v>
      </c>
      <c r="B351" t="s">
        <v>974</v>
      </c>
      <c r="C351" t="s">
        <v>975</v>
      </c>
      <c r="D351" t="s">
        <v>976</v>
      </c>
      <c r="E351" t="s">
        <v>974</v>
      </c>
      <c r="F351">
        <v>7</v>
      </c>
      <c r="G351">
        <v>8</v>
      </c>
      <c r="H351" t="s">
        <v>8</v>
      </c>
      <c r="I351" t="s">
        <v>8</v>
      </c>
      <c r="J351" t="s">
        <v>4</v>
      </c>
      <c r="K351">
        <v>0.72465753555297796</v>
      </c>
      <c r="L351" s="26">
        <v>1.6433021935298501E-5</v>
      </c>
      <c r="M351">
        <v>1.2510795046210801E-2</v>
      </c>
      <c r="N351">
        <v>2.9909010299701499</v>
      </c>
    </row>
    <row r="352" spans="1:14">
      <c r="A352" s="1">
        <v>351</v>
      </c>
      <c r="B352" t="s">
        <v>977</v>
      </c>
      <c r="C352" t="s">
        <v>978</v>
      </c>
      <c r="D352" t="s">
        <v>979</v>
      </c>
      <c r="E352" t="s">
        <v>977</v>
      </c>
      <c r="F352">
        <v>5</v>
      </c>
      <c r="G352">
        <v>8</v>
      </c>
      <c r="H352" t="s">
        <v>8</v>
      </c>
      <c r="I352" t="s">
        <v>8</v>
      </c>
      <c r="J352" t="s">
        <v>4</v>
      </c>
      <c r="K352">
        <v>0.94088035821914595</v>
      </c>
      <c r="L352" s="26">
        <v>2.7671190434152801E-5</v>
      </c>
      <c r="M352">
        <v>-2.7650167066447202E-2</v>
      </c>
      <c r="N352">
        <v>3.3402339456128498</v>
      </c>
    </row>
    <row r="353" spans="1:14">
      <c r="A353" s="1">
        <v>352</v>
      </c>
      <c r="B353" t="s">
        <v>980</v>
      </c>
      <c r="C353" t="s">
        <v>981</v>
      </c>
      <c r="D353" t="s">
        <v>982</v>
      </c>
      <c r="E353" t="s">
        <v>980</v>
      </c>
      <c r="F353">
        <v>6</v>
      </c>
      <c r="G353">
        <v>5</v>
      </c>
      <c r="H353" t="s">
        <v>8</v>
      </c>
      <c r="I353" t="s">
        <v>8</v>
      </c>
      <c r="J353" t="s">
        <v>4</v>
      </c>
      <c r="K353">
        <v>0.99696987867355302</v>
      </c>
      <c r="L353" s="26">
        <v>3.1060950035769201E-5</v>
      </c>
      <c r="M353">
        <v>1.63220318350818E-2</v>
      </c>
      <c r="N353">
        <v>2.6095297941108702</v>
      </c>
    </row>
    <row r="354" spans="1:14">
      <c r="A354" s="1">
        <v>353</v>
      </c>
      <c r="B354" t="s">
        <v>983</v>
      </c>
      <c r="C354" t="s">
        <v>984</v>
      </c>
      <c r="D354" t="s">
        <v>985</v>
      </c>
      <c r="E354" t="s">
        <v>983</v>
      </c>
      <c r="F354">
        <v>7</v>
      </c>
      <c r="G354">
        <v>4</v>
      </c>
      <c r="H354" t="s">
        <v>98</v>
      </c>
      <c r="I354" t="s">
        <v>98</v>
      </c>
      <c r="J354" t="s">
        <v>4</v>
      </c>
      <c r="K354">
        <v>0.56980341672897294</v>
      </c>
      <c r="L354" s="26">
        <v>1.02306794990454E-5</v>
      </c>
      <c r="M354">
        <v>1.9561468922978598E-2</v>
      </c>
      <c r="N354">
        <v>3.3890404599208899</v>
      </c>
    </row>
    <row r="355" spans="1:14">
      <c r="A355" s="1">
        <v>354</v>
      </c>
      <c r="B355" t="s">
        <v>986</v>
      </c>
      <c r="C355" t="s">
        <v>987</v>
      </c>
      <c r="D355" t="s">
        <v>988</v>
      </c>
      <c r="E355" t="s">
        <v>986</v>
      </c>
      <c r="F355">
        <v>6</v>
      </c>
      <c r="G355">
        <v>3</v>
      </c>
      <c r="H355" t="s">
        <v>98</v>
      </c>
      <c r="I355" t="s">
        <v>98</v>
      </c>
      <c r="J355" t="s">
        <v>4</v>
      </c>
      <c r="K355">
        <v>0.99869257211685103</v>
      </c>
      <c r="L355" s="26">
        <v>3.11683413203847E-5</v>
      </c>
      <c r="M355">
        <v>-8.3044117130022192E-3</v>
      </c>
      <c r="N355">
        <v>2.4792503959410102</v>
      </c>
    </row>
    <row r="356" spans="1:14">
      <c r="A356" s="1">
        <v>355</v>
      </c>
      <c r="B356" t="s">
        <v>989</v>
      </c>
      <c r="C356" t="s">
        <v>990</v>
      </c>
      <c r="D356" t="s">
        <v>991</v>
      </c>
      <c r="E356" t="s">
        <v>989</v>
      </c>
      <c r="F356">
        <v>7</v>
      </c>
      <c r="G356">
        <v>5</v>
      </c>
      <c r="H356" t="s">
        <v>8</v>
      </c>
      <c r="I356" t="s">
        <v>8</v>
      </c>
      <c r="J356" t="s">
        <v>4</v>
      </c>
      <c r="K356">
        <v>0.84939450025558405</v>
      </c>
      <c r="L356" s="26">
        <v>2.2550382246336599E-5</v>
      </c>
      <c r="M356">
        <v>-2.3707177265954699E-2</v>
      </c>
      <c r="N356">
        <v>3.5254550426906102</v>
      </c>
    </row>
    <row r="357" spans="1:14">
      <c r="A357" s="1">
        <v>356</v>
      </c>
      <c r="B357" t="s">
        <v>992</v>
      </c>
      <c r="C357" t="s">
        <v>993</v>
      </c>
      <c r="D357" t="s">
        <v>994</v>
      </c>
      <c r="E357" t="s">
        <v>992</v>
      </c>
      <c r="F357">
        <v>8</v>
      </c>
      <c r="G357">
        <v>5</v>
      </c>
      <c r="H357" t="s">
        <v>8</v>
      </c>
      <c r="I357" t="s">
        <v>8</v>
      </c>
      <c r="J357" t="s">
        <v>4</v>
      </c>
      <c r="K357">
        <v>0.98470348119735696</v>
      </c>
      <c r="L357" s="26">
        <v>3.03017558050851E-5</v>
      </c>
      <c r="M357">
        <v>-2.08832554201876E-3</v>
      </c>
      <c r="N357">
        <v>2.7065114524854801</v>
      </c>
    </row>
    <row r="358" spans="1:14">
      <c r="A358" s="1">
        <v>357</v>
      </c>
      <c r="B358" t="s">
        <v>995</v>
      </c>
      <c r="C358" t="s">
        <v>996</v>
      </c>
      <c r="D358" t="s">
        <v>112</v>
      </c>
      <c r="E358" t="s">
        <v>995</v>
      </c>
      <c r="F358">
        <v>6</v>
      </c>
      <c r="G358">
        <v>3</v>
      </c>
      <c r="H358" t="s">
        <v>113</v>
      </c>
      <c r="I358" t="s">
        <v>113</v>
      </c>
      <c r="J358" t="s">
        <v>4</v>
      </c>
      <c r="K358">
        <v>0.89023965597152699</v>
      </c>
      <c r="L358" s="26">
        <v>2.4777340346698399E-5</v>
      </c>
      <c r="M358">
        <v>1.3863813088974501E-2</v>
      </c>
      <c r="N358">
        <v>3.7416091600189501</v>
      </c>
    </row>
    <row r="359" spans="1:14">
      <c r="A359" s="1">
        <v>358</v>
      </c>
      <c r="B359" t="s">
        <v>997</v>
      </c>
      <c r="C359" t="s">
        <v>998</v>
      </c>
      <c r="D359" t="s">
        <v>262</v>
      </c>
      <c r="E359" t="s">
        <v>997</v>
      </c>
      <c r="F359">
        <v>5</v>
      </c>
      <c r="G359">
        <v>4</v>
      </c>
      <c r="H359" t="s">
        <v>8</v>
      </c>
      <c r="I359" t="s">
        <v>8</v>
      </c>
      <c r="J359" t="s">
        <v>4</v>
      </c>
      <c r="K359">
        <v>0.84506928920745805</v>
      </c>
      <c r="L359" s="26">
        <v>2.2874939055395799E-5</v>
      </c>
      <c r="M359">
        <v>-3.3117412959580997E-2</v>
      </c>
      <c r="N359">
        <v>2.7769057173687499</v>
      </c>
    </row>
    <row r="360" spans="1:14">
      <c r="A360" s="1">
        <v>359</v>
      </c>
      <c r="B360" t="s">
        <v>999</v>
      </c>
      <c r="C360" t="s">
        <v>1000</v>
      </c>
      <c r="D360" t="s">
        <v>873</v>
      </c>
      <c r="E360" t="s">
        <v>999</v>
      </c>
      <c r="F360">
        <v>5</v>
      </c>
      <c r="G360">
        <v>4</v>
      </c>
      <c r="H360" t="s">
        <v>8</v>
      </c>
      <c r="I360" t="s">
        <v>8</v>
      </c>
      <c r="J360" t="s">
        <v>4</v>
      </c>
      <c r="K360">
        <v>0.81344938278198198</v>
      </c>
      <c r="L360" s="26">
        <v>2.0689465158566601E-5</v>
      </c>
      <c r="M360">
        <v>-1.1969504731531799E-2</v>
      </c>
      <c r="N360">
        <v>3.6142842694127801</v>
      </c>
    </row>
    <row r="361" spans="1:14">
      <c r="A361" s="1">
        <v>360</v>
      </c>
      <c r="B361" t="s">
        <v>1001</v>
      </c>
      <c r="C361" t="s">
        <v>1002</v>
      </c>
      <c r="D361" t="s">
        <v>28</v>
      </c>
      <c r="E361" t="s">
        <v>1001</v>
      </c>
      <c r="F361">
        <v>5</v>
      </c>
      <c r="G361">
        <v>3</v>
      </c>
      <c r="H361" t="s">
        <v>8</v>
      </c>
      <c r="I361" t="s">
        <v>8</v>
      </c>
      <c r="J361" t="s">
        <v>4</v>
      </c>
      <c r="K361">
        <v>0.96649271249771096</v>
      </c>
      <c r="L361" s="26">
        <v>2.9191945555228702E-5</v>
      </c>
      <c r="M361">
        <v>-2.0475309407794899E-2</v>
      </c>
      <c r="N361">
        <v>3.6840005823286601</v>
      </c>
    </row>
    <row r="362" spans="1:14">
      <c r="A362" s="1">
        <v>361</v>
      </c>
      <c r="B362" t="s">
        <v>1003</v>
      </c>
      <c r="C362" t="s">
        <v>1004</v>
      </c>
      <c r="D362" t="s">
        <v>1005</v>
      </c>
      <c r="E362" t="s">
        <v>1003</v>
      </c>
      <c r="F362">
        <v>6</v>
      </c>
      <c r="G362">
        <v>4</v>
      </c>
      <c r="H362" t="s">
        <v>8</v>
      </c>
      <c r="I362" t="s">
        <v>8</v>
      </c>
      <c r="J362" t="s">
        <v>4</v>
      </c>
      <c r="K362">
        <v>0.89043724536895696</v>
      </c>
      <c r="L362" s="26">
        <v>2.4779886665802E-5</v>
      </c>
      <c r="M362">
        <v>7.4073735104640496E-3</v>
      </c>
      <c r="N362">
        <v>3.4558770171502999</v>
      </c>
    </row>
    <row r="363" spans="1:14">
      <c r="A363" s="1">
        <v>362</v>
      </c>
      <c r="B363" t="s">
        <v>1006</v>
      </c>
      <c r="C363" t="s">
        <v>1007</v>
      </c>
      <c r="D363" t="s">
        <v>1008</v>
      </c>
      <c r="E363" t="s">
        <v>1006</v>
      </c>
      <c r="F363">
        <v>4</v>
      </c>
      <c r="G363">
        <v>5</v>
      </c>
      <c r="H363" t="s">
        <v>8</v>
      </c>
      <c r="I363" t="s">
        <v>8</v>
      </c>
      <c r="J363" t="s">
        <v>4</v>
      </c>
      <c r="K363">
        <v>0.66610485315322798</v>
      </c>
      <c r="L363" s="26">
        <v>1.4945074016896301E-5</v>
      </c>
      <c r="M363">
        <v>-8.2714568004202908E-3</v>
      </c>
      <c r="N363">
        <v>2.8270826432745899</v>
      </c>
    </row>
    <row r="364" spans="1:14">
      <c r="A364" s="1">
        <v>363</v>
      </c>
      <c r="B364" t="s">
        <v>1009</v>
      </c>
      <c r="C364" t="s">
        <v>1010</v>
      </c>
      <c r="D364" t="s">
        <v>1011</v>
      </c>
      <c r="E364" t="s">
        <v>1009</v>
      </c>
      <c r="F364">
        <v>7</v>
      </c>
      <c r="G364">
        <v>4</v>
      </c>
      <c r="H364" t="s">
        <v>8</v>
      </c>
      <c r="I364" t="s">
        <v>8</v>
      </c>
      <c r="J364" t="s">
        <v>4</v>
      </c>
      <c r="K364">
        <v>0.88738441467285101</v>
      </c>
      <c r="L364" s="26">
        <v>2.4623442693077401E-5</v>
      </c>
      <c r="M364">
        <v>-2.3945741301076798E-3</v>
      </c>
      <c r="N364">
        <v>3.5048678435530198</v>
      </c>
    </row>
    <row r="365" spans="1:14">
      <c r="A365" s="1">
        <v>364</v>
      </c>
      <c r="B365" t="s">
        <v>1012</v>
      </c>
      <c r="C365" t="s">
        <v>1013</v>
      </c>
      <c r="D365" t="s">
        <v>725</v>
      </c>
      <c r="E365" t="s">
        <v>1012</v>
      </c>
      <c r="F365">
        <v>6</v>
      </c>
      <c r="G365">
        <v>5</v>
      </c>
      <c r="H365" t="s">
        <v>8</v>
      </c>
      <c r="I365" t="s">
        <v>8</v>
      </c>
      <c r="J365" t="s">
        <v>4</v>
      </c>
      <c r="K365">
        <v>0.85934156179428101</v>
      </c>
      <c r="L365" s="26">
        <v>2.3118722269673199E-5</v>
      </c>
      <c r="M365">
        <v>4.6894665007243902E-2</v>
      </c>
      <c r="N365">
        <v>3.2973136807607499</v>
      </c>
    </row>
    <row r="366" spans="1:14">
      <c r="A366" s="1">
        <v>365</v>
      </c>
      <c r="B366" t="s">
        <v>1014</v>
      </c>
      <c r="C366" t="s">
        <v>1015</v>
      </c>
      <c r="D366" t="s">
        <v>1016</v>
      </c>
      <c r="E366" t="s">
        <v>1014</v>
      </c>
      <c r="F366">
        <v>6</v>
      </c>
      <c r="G366">
        <v>5</v>
      </c>
      <c r="H366" t="s">
        <v>8</v>
      </c>
      <c r="I366" t="s">
        <v>8</v>
      </c>
      <c r="J366" t="s">
        <v>4</v>
      </c>
      <c r="K366">
        <v>0.81326496601104703</v>
      </c>
      <c r="L366" s="26">
        <v>2.06788463593117E-5</v>
      </c>
      <c r="M366">
        <v>1.07885172955093E-2</v>
      </c>
      <c r="N366">
        <v>3.1871507011547102</v>
      </c>
    </row>
    <row r="367" spans="1:14">
      <c r="A367" s="1">
        <v>366</v>
      </c>
      <c r="B367" t="s">
        <v>1017</v>
      </c>
      <c r="C367" t="s">
        <v>1018</v>
      </c>
      <c r="D367" t="s">
        <v>1019</v>
      </c>
      <c r="E367" t="s">
        <v>1017</v>
      </c>
      <c r="F367">
        <v>6</v>
      </c>
      <c r="G367">
        <v>7</v>
      </c>
      <c r="H367" t="s">
        <v>8</v>
      </c>
      <c r="I367" t="s">
        <v>8</v>
      </c>
      <c r="J367" t="s">
        <v>4</v>
      </c>
      <c r="K367">
        <v>0.582566618919372</v>
      </c>
      <c r="L367" s="26">
        <v>1.2127951489603699E-5</v>
      </c>
      <c r="M367">
        <v>1.9690989011043099E-2</v>
      </c>
      <c r="N367">
        <v>3.26486814908196</v>
      </c>
    </row>
    <row r="368" spans="1:14">
      <c r="A368" s="1">
        <v>367</v>
      </c>
      <c r="B368" t="s">
        <v>1020</v>
      </c>
      <c r="C368" t="s">
        <v>1021</v>
      </c>
      <c r="D368" t="s">
        <v>1022</v>
      </c>
      <c r="E368" t="s">
        <v>1020</v>
      </c>
      <c r="F368">
        <v>6</v>
      </c>
      <c r="G368">
        <v>4</v>
      </c>
      <c r="H368" t="s">
        <v>8</v>
      </c>
      <c r="I368" t="s">
        <v>8</v>
      </c>
      <c r="J368" t="s">
        <v>4</v>
      </c>
      <c r="K368">
        <v>0.99981397390365601</v>
      </c>
      <c r="L368" s="26">
        <v>3.1238374134480898E-5</v>
      </c>
      <c r="M368">
        <v>-1.06680778072349E-2</v>
      </c>
      <c r="N368">
        <v>3.36636568233373</v>
      </c>
    </row>
    <row r="369" spans="1:14">
      <c r="A369" s="1">
        <v>368</v>
      </c>
      <c r="B369" t="s">
        <v>1023</v>
      </c>
      <c r="C369" t="s">
        <v>1024</v>
      </c>
      <c r="D369" t="s">
        <v>1025</v>
      </c>
      <c r="E369" t="s">
        <v>1023</v>
      </c>
      <c r="F369">
        <v>5</v>
      </c>
      <c r="G369">
        <v>4</v>
      </c>
      <c r="H369" t="s">
        <v>8</v>
      </c>
      <c r="I369" t="s">
        <v>8</v>
      </c>
      <c r="J369" t="s">
        <v>4</v>
      </c>
      <c r="K369">
        <v>0.67539912462234497</v>
      </c>
      <c r="L369" s="26">
        <v>1.42972186267795E-5</v>
      </c>
      <c r="M369">
        <v>4.2547086723573102E-2</v>
      </c>
      <c r="N369">
        <v>3.0853256340909501</v>
      </c>
    </row>
    <row r="370" spans="1:14">
      <c r="A370" s="1">
        <v>369</v>
      </c>
      <c r="B370" t="s">
        <v>1026</v>
      </c>
      <c r="C370" t="s">
        <v>1027</v>
      </c>
      <c r="D370" t="s">
        <v>1028</v>
      </c>
      <c r="E370" t="s">
        <v>1026</v>
      </c>
      <c r="F370">
        <v>4</v>
      </c>
      <c r="G370">
        <v>5</v>
      </c>
      <c r="H370" t="s">
        <v>8</v>
      </c>
      <c r="I370" t="s">
        <v>8</v>
      </c>
      <c r="J370" t="s">
        <v>4</v>
      </c>
      <c r="K370">
        <v>0.893377065658569</v>
      </c>
      <c r="L370" s="26">
        <v>2.4954892211166502E-5</v>
      </c>
      <c r="M370">
        <v>2.3177100389492701E-2</v>
      </c>
      <c r="N370">
        <v>3.0375006386497501</v>
      </c>
    </row>
    <row r="371" spans="1:14">
      <c r="A371" s="1">
        <v>370</v>
      </c>
      <c r="B371" t="s">
        <v>1029</v>
      </c>
      <c r="C371" t="s">
        <v>1030</v>
      </c>
      <c r="D371" t="s">
        <v>248</v>
      </c>
      <c r="E371" t="s">
        <v>1029</v>
      </c>
      <c r="F371">
        <v>7</v>
      </c>
      <c r="G371">
        <v>3</v>
      </c>
      <c r="H371" t="s">
        <v>8</v>
      </c>
      <c r="I371" t="s">
        <v>8</v>
      </c>
      <c r="J371" t="s">
        <v>4</v>
      </c>
      <c r="K371">
        <v>0.88122010231018</v>
      </c>
      <c r="L371" s="26">
        <v>2.4295889061697601E-5</v>
      </c>
      <c r="M371">
        <v>2.4338959039762399E-2</v>
      </c>
      <c r="N371">
        <v>3.5219758844343598</v>
      </c>
    </row>
    <row r="372" spans="1:14">
      <c r="A372" s="1">
        <v>371</v>
      </c>
      <c r="B372" t="s">
        <v>1031</v>
      </c>
      <c r="C372" t="s">
        <v>1032</v>
      </c>
      <c r="D372" t="s">
        <v>1033</v>
      </c>
      <c r="E372" t="s">
        <v>1031</v>
      </c>
      <c r="F372">
        <v>6</v>
      </c>
      <c r="G372">
        <v>7</v>
      </c>
      <c r="H372" t="s">
        <v>8</v>
      </c>
      <c r="I372" t="s">
        <v>8</v>
      </c>
      <c r="J372" t="s">
        <v>4</v>
      </c>
      <c r="K372">
        <v>0.99131095409393299</v>
      </c>
      <c r="L372" s="26">
        <v>3.07094699687315E-5</v>
      </c>
      <c r="M372">
        <v>-1.5424281357852E-2</v>
      </c>
      <c r="N372">
        <v>3.64650952183628</v>
      </c>
    </row>
    <row r="373" spans="1:14">
      <c r="A373" s="1">
        <v>372</v>
      </c>
      <c r="B373" t="s">
        <v>1034</v>
      </c>
      <c r="C373" t="s">
        <v>258</v>
      </c>
      <c r="D373" t="s">
        <v>1035</v>
      </c>
      <c r="E373" t="s">
        <v>1034</v>
      </c>
      <c r="F373">
        <v>9</v>
      </c>
      <c r="G373">
        <v>3</v>
      </c>
      <c r="H373" t="s">
        <v>3</v>
      </c>
      <c r="I373" t="s">
        <v>3</v>
      </c>
      <c r="J373" t="s">
        <v>4</v>
      </c>
      <c r="K373">
        <v>0.54575991630554199</v>
      </c>
      <c r="L373" s="26">
        <v>9.9838257623079592E-6</v>
      </c>
      <c r="M373">
        <v>-1.30704902037237E-2</v>
      </c>
      <c r="N373">
        <v>3.82796021090493</v>
      </c>
    </row>
    <row r="374" spans="1:14">
      <c r="A374" s="1">
        <v>373</v>
      </c>
      <c r="B374" t="s">
        <v>1036</v>
      </c>
      <c r="C374" t="s">
        <v>1037</v>
      </c>
      <c r="D374" t="s">
        <v>1038</v>
      </c>
      <c r="E374" t="s">
        <v>1036</v>
      </c>
      <c r="F374">
        <v>8</v>
      </c>
      <c r="G374">
        <v>5</v>
      </c>
      <c r="H374" t="s">
        <v>8</v>
      </c>
      <c r="I374" t="s">
        <v>8</v>
      </c>
      <c r="J374" t="s">
        <v>4</v>
      </c>
      <c r="K374">
        <v>0.86744016408920199</v>
      </c>
      <c r="L374" s="26">
        <v>2.3529925998586201E-5</v>
      </c>
      <c r="M374">
        <v>1.51199339440921E-3</v>
      </c>
      <c r="N374">
        <v>3.40318139840879</v>
      </c>
    </row>
    <row r="375" spans="1:14">
      <c r="A375" s="1">
        <v>374</v>
      </c>
      <c r="B375" t="s">
        <v>1039</v>
      </c>
      <c r="C375" t="s">
        <v>1040</v>
      </c>
      <c r="D375" t="s">
        <v>748</v>
      </c>
      <c r="E375" t="s">
        <v>1039</v>
      </c>
      <c r="F375">
        <v>7</v>
      </c>
      <c r="G375">
        <v>5</v>
      </c>
      <c r="H375" t="s">
        <v>8</v>
      </c>
      <c r="I375" t="s">
        <v>8</v>
      </c>
      <c r="J375" t="s">
        <v>4</v>
      </c>
      <c r="K375">
        <v>0.96930873394012396</v>
      </c>
      <c r="L375" s="26">
        <v>2.9363385996062699E-5</v>
      </c>
      <c r="M375">
        <v>-4.0257545483378003E-2</v>
      </c>
      <c r="N375">
        <v>3.4670182064274702</v>
      </c>
    </row>
    <row r="376" spans="1:14">
      <c r="A376" s="1">
        <v>375</v>
      </c>
      <c r="B376" t="s">
        <v>1041</v>
      </c>
      <c r="C376" t="s">
        <v>1042</v>
      </c>
      <c r="D376" t="s">
        <v>534</v>
      </c>
      <c r="E376" t="s">
        <v>1041</v>
      </c>
      <c r="F376">
        <v>5</v>
      </c>
      <c r="G376">
        <v>4</v>
      </c>
      <c r="H376" t="s">
        <v>8</v>
      </c>
      <c r="I376" t="s">
        <v>8</v>
      </c>
      <c r="J376" t="s">
        <v>4</v>
      </c>
      <c r="K376">
        <v>0.50728940963745095</v>
      </c>
      <c r="L376" s="26">
        <v>8.2707814297217694E-6</v>
      </c>
      <c r="M376">
        <v>1.9323313792755301E-2</v>
      </c>
      <c r="N376">
        <v>3.3526955747492302</v>
      </c>
    </row>
    <row r="377" spans="1:14">
      <c r="A377" s="1">
        <v>376</v>
      </c>
      <c r="B377" t="s">
        <v>1043</v>
      </c>
      <c r="C377" t="s">
        <v>1044</v>
      </c>
      <c r="D377" t="s">
        <v>1045</v>
      </c>
      <c r="E377" t="s">
        <v>1043</v>
      </c>
      <c r="F377">
        <v>5</v>
      </c>
      <c r="G377">
        <v>6</v>
      </c>
      <c r="H377" t="s">
        <v>8</v>
      </c>
      <c r="I377" t="s">
        <v>8</v>
      </c>
      <c r="J377" t="s">
        <v>4</v>
      </c>
      <c r="K377">
        <v>0.99359619617462103</v>
      </c>
      <c r="L377" s="26">
        <v>3.0851128649075503E-5</v>
      </c>
      <c r="M377">
        <v>-4.7944531770696096E-3</v>
      </c>
      <c r="N377">
        <v>2.1318871248247602</v>
      </c>
    </row>
    <row r="378" spans="1:14">
      <c r="A378" s="1">
        <v>377</v>
      </c>
      <c r="B378" t="s">
        <v>1046</v>
      </c>
      <c r="C378" t="s">
        <v>1047</v>
      </c>
      <c r="D378" t="s">
        <v>1048</v>
      </c>
      <c r="E378" t="s">
        <v>1046</v>
      </c>
      <c r="F378">
        <v>8</v>
      </c>
      <c r="G378">
        <v>4</v>
      </c>
      <c r="H378" t="s">
        <v>3</v>
      </c>
      <c r="I378" t="s">
        <v>3</v>
      </c>
      <c r="J378" t="s">
        <v>4</v>
      </c>
      <c r="K378">
        <v>0.96365940570831299</v>
      </c>
      <c r="L378" s="26">
        <v>2.90227270371456E-5</v>
      </c>
      <c r="M378">
        <v>-1.68836272881982E-2</v>
      </c>
      <c r="N378">
        <v>3.65419657736564</v>
      </c>
    </row>
    <row r="379" spans="1:14">
      <c r="A379" s="1">
        <v>378</v>
      </c>
      <c r="B379" t="s">
        <v>1049</v>
      </c>
      <c r="C379" t="s">
        <v>1050</v>
      </c>
      <c r="D379" t="s">
        <v>1051</v>
      </c>
      <c r="E379" t="s">
        <v>1049</v>
      </c>
      <c r="F379">
        <v>10</v>
      </c>
      <c r="G379">
        <v>4</v>
      </c>
      <c r="H379" t="s">
        <v>8</v>
      </c>
      <c r="I379" t="s">
        <v>8</v>
      </c>
      <c r="J379" t="s">
        <v>4</v>
      </c>
      <c r="K379">
        <v>0.99644744396209695</v>
      </c>
      <c r="L379" s="26">
        <v>3.1028545279735198E-5</v>
      </c>
      <c r="M379">
        <v>-2.5200460193730099E-2</v>
      </c>
      <c r="N379">
        <v>2.7259937079411398</v>
      </c>
    </row>
    <row r="380" spans="1:14">
      <c r="A380" s="1">
        <v>379</v>
      </c>
      <c r="B380" t="s">
        <v>1052</v>
      </c>
      <c r="C380" t="s">
        <v>1053</v>
      </c>
      <c r="D380" t="s">
        <v>1054</v>
      </c>
      <c r="E380" t="s">
        <v>1052</v>
      </c>
      <c r="F380">
        <v>4</v>
      </c>
      <c r="G380">
        <v>5</v>
      </c>
      <c r="H380" t="s">
        <v>8</v>
      </c>
      <c r="I380" t="s">
        <v>8</v>
      </c>
      <c r="J380" t="s">
        <v>4</v>
      </c>
      <c r="K380">
        <v>0.687317013740539</v>
      </c>
      <c r="L380" s="26">
        <v>1.4771668255700501E-5</v>
      </c>
      <c r="M380">
        <v>2.6322659796250002E-2</v>
      </c>
      <c r="N380">
        <v>3.0359070209522301</v>
      </c>
    </row>
    <row r="381" spans="1:14">
      <c r="A381" s="1">
        <v>380</v>
      </c>
      <c r="B381" t="s">
        <v>1055</v>
      </c>
      <c r="C381" t="s">
        <v>1056</v>
      </c>
      <c r="D381" t="s">
        <v>475</v>
      </c>
      <c r="E381" t="s">
        <v>1055</v>
      </c>
      <c r="F381">
        <v>5</v>
      </c>
      <c r="G381">
        <v>5</v>
      </c>
      <c r="H381" t="s">
        <v>8</v>
      </c>
      <c r="I381" t="s">
        <v>8</v>
      </c>
      <c r="J381" t="s">
        <v>4</v>
      </c>
      <c r="K381">
        <v>0.81278228759765603</v>
      </c>
      <c r="L381" s="26">
        <v>2.0654969608418501E-5</v>
      </c>
      <c r="M381">
        <v>-1.0623291625933E-2</v>
      </c>
      <c r="N381">
        <v>3.2564412780699601</v>
      </c>
    </row>
    <row r="382" spans="1:14">
      <c r="A382" s="1">
        <v>381</v>
      </c>
      <c r="B382" t="s">
        <v>1057</v>
      </c>
      <c r="C382" t="s">
        <v>1058</v>
      </c>
      <c r="D382" t="s">
        <v>28</v>
      </c>
      <c r="E382" t="s">
        <v>1057</v>
      </c>
      <c r="F382">
        <v>5</v>
      </c>
      <c r="G382">
        <v>3</v>
      </c>
      <c r="H382" t="s">
        <v>8</v>
      </c>
      <c r="I382" t="s">
        <v>8</v>
      </c>
      <c r="J382" t="s">
        <v>4</v>
      </c>
      <c r="K382">
        <v>0.92757868766784601</v>
      </c>
      <c r="L382" s="26">
        <v>2.6897496738821399E-5</v>
      </c>
      <c r="M382">
        <v>1.5613249000125499E-2</v>
      </c>
      <c r="N382">
        <v>3.3308623748138801</v>
      </c>
    </row>
    <row r="383" spans="1:14">
      <c r="A383" s="1">
        <v>382</v>
      </c>
      <c r="B383" t="s">
        <v>1059</v>
      </c>
      <c r="C383" t="s">
        <v>1060</v>
      </c>
      <c r="D383" t="s">
        <v>1061</v>
      </c>
      <c r="E383" t="s">
        <v>1059</v>
      </c>
      <c r="F383">
        <v>6</v>
      </c>
      <c r="G383">
        <v>6</v>
      </c>
      <c r="H383" t="s">
        <v>8</v>
      </c>
      <c r="I383" t="s">
        <v>8</v>
      </c>
      <c r="J383" t="s">
        <v>4</v>
      </c>
      <c r="K383">
        <v>0.66648912429809504</v>
      </c>
      <c r="L383" s="26">
        <v>1.42761380105732E-5</v>
      </c>
      <c r="M383">
        <v>3.30787815306368E-2</v>
      </c>
      <c r="N383">
        <v>3.3956882677961899</v>
      </c>
    </row>
    <row r="384" spans="1:14">
      <c r="A384" s="1">
        <v>383</v>
      </c>
      <c r="B384" t="s">
        <v>1062</v>
      </c>
      <c r="C384" t="s">
        <v>1063</v>
      </c>
      <c r="D384" t="s">
        <v>1064</v>
      </c>
      <c r="E384" t="s">
        <v>2345</v>
      </c>
      <c r="F384">
        <v>6</v>
      </c>
      <c r="G384">
        <v>7</v>
      </c>
      <c r="H384" t="s">
        <v>68</v>
      </c>
      <c r="I384" t="s">
        <v>123</v>
      </c>
      <c r="J384" t="s">
        <v>180</v>
      </c>
      <c r="K384">
        <v>0.138463795185089</v>
      </c>
      <c r="L384" s="26">
        <v>1.09913126454794E-6</v>
      </c>
      <c r="M384">
        <v>-1.9409136795829299E-2</v>
      </c>
      <c r="N384">
        <v>3.4673184131067498</v>
      </c>
    </row>
    <row r="385" spans="1:14">
      <c r="A385" s="1">
        <v>384</v>
      </c>
      <c r="B385" t="s">
        <v>1065</v>
      </c>
      <c r="C385" t="s">
        <v>1066</v>
      </c>
      <c r="D385" t="s">
        <v>413</v>
      </c>
      <c r="E385" t="s">
        <v>1065</v>
      </c>
      <c r="F385">
        <v>7</v>
      </c>
      <c r="G385">
        <v>5</v>
      </c>
      <c r="H385" t="s">
        <v>8</v>
      </c>
      <c r="I385" t="s">
        <v>8</v>
      </c>
      <c r="J385" t="s">
        <v>4</v>
      </c>
      <c r="K385">
        <v>0.96785753965377797</v>
      </c>
      <c r="L385" s="26">
        <v>2.9274786036527701E-5</v>
      </c>
      <c r="M385">
        <v>3.1032822474088501E-3</v>
      </c>
      <c r="N385">
        <v>3.6069975657429501</v>
      </c>
    </row>
    <row r="386" spans="1:14">
      <c r="A386" s="1">
        <v>385</v>
      </c>
      <c r="B386" t="s">
        <v>1067</v>
      </c>
      <c r="C386" t="s">
        <v>1068</v>
      </c>
      <c r="D386" t="s">
        <v>1069</v>
      </c>
      <c r="E386" t="s">
        <v>1070</v>
      </c>
      <c r="F386">
        <v>4</v>
      </c>
      <c r="G386">
        <v>6</v>
      </c>
      <c r="H386" t="s">
        <v>8</v>
      </c>
      <c r="I386" t="s">
        <v>123</v>
      </c>
      <c r="J386" t="s">
        <v>180</v>
      </c>
      <c r="K386">
        <v>6.9045804440975106E-2</v>
      </c>
      <c r="L386" s="26">
        <v>2.6613422972105702E-7</v>
      </c>
      <c r="M386">
        <v>-2.18487498141435E-2</v>
      </c>
      <c r="N386">
        <v>3.5525047049970402</v>
      </c>
    </row>
    <row r="387" spans="1:14">
      <c r="A387" s="1">
        <v>386</v>
      </c>
      <c r="B387" t="s">
        <v>1071</v>
      </c>
      <c r="C387" t="s">
        <v>1072</v>
      </c>
      <c r="D387" t="s">
        <v>1073</v>
      </c>
      <c r="E387" t="s">
        <v>1071</v>
      </c>
      <c r="F387">
        <v>7</v>
      </c>
      <c r="G387">
        <v>4</v>
      </c>
      <c r="H387" t="s">
        <v>8</v>
      </c>
      <c r="I387" t="s">
        <v>8</v>
      </c>
      <c r="J387" t="s">
        <v>4</v>
      </c>
      <c r="K387">
        <v>0.85214722156524603</v>
      </c>
      <c r="L387" s="26">
        <v>2.27672400274706E-5</v>
      </c>
      <c r="M387">
        <v>1.6198502776767001E-2</v>
      </c>
      <c r="N387">
        <v>3.4459085704228301</v>
      </c>
    </row>
    <row r="388" spans="1:14">
      <c r="A388" s="1">
        <v>387</v>
      </c>
      <c r="B388" t="s">
        <v>1074</v>
      </c>
      <c r="C388" t="s">
        <v>1075</v>
      </c>
      <c r="D388" t="s">
        <v>1076</v>
      </c>
      <c r="E388" t="s">
        <v>1074</v>
      </c>
      <c r="F388">
        <v>7</v>
      </c>
      <c r="G388">
        <v>7</v>
      </c>
      <c r="H388" t="s">
        <v>98</v>
      </c>
      <c r="I388" t="s">
        <v>98</v>
      </c>
      <c r="J388" t="s">
        <v>4</v>
      </c>
      <c r="K388">
        <v>0.96996015310287398</v>
      </c>
      <c r="L388" s="26">
        <v>2.94230657861268E-5</v>
      </c>
      <c r="M388">
        <v>5.5846019719325499E-3</v>
      </c>
      <c r="N388">
        <v>3.7574334689729101</v>
      </c>
    </row>
    <row r="389" spans="1:14">
      <c r="A389" s="1">
        <v>388</v>
      </c>
      <c r="B389" t="s">
        <v>1077</v>
      </c>
      <c r="C389" t="s">
        <v>1078</v>
      </c>
      <c r="D389" t="s">
        <v>1079</v>
      </c>
      <c r="E389" t="s">
        <v>1077</v>
      </c>
      <c r="F389">
        <v>6</v>
      </c>
      <c r="G389">
        <v>3</v>
      </c>
      <c r="H389" t="s">
        <v>8</v>
      </c>
      <c r="I389" t="s">
        <v>8</v>
      </c>
      <c r="J389" t="s">
        <v>4</v>
      </c>
      <c r="K389">
        <v>0.95477497577667203</v>
      </c>
      <c r="L389" s="26">
        <v>2.8488349644806799E-5</v>
      </c>
      <c r="M389">
        <v>-2.09272700901483E-2</v>
      </c>
      <c r="N389">
        <v>3.51324643882193</v>
      </c>
    </row>
    <row r="390" spans="1:14">
      <c r="A390" s="1">
        <v>389</v>
      </c>
      <c r="B390" t="s">
        <v>1080</v>
      </c>
      <c r="C390" t="s">
        <v>1081</v>
      </c>
      <c r="D390" t="s">
        <v>1082</v>
      </c>
      <c r="E390" t="s">
        <v>1080</v>
      </c>
      <c r="F390">
        <v>6</v>
      </c>
      <c r="G390">
        <v>6</v>
      </c>
      <c r="H390" t="s">
        <v>98</v>
      </c>
      <c r="I390" t="s">
        <v>98</v>
      </c>
      <c r="J390" t="s">
        <v>4</v>
      </c>
      <c r="K390">
        <v>0.96248310804366999</v>
      </c>
      <c r="L390" s="26">
        <v>2.8965631221716801E-5</v>
      </c>
      <c r="M390">
        <v>-9.9131959631790691E-3</v>
      </c>
      <c r="N390">
        <v>4.3369607698493802</v>
      </c>
    </row>
    <row r="391" spans="1:14">
      <c r="A391" s="1">
        <v>390</v>
      </c>
      <c r="B391" t="s">
        <v>1083</v>
      </c>
      <c r="C391" t="s">
        <v>1084</v>
      </c>
      <c r="D391" t="s">
        <v>503</v>
      </c>
      <c r="E391" t="s">
        <v>1083</v>
      </c>
      <c r="F391">
        <v>5</v>
      </c>
      <c r="G391">
        <v>3</v>
      </c>
      <c r="H391" t="s">
        <v>12</v>
      </c>
      <c r="I391" t="s">
        <v>12</v>
      </c>
      <c r="J391" t="s">
        <v>4</v>
      </c>
      <c r="K391">
        <v>0.98337525129318204</v>
      </c>
      <c r="L391" s="26">
        <v>3.0220888436093301E-5</v>
      </c>
      <c r="M391">
        <v>-4.1236415841225896E-3</v>
      </c>
      <c r="N391">
        <v>3.5842759998703602</v>
      </c>
    </row>
    <row r="392" spans="1:14">
      <c r="A392" s="1">
        <v>391</v>
      </c>
      <c r="B392" t="s">
        <v>1085</v>
      </c>
      <c r="C392" t="s">
        <v>1086</v>
      </c>
      <c r="D392" t="s">
        <v>1087</v>
      </c>
      <c r="E392" t="s">
        <v>1085</v>
      </c>
      <c r="F392">
        <v>4</v>
      </c>
      <c r="G392">
        <v>6</v>
      </c>
      <c r="H392" t="s">
        <v>98</v>
      </c>
      <c r="I392" t="s">
        <v>98</v>
      </c>
      <c r="J392" t="s">
        <v>4</v>
      </c>
      <c r="K392">
        <v>0.99957805871963501</v>
      </c>
      <c r="L392" s="26">
        <v>3.1223634292868401E-5</v>
      </c>
      <c r="M392">
        <v>1.03197868811637E-2</v>
      </c>
      <c r="N392">
        <v>3.0393481817177799</v>
      </c>
    </row>
    <row r="393" spans="1:14">
      <c r="A393" s="1">
        <v>392</v>
      </c>
      <c r="B393" t="s">
        <v>1088</v>
      </c>
      <c r="C393" t="s">
        <v>1089</v>
      </c>
      <c r="D393" t="s">
        <v>1090</v>
      </c>
      <c r="E393" t="s">
        <v>1088</v>
      </c>
      <c r="F393">
        <v>6</v>
      </c>
      <c r="G393">
        <v>5</v>
      </c>
      <c r="H393" t="s">
        <v>68</v>
      </c>
      <c r="I393" t="s">
        <v>68</v>
      </c>
      <c r="J393" t="s">
        <v>4</v>
      </c>
      <c r="K393">
        <v>0.79560852050781194</v>
      </c>
      <c r="L393" s="26">
        <v>1.98162182984475E-5</v>
      </c>
      <c r="M393">
        <v>-2.4000406855350299E-2</v>
      </c>
      <c r="N393">
        <v>3.2000447161688501</v>
      </c>
    </row>
    <row r="394" spans="1:14">
      <c r="A394" s="1">
        <v>393</v>
      </c>
      <c r="B394" t="s">
        <v>1091</v>
      </c>
      <c r="C394" t="s">
        <v>1092</v>
      </c>
      <c r="D394" t="s">
        <v>1093</v>
      </c>
      <c r="E394" t="s">
        <v>1091</v>
      </c>
      <c r="F394">
        <v>6</v>
      </c>
      <c r="G394">
        <v>7</v>
      </c>
      <c r="H394" t="s">
        <v>8</v>
      </c>
      <c r="I394" t="s">
        <v>8</v>
      </c>
      <c r="J394" t="s">
        <v>4</v>
      </c>
      <c r="K394">
        <v>0.52138072252273504</v>
      </c>
      <c r="L394" s="26">
        <v>8.5896163957287602E-6</v>
      </c>
      <c r="M394">
        <v>4.12129784065427E-2</v>
      </c>
      <c r="N394">
        <v>2.1984657868617399</v>
      </c>
    </row>
    <row r="395" spans="1:14">
      <c r="A395" s="1">
        <v>394</v>
      </c>
      <c r="B395" t="s">
        <v>1094</v>
      </c>
      <c r="C395" t="s">
        <v>1095</v>
      </c>
      <c r="D395" t="s">
        <v>1096</v>
      </c>
      <c r="E395" t="s">
        <v>1094</v>
      </c>
      <c r="F395">
        <v>9</v>
      </c>
      <c r="G395">
        <v>6</v>
      </c>
      <c r="H395" t="s">
        <v>8</v>
      </c>
      <c r="I395" t="s">
        <v>8</v>
      </c>
      <c r="J395" t="s">
        <v>4</v>
      </c>
      <c r="K395">
        <v>0.82158619165420499</v>
      </c>
      <c r="L395" s="26">
        <v>2.1140636230691701E-5</v>
      </c>
      <c r="M395">
        <v>-1.852623380978E-2</v>
      </c>
      <c r="N395">
        <v>3.5698684436437298</v>
      </c>
    </row>
    <row r="396" spans="1:14">
      <c r="A396" s="1">
        <v>395</v>
      </c>
      <c r="B396" t="s">
        <v>1097</v>
      </c>
      <c r="C396" t="s">
        <v>1098</v>
      </c>
      <c r="D396" t="s">
        <v>7</v>
      </c>
      <c r="E396" t="s">
        <v>1097</v>
      </c>
      <c r="F396">
        <v>5</v>
      </c>
      <c r="G396">
        <v>3</v>
      </c>
      <c r="H396" t="s">
        <v>8</v>
      </c>
      <c r="I396" t="s">
        <v>8</v>
      </c>
      <c r="J396" t="s">
        <v>4</v>
      </c>
      <c r="K396">
        <v>0.98428887128829901</v>
      </c>
      <c r="L396" s="26">
        <v>3.02759458572799E-5</v>
      </c>
      <c r="M396">
        <v>-2.4217103566130001E-2</v>
      </c>
      <c r="N396">
        <v>3.7684381908076299</v>
      </c>
    </row>
    <row r="397" spans="1:14">
      <c r="A397" s="1">
        <v>396</v>
      </c>
      <c r="B397" t="s">
        <v>1099</v>
      </c>
      <c r="C397" t="s">
        <v>1100</v>
      </c>
      <c r="D397" t="s">
        <v>870</v>
      </c>
      <c r="E397" t="s">
        <v>1099</v>
      </c>
      <c r="F397">
        <v>5</v>
      </c>
      <c r="G397">
        <v>5</v>
      </c>
      <c r="H397" t="s">
        <v>98</v>
      </c>
      <c r="I397" t="s">
        <v>98</v>
      </c>
      <c r="J397" t="s">
        <v>4</v>
      </c>
      <c r="K397">
        <v>0.99341845512390103</v>
      </c>
      <c r="L397" s="26">
        <v>3.0840042027739703E-5</v>
      </c>
      <c r="M397">
        <v>-2.30436322022455E-2</v>
      </c>
      <c r="N397">
        <v>3.8410654064922198</v>
      </c>
    </row>
    <row r="398" spans="1:14">
      <c r="A398" s="1">
        <v>397</v>
      </c>
      <c r="B398" t="s">
        <v>1101</v>
      </c>
      <c r="C398" t="s">
        <v>1102</v>
      </c>
      <c r="D398" t="s">
        <v>1103</v>
      </c>
      <c r="E398" t="s">
        <v>1101</v>
      </c>
      <c r="F398">
        <v>12</v>
      </c>
      <c r="G398">
        <v>7</v>
      </c>
      <c r="H398" t="s">
        <v>8</v>
      </c>
      <c r="I398" t="s">
        <v>8</v>
      </c>
      <c r="J398" t="s">
        <v>4</v>
      </c>
      <c r="K398">
        <v>0.99932360649108798</v>
      </c>
      <c r="L398" s="26">
        <v>3.1207740567111698E-5</v>
      </c>
      <c r="M398">
        <v>-1.07859262868785E-2</v>
      </c>
      <c r="N398">
        <v>3.4034289758087</v>
      </c>
    </row>
    <row r="399" spans="1:14">
      <c r="A399" s="1">
        <v>398</v>
      </c>
      <c r="B399" t="s">
        <v>1104</v>
      </c>
      <c r="C399" t="s">
        <v>1105</v>
      </c>
      <c r="D399" t="s">
        <v>1106</v>
      </c>
      <c r="E399" t="s">
        <v>1104</v>
      </c>
      <c r="F399">
        <v>13</v>
      </c>
      <c r="G399">
        <v>5</v>
      </c>
      <c r="H399" t="s">
        <v>98</v>
      </c>
      <c r="I399" t="s">
        <v>98</v>
      </c>
      <c r="J399" t="s">
        <v>4</v>
      </c>
      <c r="K399">
        <v>0.80754196643829301</v>
      </c>
      <c r="L399" s="26">
        <v>2.0404876962570501E-5</v>
      </c>
      <c r="M399">
        <v>-2.77264531375998E-3</v>
      </c>
      <c r="N399">
        <v>3.4222797239063998</v>
      </c>
    </row>
    <row r="400" spans="1:14">
      <c r="A400" s="1">
        <v>399</v>
      </c>
      <c r="B400" t="s">
        <v>1107</v>
      </c>
      <c r="C400" t="s">
        <v>1108</v>
      </c>
      <c r="D400" t="s">
        <v>116</v>
      </c>
      <c r="E400" t="s">
        <v>1107</v>
      </c>
      <c r="F400">
        <v>9</v>
      </c>
      <c r="G400">
        <v>4</v>
      </c>
      <c r="H400" t="s">
        <v>8</v>
      </c>
      <c r="I400" t="s">
        <v>8</v>
      </c>
      <c r="J400" t="s">
        <v>4</v>
      </c>
      <c r="K400">
        <v>0.74422544240951505</v>
      </c>
      <c r="L400" s="26">
        <v>1.7335725616381999E-5</v>
      </c>
      <c r="M400">
        <v>1.6802950656686001E-2</v>
      </c>
      <c r="N400">
        <v>2.8783490158977001</v>
      </c>
    </row>
    <row r="401" spans="1:14">
      <c r="A401" s="1">
        <v>400</v>
      </c>
      <c r="B401" t="s">
        <v>1109</v>
      </c>
      <c r="C401" t="s">
        <v>1110</v>
      </c>
      <c r="D401" t="s">
        <v>88</v>
      </c>
      <c r="E401" t="s">
        <v>1109</v>
      </c>
      <c r="F401">
        <v>5</v>
      </c>
      <c r="G401">
        <v>4</v>
      </c>
      <c r="H401" t="s">
        <v>8</v>
      </c>
      <c r="I401" t="s">
        <v>8</v>
      </c>
      <c r="J401" t="s">
        <v>4</v>
      </c>
      <c r="K401">
        <v>0.79950064420699996</v>
      </c>
      <c r="L401" s="26">
        <v>2.0051314324054999E-5</v>
      </c>
      <c r="M401">
        <v>1.2279986433554701E-2</v>
      </c>
      <c r="N401">
        <v>3.3390699508952402</v>
      </c>
    </row>
    <row r="402" spans="1:14">
      <c r="A402" s="1">
        <v>401</v>
      </c>
      <c r="B402" t="s">
        <v>1111</v>
      </c>
      <c r="C402" t="s">
        <v>1112</v>
      </c>
      <c r="D402" t="s">
        <v>1113</v>
      </c>
      <c r="E402" t="s">
        <v>1111</v>
      </c>
      <c r="F402">
        <v>5</v>
      </c>
      <c r="G402">
        <v>5</v>
      </c>
      <c r="H402" t="s">
        <v>8</v>
      </c>
      <c r="I402" t="s">
        <v>8</v>
      </c>
      <c r="J402" t="s">
        <v>4</v>
      </c>
      <c r="K402">
        <v>0.89749532938003496</v>
      </c>
      <c r="L402" s="26">
        <v>2.5180992775583001E-5</v>
      </c>
      <c r="M402">
        <v>3.5593892634672303E-2</v>
      </c>
      <c r="N402">
        <v>3.3758142563244502</v>
      </c>
    </row>
    <row r="403" spans="1:14">
      <c r="A403" s="1">
        <v>402</v>
      </c>
      <c r="B403" t="s">
        <v>1114</v>
      </c>
      <c r="C403" t="s">
        <v>1115</v>
      </c>
      <c r="D403" t="s">
        <v>1116</v>
      </c>
      <c r="E403" t="s">
        <v>1114</v>
      </c>
      <c r="F403">
        <v>4</v>
      </c>
      <c r="G403">
        <v>5</v>
      </c>
      <c r="H403" t="s">
        <v>8</v>
      </c>
      <c r="I403" t="s">
        <v>8</v>
      </c>
      <c r="J403" t="s">
        <v>4</v>
      </c>
      <c r="K403">
        <v>0.66114521026611295</v>
      </c>
      <c r="L403" s="26">
        <v>1.37301804703176E-5</v>
      </c>
      <c r="M403">
        <v>2.0856985173184101E-2</v>
      </c>
      <c r="N403">
        <v>3.38623827532227</v>
      </c>
    </row>
    <row r="404" spans="1:14">
      <c r="A404" s="1">
        <v>403</v>
      </c>
      <c r="B404" t="s">
        <v>1117</v>
      </c>
      <c r="C404" t="s">
        <v>1118</v>
      </c>
      <c r="D404" t="s">
        <v>1119</v>
      </c>
      <c r="E404" t="s">
        <v>1117</v>
      </c>
      <c r="F404">
        <v>4</v>
      </c>
      <c r="G404">
        <v>5</v>
      </c>
      <c r="H404" t="s">
        <v>8</v>
      </c>
      <c r="I404" t="s">
        <v>8</v>
      </c>
      <c r="J404" t="s">
        <v>4</v>
      </c>
      <c r="K404">
        <v>0.86124402284622104</v>
      </c>
      <c r="L404" s="26">
        <v>2.31905315701598E-5</v>
      </c>
      <c r="M404">
        <v>9.3935725024607494E-3</v>
      </c>
      <c r="N404">
        <v>3.30454441624072</v>
      </c>
    </row>
    <row r="405" spans="1:14">
      <c r="A405" s="1">
        <v>404</v>
      </c>
      <c r="B405" t="s">
        <v>1120</v>
      </c>
      <c r="C405" t="s">
        <v>1121</v>
      </c>
      <c r="D405" t="s">
        <v>1122</v>
      </c>
      <c r="E405" t="s">
        <v>1120</v>
      </c>
      <c r="F405">
        <v>5</v>
      </c>
      <c r="G405">
        <v>7</v>
      </c>
      <c r="H405" t="s">
        <v>98</v>
      </c>
      <c r="I405" t="s">
        <v>98</v>
      </c>
      <c r="J405" t="s">
        <v>4</v>
      </c>
      <c r="K405">
        <v>0.89747327566146795</v>
      </c>
      <c r="L405" s="26">
        <v>2.51833249287138E-5</v>
      </c>
      <c r="M405">
        <v>-8.7962787794282297E-3</v>
      </c>
      <c r="N405">
        <v>3.5528420632235398</v>
      </c>
    </row>
    <row r="406" spans="1:14">
      <c r="A406" s="1">
        <v>405</v>
      </c>
      <c r="B406" t="s">
        <v>1123</v>
      </c>
      <c r="C406" t="s">
        <v>1124</v>
      </c>
      <c r="D406" t="s">
        <v>28</v>
      </c>
      <c r="E406" t="s">
        <v>1123</v>
      </c>
      <c r="F406">
        <v>6</v>
      </c>
      <c r="G406">
        <v>3</v>
      </c>
      <c r="H406" t="s">
        <v>8</v>
      </c>
      <c r="I406" t="s">
        <v>8</v>
      </c>
      <c r="J406" t="s">
        <v>4</v>
      </c>
      <c r="K406">
        <v>0.57104110717773404</v>
      </c>
      <c r="L406" s="26">
        <v>1.06259025987076E-5</v>
      </c>
      <c r="M406">
        <v>1.95081837607702E-3</v>
      </c>
      <c r="N406">
        <v>3.3510716094509698</v>
      </c>
    </row>
    <row r="407" spans="1:14">
      <c r="A407" s="1">
        <v>406</v>
      </c>
      <c r="B407" t="s">
        <v>1125</v>
      </c>
      <c r="C407" t="s">
        <v>1126</v>
      </c>
      <c r="D407" t="s">
        <v>47</v>
      </c>
      <c r="E407" t="s">
        <v>1125</v>
      </c>
      <c r="F407">
        <v>4</v>
      </c>
      <c r="G407">
        <v>2</v>
      </c>
      <c r="H407" t="s">
        <v>12</v>
      </c>
      <c r="I407" t="s">
        <v>12</v>
      </c>
      <c r="J407" t="s">
        <v>4</v>
      </c>
      <c r="K407">
        <v>0.974184811115264</v>
      </c>
      <c r="L407" s="26">
        <v>2.96578709563106E-5</v>
      </c>
      <c r="M407">
        <v>-5.6306935069976296E-3</v>
      </c>
      <c r="N407">
        <v>3.67694172563573</v>
      </c>
    </row>
    <row r="408" spans="1:14">
      <c r="A408" s="1">
        <v>407</v>
      </c>
      <c r="B408" t="s">
        <v>1127</v>
      </c>
      <c r="C408" t="s">
        <v>1128</v>
      </c>
      <c r="D408" t="s">
        <v>1129</v>
      </c>
      <c r="E408" t="s">
        <v>1127</v>
      </c>
      <c r="F408">
        <v>5</v>
      </c>
      <c r="G408">
        <v>3</v>
      </c>
      <c r="H408" t="s">
        <v>8</v>
      </c>
      <c r="I408" t="s">
        <v>8</v>
      </c>
      <c r="J408" t="s">
        <v>4</v>
      </c>
      <c r="K408">
        <v>0.15025015175342499</v>
      </c>
      <c r="L408" s="26">
        <v>1.3916156489043899E-6</v>
      </c>
      <c r="M408">
        <v>3.42715749125517E-2</v>
      </c>
      <c r="N408">
        <v>3.0936381537213999</v>
      </c>
    </row>
    <row r="409" spans="1:14">
      <c r="A409" s="1">
        <v>408</v>
      </c>
      <c r="B409" t="s">
        <v>1130</v>
      </c>
      <c r="C409" t="s">
        <v>1131</v>
      </c>
      <c r="D409" t="s">
        <v>1132</v>
      </c>
      <c r="E409" t="s">
        <v>1130</v>
      </c>
      <c r="F409">
        <v>5</v>
      </c>
      <c r="G409">
        <v>5</v>
      </c>
      <c r="H409" t="s">
        <v>8</v>
      </c>
      <c r="I409" t="s">
        <v>8</v>
      </c>
      <c r="J409" t="s">
        <v>4</v>
      </c>
      <c r="K409">
        <v>0.99438124895095803</v>
      </c>
      <c r="L409" s="26">
        <v>3.0900348090738199E-5</v>
      </c>
      <c r="M409">
        <v>2.8166234709370699E-2</v>
      </c>
      <c r="N409">
        <v>3.3173813566267398</v>
      </c>
    </row>
    <row r="410" spans="1:14">
      <c r="A410" s="1">
        <v>409</v>
      </c>
      <c r="B410" t="s">
        <v>1133</v>
      </c>
      <c r="C410" t="s">
        <v>1134</v>
      </c>
      <c r="D410" t="s">
        <v>1129</v>
      </c>
      <c r="E410" t="s">
        <v>1133</v>
      </c>
      <c r="F410">
        <v>5</v>
      </c>
      <c r="G410">
        <v>3</v>
      </c>
      <c r="H410" t="s">
        <v>8</v>
      </c>
      <c r="I410" t="s">
        <v>8</v>
      </c>
      <c r="J410" t="s">
        <v>4</v>
      </c>
      <c r="K410">
        <v>3.5558059811592102E-2</v>
      </c>
      <c r="L410" s="26">
        <v>1.49261836961659E-7</v>
      </c>
      <c r="M410">
        <v>4.0333503996706099E-2</v>
      </c>
      <c r="N410">
        <v>2.502480717778</v>
      </c>
    </row>
    <row r="411" spans="1:14">
      <c r="A411" s="1">
        <v>410</v>
      </c>
      <c r="B411" t="s">
        <v>1135</v>
      </c>
      <c r="C411" t="s">
        <v>1136</v>
      </c>
      <c r="D411" t="s">
        <v>1137</v>
      </c>
      <c r="E411" t="s">
        <v>2346</v>
      </c>
      <c r="F411">
        <v>4</v>
      </c>
      <c r="G411">
        <v>4</v>
      </c>
      <c r="H411" t="s">
        <v>8</v>
      </c>
      <c r="I411" t="s">
        <v>8</v>
      </c>
      <c r="J411" t="s">
        <v>180</v>
      </c>
      <c r="K411">
        <v>0.161070302128791</v>
      </c>
      <c r="L411" s="26">
        <v>1.1370074316383499E-6</v>
      </c>
      <c r="M411">
        <v>-1.1800598020244E-2</v>
      </c>
      <c r="N411">
        <v>3.0321145138003001</v>
      </c>
    </row>
    <row r="412" spans="1:14">
      <c r="A412" s="1">
        <v>411</v>
      </c>
      <c r="B412" t="s">
        <v>1138</v>
      </c>
      <c r="C412" t="s">
        <v>1139</v>
      </c>
      <c r="D412" t="s">
        <v>1140</v>
      </c>
      <c r="E412" t="s">
        <v>1141</v>
      </c>
      <c r="F412">
        <v>4</v>
      </c>
      <c r="G412">
        <v>9</v>
      </c>
      <c r="H412" t="s">
        <v>8</v>
      </c>
      <c r="I412" t="s">
        <v>68</v>
      </c>
      <c r="J412" t="s">
        <v>180</v>
      </c>
      <c r="K412">
        <v>0.33813968300819303</v>
      </c>
      <c r="L412" s="26">
        <v>4.0519205448921198E-6</v>
      </c>
      <c r="M412">
        <v>-2.96766594727557E-2</v>
      </c>
      <c r="N412">
        <v>3.1185651932854301</v>
      </c>
    </row>
    <row r="413" spans="1:14">
      <c r="A413" s="1">
        <v>412</v>
      </c>
      <c r="B413" t="s">
        <v>1142</v>
      </c>
      <c r="C413" t="s">
        <v>1143</v>
      </c>
      <c r="D413" t="s">
        <v>356</v>
      </c>
      <c r="E413" t="s">
        <v>1142</v>
      </c>
      <c r="F413">
        <v>5</v>
      </c>
      <c r="G413">
        <v>3</v>
      </c>
      <c r="H413" t="s">
        <v>8</v>
      </c>
      <c r="I413" t="s">
        <v>8</v>
      </c>
      <c r="J413" t="s">
        <v>4</v>
      </c>
      <c r="K413">
        <v>0.84293258190154996</v>
      </c>
      <c r="L413" s="26">
        <v>2.2208510867299701E-5</v>
      </c>
      <c r="M413">
        <v>8.1939870517260208E-3</v>
      </c>
      <c r="N413">
        <v>3.2064622623539698</v>
      </c>
    </row>
    <row r="414" spans="1:14">
      <c r="A414" s="1">
        <v>413</v>
      </c>
      <c r="B414" t="s">
        <v>1144</v>
      </c>
      <c r="C414" t="s">
        <v>1145</v>
      </c>
      <c r="D414" t="s">
        <v>1146</v>
      </c>
      <c r="E414" t="s">
        <v>1144</v>
      </c>
      <c r="F414">
        <v>5</v>
      </c>
      <c r="G414">
        <v>6</v>
      </c>
      <c r="H414" t="s">
        <v>8</v>
      </c>
      <c r="I414" t="s">
        <v>8</v>
      </c>
      <c r="J414" t="s">
        <v>4</v>
      </c>
      <c r="K414">
        <v>0.84484285116195601</v>
      </c>
      <c r="L414" s="26">
        <v>2.2324220798970001E-5</v>
      </c>
      <c r="M414">
        <v>8.0722207459302808E-3</v>
      </c>
      <c r="N414">
        <v>3.40642353975193</v>
      </c>
    </row>
    <row r="415" spans="1:14">
      <c r="A415" s="1">
        <v>414</v>
      </c>
      <c r="B415" t="s">
        <v>1147</v>
      </c>
      <c r="C415" t="s">
        <v>1148</v>
      </c>
      <c r="D415" t="s">
        <v>1149</v>
      </c>
      <c r="E415" t="s">
        <v>1147</v>
      </c>
      <c r="F415">
        <v>5</v>
      </c>
      <c r="G415">
        <v>4</v>
      </c>
      <c r="H415" t="s">
        <v>8</v>
      </c>
      <c r="I415" t="s">
        <v>8</v>
      </c>
      <c r="J415" t="s">
        <v>4</v>
      </c>
      <c r="K415">
        <v>0.87835949659347501</v>
      </c>
      <c r="L415" s="26">
        <v>2.4112960421491901E-5</v>
      </c>
      <c r="M415">
        <v>4.5160208772969598E-3</v>
      </c>
      <c r="N415">
        <v>3.3859580496875301</v>
      </c>
    </row>
    <row r="416" spans="1:14">
      <c r="A416" s="1">
        <v>415</v>
      </c>
      <c r="B416" t="s">
        <v>1150</v>
      </c>
      <c r="C416" t="s">
        <v>1151</v>
      </c>
      <c r="D416" t="s">
        <v>64</v>
      </c>
      <c r="E416" t="s">
        <v>2347</v>
      </c>
      <c r="F416">
        <v>6</v>
      </c>
      <c r="G416">
        <v>6</v>
      </c>
      <c r="H416" t="s">
        <v>8</v>
      </c>
      <c r="I416" t="s">
        <v>8</v>
      </c>
      <c r="J416" t="s">
        <v>180</v>
      </c>
      <c r="K416">
        <v>0.27500161528587302</v>
      </c>
      <c r="L416" s="26">
        <v>3.7867584548055802E-6</v>
      </c>
      <c r="M416">
        <v>-1.8811183235051401E-2</v>
      </c>
      <c r="N416">
        <v>3.6968484197155398</v>
      </c>
    </row>
    <row r="417" spans="1:14">
      <c r="A417" s="1">
        <v>416</v>
      </c>
      <c r="B417" t="s">
        <v>1152</v>
      </c>
      <c r="C417" t="s">
        <v>1153</v>
      </c>
      <c r="D417" t="s">
        <v>1116</v>
      </c>
      <c r="E417" t="s">
        <v>1152</v>
      </c>
      <c r="F417">
        <v>5</v>
      </c>
      <c r="G417">
        <v>5</v>
      </c>
      <c r="H417" t="s">
        <v>8</v>
      </c>
      <c r="I417" t="s">
        <v>8</v>
      </c>
      <c r="J417" t="s">
        <v>4</v>
      </c>
      <c r="K417">
        <v>0.45946806669235202</v>
      </c>
      <c r="L417" s="26">
        <v>6.6367788754836696E-6</v>
      </c>
      <c r="M417">
        <v>9.5623530044797091E-3</v>
      </c>
      <c r="N417">
        <v>3.3544222098407999</v>
      </c>
    </row>
    <row r="418" spans="1:14">
      <c r="A418" s="1">
        <v>417</v>
      </c>
      <c r="B418" t="s">
        <v>1154</v>
      </c>
      <c r="C418" t="s">
        <v>1155</v>
      </c>
      <c r="D418" t="s">
        <v>295</v>
      </c>
      <c r="E418" t="s">
        <v>1154</v>
      </c>
      <c r="F418">
        <v>5</v>
      </c>
      <c r="G418">
        <v>5</v>
      </c>
      <c r="H418" t="s">
        <v>8</v>
      </c>
      <c r="I418" t="s">
        <v>8</v>
      </c>
      <c r="J418" t="s">
        <v>4</v>
      </c>
      <c r="K418">
        <v>0.88898706436157204</v>
      </c>
      <c r="L418" s="26">
        <v>2.47758039724227E-5</v>
      </c>
      <c r="M418">
        <v>-1.874294342322E-3</v>
      </c>
      <c r="N418">
        <v>3.4638128077633001</v>
      </c>
    </row>
    <row r="419" spans="1:14">
      <c r="A419" s="1">
        <v>418</v>
      </c>
      <c r="B419" t="s">
        <v>1156</v>
      </c>
      <c r="C419" t="s">
        <v>1157</v>
      </c>
      <c r="D419" t="s">
        <v>1158</v>
      </c>
      <c r="E419" t="s">
        <v>1156</v>
      </c>
      <c r="F419">
        <v>5</v>
      </c>
      <c r="G419">
        <v>3</v>
      </c>
      <c r="H419" t="s">
        <v>8</v>
      </c>
      <c r="I419" t="s">
        <v>8</v>
      </c>
      <c r="J419" t="s">
        <v>4</v>
      </c>
      <c r="K419">
        <v>0.62299036979675204</v>
      </c>
      <c r="L419" s="26">
        <v>1.23627612862102E-5</v>
      </c>
      <c r="M419">
        <v>3.1960969720102997E-2</v>
      </c>
      <c r="N419">
        <v>3.00221536761984</v>
      </c>
    </row>
    <row r="420" spans="1:14">
      <c r="A420" s="1">
        <v>419</v>
      </c>
      <c r="B420" t="s">
        <v>1159</v>
      </c>
      <c r="C420" t="s">
        <v>1160</v>
      </c>
      <c r="D420" t="s">
        <v>1161</v>
      </c>
      <c r="E420" t="s">
        <v>1159</v>
      </c>
      <c r="F420">
        <v>5</v>
      </c>
      <c r="G420">
        <v>4</v>
      </c>
      <c r="H420" t="s">
        <v>8</v>
      </c>
      <c r="I420" t="s">
        <v>8</v>
      </c>
      <c r="J420" t="s">
        <v>4</v>
      </c>
      <c r="K420">
        <v>0.73846888542175204</v>
      </c>
      <c r="L420" s="26">
        <v>1.7051667269112299E-5</v>
      </c>
      <c r="M420">
        <v>1.53889047576853E-2</v>
      </c>
      <c r="N420">
        <v>3.1761305173504</v>
      </c>
    </row>
    <row r="421" spans="1:14">
      <c r="A421" s="1">
        <v>420</v>
      </c>
      <c r="B421" t="s">
        <v>1162</v>
      </c>
      <c r="C421" t="s">
        <v>1163</v>
      </c>
      <c r="D421" t="s">
        <v>289</v>
      </c>
      <c r="E421" t="s">
        <v>1162</v>
      </c>
      <c r="F421">
        <v>5</v>
      </c>
      <c r="G421">
        <v>4</v>
      </c>
      <c r="H421" t="s">
        <v>8</v>
      </c>
      <c r="I421" t="s">
        <v>8</v>
      </c>
      <c r="J421" t="s">
        <v>4</v>
      </c>
      <c r="K421">
        <v>0.425559312105178</v>
      </c>
      <c r="L421" s="26">
        <v>5.99657824750675E-6</v>
      </c>
      <c r="M421">
        <v>4.8434668426523303E-2</v>
      </c>
      <c r="N421">
        <v>2.9532472094762499</v>
      </c>
    </row>
    <row r="422" spans="1:14">
      <c r="A422" s="1">
        <v>421</v>
      </c>
      <c r="B422" t="s">
        <v>1164</v>
      </c>
      <c r="C422" t="s">
        <v>1165</v>
      </c>
      <c r="D422" t="s">
        <v>1166</v>
      </c>
      <c r="E422" t="s">
        <v>1164</v>
      </c>
      <c r="F422">
        <v>5</v>
      </c>
      <c r="G422">
        <v>5</v>
      </c>
      <c r="H422" t="s">
        <v>8</v>
      </c>
      <c r="I422" t="s">
        <v>8</v>
      </c>
      <c r="J422" t="s">
        <v>4</v>
      </c>
      <c r="K422">
        <v>0.85449475049972501</v>
      </c>
      <c r="L422" s="26">
        <v>2.2825809076937601E-5</v>
      </c>
      <c r="M422">
        <v>1.9122927542678501E-2</v>
      </c>
      <c r="N422">
        <v>3.5679262090100101</v>
      </c>
    </row>
    <row r="423" spans="1:14">
      <c r="A423" s="1">
        <v>422</v>
      </c>
      <c r="B423" t="s">
        <v>1167</v>
      </c>
      <c r="C423" t="s">
        <v>1168</v>
      </c>
      <c r="D423" t="s">
        <v>1169</v>
      </c>
      <c r="E423" t="s">
        <v>1167</v>
      </c>
      <c r="F423">
        <v>5</v>
      </c>
      <c r="G423">
        <v>4</v>
      </c>
      <c r="H423" t="s">
        <v>8</v>
      </c>
      <c r="I423" t="s">
        <v>8</v>
      </c>
      <c r="J423" t="s">
        <v>4</v>
      </c>
      <c r="K423">
        <v>0.92212885618209794</v>
      </c>
      <c r="L423" s="26">
        <v>2.65758030330493E-5</v>
      </c>
      <c r="M423">
        <v>2.3630232992246599E-3</v>
      </c>
      <c r="N423">
        <v>3.5194571259042302</v>
      </c>
    </row>
    <row r="424" spans="1:14">
      <c r="A424" s="1">
        <v>423</v>
      </c>
      <c r="B424" t="s">
        <v>1170</v>
      </c>
      <c r="C424" t="s">
        <v>1171</v>
      </c>
      <c r="D424" t="s">
        <v>1172</v>
      </c>
      <c r="E424" t="s">
        <v>1170</v>
      </c>
      <c r="F424">
        <v>5</v>
      </c>
      <c r="G424">
        <v>5</v>
      </c>
      <c r="H424" t="s">
        <v>8</v>
      </c>
      <c r="I424" t="s">
        <v>8</v>
      </c>
      <c r="J424" t="s">
        <v>4</v>
      </c>
      <c r="K424">
        <v>0.99894672632217396</v>
      </c>
      <c r="L424" s="26">
        <v>3.1184204500931398E-5</v>
      </c>
      <c r="M424">
        <v>-2.3334064268993801E-3</v>
      </c>
      <c r="N424">
        <v>2.5106731067833401</v>
      </c>
    </row>
    <row r="425" spans="1:14">
      <c r="A425" s="1">
        <v>424</v>
      </c>
      <c r="B425" t="s">
        <v>1173</v>
      </c>
      <c r="C425" t="s">
        <v>1174</v>
      </c>
      <c r="D425" t="s">
        <v>1175</v>
      </c>
      <c r="E425" t="s">
        <v>1173</v>
      </c>
      <c r="F425">
        <v>6</v>
      </c>
      <c r="G425">
        <v>6</v>
      </c>
      <c r="H425" t="s">
        <v>8</v>
      </c>
      <c r="I425" t="s">
        <v>8</v>
      </c>
      <c r="J425" t="s">
        <v>4</v>
      </c>
      <c r="K425">
        <v>0.99915587902069003</v>
      </c>
      <c r="L425" s="26">
        <v>3.1197265560111803E-5</v>
      </c>
      <c r="M425">
        <v>-2.6769189028641401E-3</v>
      </c>
      <c r="N425">
        <v>2.8630073029327301</v>
      </c>
    </row>
    <row r="426" spans="1:14">
      <c r="A426" s="1">
        <v>425</v>
      </c>
      <c r="B426" t="s">
        <v>1176</v>
      </c>
      <c r="C426" t="s">
        <v>1177</v>
      </c>
      <c r="D426" t="s">
        <v>156</v>
      </c>
      <c r="E426" t="s">
        <v>1176</v>
      </c>
      <c r="F426">
        <v>5</v>
      </c>
      <c r="G426">
        <v>4</v>
      </c>
      <c r="H426" t="s">
        <v>8</v>
      </c>
      <c r="I426" t="s">
        <v>8</v>
      </c>
      <c r="J426" t="s">
        <v>4</v>
      </c>
      <c r="K426">
        <v>0.99826651811599698</v>
      </c>
      <c r="L426" s="26">
        <v>3.1141761069203799E-5</v>
      </c>
      <c r="M426">
        <v>-1.46960187762203E-2</v>
      </c>
      <c r="N426">
        <v>2.9529961529562598</v>
      </c>
    </row>
    <row r="427" spans="1:14">
      <c r="A427" s="1">
        <v>426</v>
      </c>
      <c r="B427" t="s">
        <v>1178</v>
      </c>
      <c r="C427" t="s">
        <v>1179</v>
      </c>
      <c r="D427" t="s">
        <v>1180</v>
      </c>
      <c r="E427" t="s">
        <v>1178</v>
      </c>
      <c r="F427">
        <v>4</v>
      </c>
      <c r="G427">
        <v>8</v>
      </c>
      <c r="H427" t="s">
        <v>98</v>
      </c>
      <c r="I427" t="s">
        <v>98</v>
      </c>
      <c r="J427" t="s">
        <v>4</v>
      </c>
      <c r="K427">
        <v>0.58290141820907504</v>
      </c>
      <c r="L427" s="26">
        <v>1.1122665941278301E-5</v>
      </c>
      <c r="M427">
        <v>-1.1833594494177599E-2</v>
      </c>
      <c r="N427">
        <v>3.3559718788189801</v>
      </c>
    </row>
    <row r="428" spans="1:14">
      <c r="A428" s="1">
        <v>427</v>
      </c>
      <c r="B428" t="s">
        <v>1181</v>
      </c>
      <c r="C428" t="s">
        <v>1182</v>
      </c>
      <c r="D428" t="s">
        <v>600</v>
      </c>
      <c r="E428" t="s">
        <v>1181</v>
      </c>
      <c r="F428">
        <v>4</v>
      </c>
      <c r="G428">
        <v>5</v>
      </c>
      <c r="H428" t="s">
        <v>8</v>
      </c>
      <c r="I428" t="s">
        <v>8</v>
      </c>
      <c r="J428" t="s">
        <v>4</v>
      </c>
      <c r="K428">
        <v>0.381242305040359</v>
      </c>
      <c r="L428" s="26">
        <v>4.6959099419398599E-6</v>
      </c>
      <c r="M428">
        <v>4.2351956214830002E-3</v>
      </c>
      <c r="N428">
        <v>3.6036614734510901</v>
      </c>
    </row>
    <row r="429" spans="1:14">
      <c r="A429" s="1">
        <v>428</v>
      </c>
      <c r="B429" t="s">
        <v>1183</v>
      </c>
      <c r="C429" t="s">
        <v>1184</v>
      </c>
      <c r="D429" t="s">
        <v>1185</v>
      </c>
      <c r="E429" t="s">
        <v>1183</v>
      </c>
      <c r="F429">
        <v>6</v>
      </c>
      <c r="G429">
        <v>3</v>
      </c>
      <c r="H429" t="s">
        <v>68</v>
      </c>
      <c r="I429" t="s">
        <v>68</v>
      </c>
      <c r="J429" t="s">
        <v>4</v>
      </c>
      <c r="K429">
        <v>0.96405166387557895</v>
      </c>
      <c r="L429" s="26">
        <v>2.90482067456E-5</v>
      </c>
      <c r="M429">
        <v>-1.96393997976755E-2</v>
      </c>
      <c r="N429">
        <v>3.5223746873053901</v>
      </c>
    </row>
    <row r="430" spans="1:14">
      <c r="A430" s="1">
        <v>429</v>
      </c>
      <c r="B430" t="s">
        <v>1186</v>
      </c>
      <c r="C430" t="s">
        <v>1187</v>
      </c>
      <c r="D430" t="s">
        <v>1188</v>
      </c>
      <c r="E430" t="s">
        <v>1186</v>
      </c>
      <c r="F430">
        <v>7</v>
      </c>
      <c r="G430">
        <v>4</v>
      </c>
      <c r="H430" t="s">
        <v>8</v>
      </c>
      <c r="I430" t="s">
        <v>8</v>
      </c>
      <c r="J430" t="s">
        <v>4</v>
      </c>
      <c r="K430">
        <v>0.94675880670547397</v>
      </c>
      <c r="L430" s="26">
        <v>2.8013269502506999E-5</v>
      </c>
      <c r="M430">
        <v>-3.86737404477344E-3</v>
      </c>
      <c r="N430">
        <v>3.7377738271688998</v>
      </c>
    </row>
    <row r="431" spans="1:14">
      <c r="A431" s="1">
        <v>430</v>
      </c>
      <c r="B431" t="s">
        <v>1189</v>
      </c>
      <c r="C431" t="s">
        <v>1190</v>
      </c>
      <c r="D431" t="s">
        <v>1191</v>
      </c>
      <c r="E431" t="s">
        <v>1189</v>
      </c>
      <c r="F431">
        <v>5</v>
      </c>
      <c r="G431">
        <v>3</v>
      </c>
      <c r="H431" t="s">
        <v>98</v>
      </c>
      <c r="I431" t="s">
        <v>98</v>
      </c>
      <c r="J431" t="s">
        <v>4</v>
      </c>
      <c r="K431">
        <v>0.89267957210540705</v>
      </c>
      <c r="L431" s="26">
        <v>2.4938792547252501E-5</v>
      </c>
      <c r="M431">
        <v>1.2646183325728E-2</v>
      </c>
      <c r="N431">
        <v>3.69787344598755</v>
      </c>
    </row>
    <row r="432" spans="1:14">
      <c r="A432" s="1">
        <v>431</v>
      </c>
      <c r="B432" t="s">
        <v>1192</v>
      </c>
      <c r="C432" t="s">
        <v>1193</v>
      </c>
      <c r="D432" t="s">
        <v>1194</v>
      </c>
      <c r="E432" t="s">
        <v>1192</v>
      </c>
      <c r="F432">
        <v>4</v>
      </c>
      <c r="G432">
        <v>3</v>
      </c>
      <c r="H432" t="s">
        <v>8</v>
      </c>
      <c r="I432" t="s">
        <v>8</v>
      </c>
      <c r="J432" t="s">
        <v>4</v>
      </c>
      <c r="K432">
        <v>0.94257879257202104</v>
      </c>
      <c r="L432" s="26">
        <v>2.77674923875691E-5</v>
      </c>
      <c r="M432">
        <v>-2.5808516965284401E-2</v>
      </c>
      <c r="N432">
        <v>3.65188200248283</v>
      </c>
    </row>
    <row r="433" spans="1:14">
      <c r="A433" s="1">
        <v>432</v>
      </c>
      <c r="B433" t="s">
        <v>1195</v>
      </c>
      <c r="C433" t="s">
        <v>1196</v>
      </c>
      <c r="D433" t="s">
        <v>1197</v>
      </c>
      <c r="E433" t="s">
        <v>1195</v>
      </c>
      <c r="F433">
        <v>6</v>
      </c>
      <c r="G433">
        <v>8</v>
      </c>
      <c r="H433" t="s">
        <v>8</v>
      </c>
      <c r="I433" t="s">
        <v>8</v>
      </c>
      <c r="J433" t="s">
        <v>4</v>
      </c>
      <c r="K433">
        <v>0.98325836658477705</v>
      </c>
      <c r="L433" s="26">
        <v>3.02180963600179E-5</v>
      </c>
      <c r="M433">
        <v>-3.1875765132806301E-2</v>
      </c>
      <c r="N433">
        <v>3.1267577580340702</v>
      </c>
    </row>
    <row r="434" spans="1:14">
      <c r="A434" s="1">
        <v>433</v>
      </c>
      <c r="B434" t="s">
        <v>1198</v>
      </c>
      <c r="C434" t="s">
        <v>1199</v>
      </c>
      <c r="D434" t="s">
        <v>1200</v>
      </c>
      <c r="E434" t="s">
        <v>1198</v>
      </c>
      <c r="F434">
        <v>8</v>
      </c>
      <c r="G434">
        <v>6</v>
      </c>
      <c r="H434" t="s">
        <v>8</v>
      </c>
      <c r="I434" t="s">
        <v>8</v>
      </c>
      <c r="J434" t="s">
        <v>4</v>
      </c>
      <c r="K434">
        <v>0.85987186431884699</v>
      </c>
      <c r="L434" s="26">
        <v>2.3111818229240699E-5</v>
      </c>
      <c r="M434">
        <v>-3.1231089814411899E-3</v>
      </c>
      <c r="N434">
        <v>3.3564956012266598</v>
      </c>
    </row>
    <row r="435" spans="1:14">
      <c r="A435" s="1">
        <v>434</v>
      </c>
      <c r="B435" t="s">
        <v>1201</v>
      </c>
      <c r="C435" t="s">
        <v>1202</v>
      </c>
      <c r="D435" t="s">
        <v>413</v>
      </c>
      <c r="E435" t="s">
        <v>1201</v>
      </c>
      <c r="F435">
        <v>8</v>
      </c>
      <c r="G435">
        <v>5</v>
      </c>
      <c r="H435" t="s">
        <v>8</v>
      </c>
      <c r="I435" t="s">
        <v>8</v>
      </c>
      <c r="J435" t="s">
        <v>4</v>
      </c>
      <c r="K435">
        <v>0.93618100881576505</v>
      </c>
      <c r="L435" s="26">
        <v>2.7390767281022701E-5</v>
      </c>
      <c r="M435">
        <v>1.51667556274901E-2</v>
      </c>
      <c r="N435">
        <v>3.6347110709774499</v>
      </c>
    </row>
    <row r="436" spans="1:14">
      <c r="A436" s="1">
        <v>435</v>
      </c>
      <c r="B436" t="s">
        <v>1203</v>
      </c>
      <c r="C436" t="s">
        <v>1204</v>
      </c>
      <c r="D436" t="s">
        <v>104</v>
      </c>
      <c r="E436" t="s">
        <v>1203</v>
      </c>
      <c r="F436">
        <v>5</v>
      </c>
      <c r="G436">
        <v>3</v>
      </c>
      <c r="H436" t="s">
        <v>8</v>
      </c>
      <c r="I436" t="s">
        <v>8</v>
      </c>
      <c r="J436" t="s">
        <v>4</v>
      </c>
      <c r="K436">
        <v>0.92571365833282404</v>
      </c>
      <c r="L436" s="26">
        <v>2.6822002698876101E-5</v>
      </c>
      <c r="M436">
        <v>2.3490954455276301E-2</v>
      </c>
      <c r="N436">
        <v>3.5337647755443302</v>
      </c>
    </row>
    <row r="437" spans="1:14">
      <c r="A437" s="1">
        <v>436</v>
      </c>
      <c r="B437" t="s">
        <v>1205</v>
      </c>
      <c r="C437" t="s">
        <v>1206</v>
      </c>
      <c r="D437" t="s">
        <v>976</v>
      </c>
      <c r="E437" t="s">
        <v>1205</v>
      </c>
      <c r="F437">
        <v>5</v>
      </c>
      <c r="G437">
        <v>8</v>
      </c>
      <c r="H437" t="s">
        <v>8</v>
      </c>
      <c r="I437" t="s">
        <v>8</v>
      </c>
      <c r="J437" t="s">
        <v>4</v>
      </c>
      <c r="K437">
        <v>0.81412327289581299</v>
      </c>
      <c r="L437" s="26">
        <v>2.07333627752161E-5</v>
      </c>
      <c r="M437">
        <v>-5.2548506326388598E-3</v>
      </c>
      <c r="N437">
        <v>2.8303341224863701</v>
      </c>
    </row>
    <row r="438" spans="1:14">
      <c r="A438" s="1">
        <v>437</v>
      </c>
      <c r="B438" t="s">
        <v>1207</v>
      </c>
      <c r="C438" t="s">
        <v>1208</v>
      </c>
      <c r="D438" t="s">
        <v>168</v>
      </c>
      <c r="E438" t="s">
        <v>1207</v>
      </c>
      <c r="F438">
        <v>7</v>
      </c>
      <c r="G438">
        <v>4</v>
      </c>
      <c r="H438" t="s">
        <v>3</v>
      </c>
      <c r="I438" t="s">
        <v>3</v>
      </c>
      <c r="J438" t="s">
        <v>4</v>
      </c>
      <c r="K438">
        <v>0.38082516193389798</v>
      </c>
      <c r="L438" s="26">
        <v>5.9387974995472698E-6</v>
      </c>
      <c r="M438">
        <v>-7.6281224319965004E-3</v>
      </c>
      <c r="N438">
        <v>3.7212677332842299</v>
      </c>
    </row>
    <row r="439" spans="1:14">
      <c r="A439" s="1">
        <v>438</v>
      </c>
      <c r="B439" t="s">
        <v>1209</v>
      </c>
      <c r="C439" t="s">
        <v>1210</v>
      </c>
      <c r="D439" t="s">
        <v>94</v>
      </c>
      <c r="E439" t="s">
        <v>1209</v>
      </c>
      <c r="F439">
        <v>7</v>
      </c>
      <c r="G439">
        <v>4</v>
      </c>
      <c r="H439" t="s">
        <v>8</v>
      </c>
      <c r="I439" t="s">
        <v>8</v>
      </c>
      <c r="J439" t="s">
        <v>4</v>
      </c>
      <c r="K439">
        <v>0.95475757122039795</v>
      </c>
      <c r="L439" s="26">
        <v>2.8494253538268398E-5</v>
      </c>
      <c r="M439">
        <v>1.1149393221077501E-2</v>
      </c>
      <c r="N439">
        <v>3.6708840781558498</v>
      </c>
    </row>
    <row r="440" spans="1:14">
      <c r="A440" s="1">
        <v>439</v>
      </c>
      <c r="B440" t="s">
        <v>1211</v>
      </c>
      <c r="C440" t="s">
        <v>1212</v>
      </c>
      <c r="D440" t="s">
        <v>1213</v>
      </c>
      <c r="E440" t="s">
        <v>1211</v>
      </c>
      <c r="F440">
        <v>6</v>
      </c>
      <c r="G440">
        <v>4</v>
      </c>
      <c r="H440" t="s">
        <v>8</v>
      </c>
      <c r="I440" t="s">
        <v>8</v>
      </c>
      <c r="J440" t="s">
        <v>4</v>
      </c>
      <c r="K440">
        <v>0.99576240777969305</v>
      </c>
      <c r="L440" s="26">
        <v>3.09858893795886E-5</v>
      </c>
      <c r="M440">
        <v>-1.61705447259805E-2</v>
      </c>
      <c r="N440">
        <v>2.93197397366044</v>
      </c>
    </row>
    <row r="441" spans="1:14">
      <c r="A441" s="1">
        <v>440</v>
      </c>
      <c r="B441" t="s">
        <v>1214</v>
      </c>
      <c r="C441" t="s">
        <v>1215</v>
      </c>
      <c r="D441" t="s">
        <v>919</v>
      </c>
      <c r="E441" t="s">
        <v>1214</v>
      </c>
      <c r="F441">
        <v>4</v>
      </c>
      <c r="G441">
        <v>4</v>
      </c>
      <c r="H441" t="s">
        <v>8</v>
      </c>
      <c r="I441" t="s">
        <v>8</v>
      </c>
      <c r="J441" t="s">
        <v>4</v>
      </c>
      <c r="K441">
        <v>0.60023981332778897</v>
      </c>
      <c r="L441" s="26">
        <v>1.1448110030231099E-5</v>
      </c>
      <c r="M441">
        <v>1.8830558369074799E-2</v>
      </c>
      <c r="N441">
        <v>3.3282305015943998</v>
      </c>
    </row>
    <row r="442" spans="1:14">
      <c r="A442" s="1">
        <v>441</v>
      </c>
      <c r="B442" t="s">
        <v>1216</v>
      </c>
      <c r="C442" t="s">
        <v>1217</v>
      </c>
      <c r="D442" t="s">
        <v>407</v>
      </c>
      <c r="E442" t="s">
        <v>1216</v>
      </c>
      <c r="F442">
        <v>5</v>
      </c>
      <c r="G442">
        <v>4</v>
      </c>
      <c r="H442" t="s">
        <v>8</v>
      </c>
      <c r="I442" t="s">
        <v>8</v>
      </c>
      <c r="J442" t="s">
        <v>4</v>
      </c>
      <c r="K442">
        <v>0.79522126913070601</v>
      </c>
      <c r="L442" s="26">
        <v>2.0088064026001099E-5</v>
      </c>
      <c r="M442">
        <v>-6.2559307945662104E-3</v>
      </c>
      <c r="N442">
        <v>3.5685220294411901</v>
      </c>
    </row>
    <row r="443" spans="1:14">
      <c r="A443" s="1">
        <v>442</v>
      </c>
      <c r="B443" t="s">
        <v>1218</v>
      </c>
      <c r="C443" t="s">
        <v>1219</v>
      </c>
      <c r="D443" t="s">
        <v>873</v>
      </c>
      <c r="E443" t="s">
        <v>1218</v>
      </c>
      <c r="F443">
        <v>5</v>
      </c>
      <c r="G443">
        <v>4</v>
      </c>
      <c r="H443" t="s">
        <v>8</v>
      </c>
      <c r="I443" t="s">
        <v>8</v>
      </c>
      <c r="J443" t="s">
        <v>4</v>
      </c>
      <c r="K443">
        <v>0.910852491855621</v>
      </c>
      <c r="L443" s="26">
        <v>2.59318056838004E-5</v>
      </c>
      <c r="M443">
        <v>-9.1584468192991101E-3</v>
      </c>
      <c r="N443">
        <v>3.6602037700067598</v>
      </c>
    </row>
    <row r="444" spans="1:14">
      <c r="A444" s="1">
        <v>443</v>
      </c>
      <c r="B444" t="s">
        <v>1220</v>
      </c>
      <c r="C444" t="s">
        <v>1221</v>
      </c>
      <c r="D444" t="s">
        <v>855</v>
      </c>
      <c r="E444" t="s">
        <v>1220</v>
      </c>
      <c r="F444">
        <v>6</v>
      </c>
      <c r="G444">
        <v>8</v>
      </c>
      <c r="H444" t="s">
        <v>3</v>
      </c>
      <c r="I444" t="s">
        <v>3</v>
      </c>
      <c r="J444" t="s">
        <v>4</v>
      </c>
      <c r="K444">
        <v>0.91784918308258001</v>
      </c>
      <c r="L444" s="26">
        <v>2.6338647210944801E-5</v>
      </c>
      <c r="M444">
        <v>-5.1108997627263598E-2</v>
      </c>
      <c r="N444">
        <v>3.7867515646810102</v>
      </c>
    </row>
    <row r="445" spans="1:14">
      <c r="A445" s="1">
        <v>444</v>
      </c>
      <c r="B445" t="s">
        <v>1222</v>
      </c>
      <c r="C445" t="s">
        <v>1223</v>
      </c>
      <c r="D445" t="s">
        <v>47</v>
      </c>
      <c r="E445" t="s">
        <v>1222</v>
      </c>
      <c r="F445">
        <v>7</v>
      </c>
      <c r="G445">
        <v>2</v>
      </c>
      <c r="H445" t="s">
        <v>12</v>
      </c>
      <c r="I445" t="s">
        <v>12</v>
      </c>
      <c r="J445" t="s">
        <v>4</v>
      </c>
      <c r="K445">
        <v>0.96203958988189697</v>
      </c>
      <c r="L445" s="26">
        <v>2.8927333385626999E-5</v>
      </c>
      <c r="M445">
        <v>4.0214843869108502E-3</v>
      </c>
      <c r="N445">
        <v>3.7030094981737198</v>
      </c>
    </row>
    <row r="446" spans="1:14">
      <c r="A446" s="1">
        <v>445</v>
      </c>
      <c r="B446" t="s">
        <v>1224</v>
      </c>
      <c r="C446" t="s">
        <v>1225</v>
      </c>
      <c r="D446" t="s">
        <v>1226</v>
      </c>
      <c r="E446" t="s">
        <v>1224</v>
      </c>
      <c r="F446">
        <v>6</v>
      </c>
      <c r="G446">
        <v>5</v>
      </c>
      <c r="H446" t="s">
        <v>8</v>
      </c>
      <c r="I446" t="s">
        <v>8</v>
      </c>
      <c r="J446" t="s">
        <v>4</v>
      </c>
      <c r="K446">
        <v>0.79082602262496904</v>
      </c>
      <c r="L446" s="26">
        <v>2.08819913088767E-5</v>
      </c>
      <c r="M446">
        <v>-2.55240919203885E-2</v>
      </c>
      <c r="N446">
        <v>2.84082834942462</v>
      </c>
    </row>
    <row r="447" spans="1:14">
      <c r="A447" s="1">
        <v>446</v>
      </c>
      <c r="B447" t="s">
        <v>1227</v>
      </c>
      <c r="C447" t="s">
        <v>1228</v>
      </c>
      <c r="D447" t="s">
        <v>1229</v>
      </c>
      <c r="E447" t="s">
        <v>1227</v>
      </c>
      <c r="F447">
        <v>4</v>
      </c>
      <c r="G447">
        <v>5</v>
      </c>
      <c r="H447" t="s">
        <v>68</v>
      </c>
      <c r="I447" t="s">
        <v>68</v>
      </c>
      <c r="J447" t="s">
        <v>4</v>
      </c>
      <c r="K447">
        <v>0.98086720705032304</v>
      </c>
      <c r="L447" s="26">
        <v>3.0068205512113801E-5</v>
      </c>
      <c r="M447">
        <v>-8.3107843203293896E-3</v>
      </c>
      <c r="N447">
        <v>2.44384952771096</v>
      </c>
    </row>
    <row r="448" spans="1:14">
      <c r="A448" s="1">
        <v>447</v>
      </c>
      <c r="B448" t="s">
        <v>1230</v>
      </c>
      <c r="C448" t="s">
        <v>1231</v>
      </c>
      <c r="D448" t="s">
        <v>1232</v>
      </c>
      <c r="E448" t="s">
        <v>1230</v>
      </c>
      <c r="F448">
        <v>5</v>
      </c>
      <c r="G448">
        <v>5</v>
      </c>
      <c r="H448" t="s">
        <v>8</v>
      </c>
      <c r="I448" t="s">
        <v>8</v>
      </c>
      <c r="J448" t="s">
        <v>4</v>
      </c>
      <c r="K448">
        <v>0.22874844074249201</v>
      </c>
      <c r="L448" s="26">
        <v>2.99231876001345E-6</v>
      </c>
      <c r="M448">
        <v>-1.55788727210577E-2</v>
      </c>
      <c r="N448">
        <v>3.53540146401751</v>
      </c>
    </row>
    <row r="449" spans="1:14">
      <c r="A449" s="1">
        <v>448</v>
      </c>
      <c r="B449" t="s">
        <v>1233</v>
      </c>
      <c r="C449" t="s">
        <v>1234</v>
      </c>
      <c r="D449" t="s">
        <v>1235</v>
      </c>
      <c r="E449" t="s">
        <v>1233</v>
      </c>
      <c r="F449">
        <v>7</v>
      </c>
      <c r="G449">
        <v>7</v>
      </c>
      <c r="H449" t="s">
        <v>98</v>
      </c>
      <c r="I449" t="s">
        <v>98</v>
      </c>
      <c r="J449" t="s">
        <v>4</v>
      </c>
      <c r="K449">
        <v>0.99033814668655396</v>
      </c>
      <c r="L449" s="26">
        <v>3.0649372434983499E-5</v>
      </c>
      <c r="M449">
        <v>-2.7055756744744901E-2</v>
      </c>
      <c r="N449">
        <v>3.8057732309160999</v>
      </c>
    </row>
    <row r="450" spans="1:14">
      <c r="A450" s="1">
        <v>449</v>
      </c>
      <c r="B450" t="s">
        <v>1236</v>
      </c>
      <c r="C450" t="s">
        <v>1237</v>
      </c>
      <c r="D450" t="s">
        <v>1238</v>
      </c>
      <c r="E450" t="s">
        <v>1236</v>
      </c>
      <c r="F450">
        <v>6</v>
      </c>
      <c r="G450">
        <v>7</v>
      </c>
      <c r="H450" t="s">
        <v>8</v>
      </c>
      <c r="I450" t="s">
        <v>8</v>
      </c>
      <c r="J450" t="s">
        <v>4</v>
      </c>
      <c r="K450">
        <v>0.97617560625076205</v>
      </c>
      <c r="L450" s="26">
        <v>2.9779046563163401E-5</v>
      </c>
      <c r="M450">
        <v>-4.0223608276690401E-2</v>
      </c>
      <c r="N450">
        <v>3.6805815435397</v>
      </c>
    </row>
    <row r="451" spans="1:14">
      <c r="A451" s="1">
        <v>450</v>
      </c>
      <c r="B451" t="s">
        <v>1239</v>
      </c>
      <c r="C451" t="s">
        <v>1240</v>
      </c>
      <c r="D451" t="s">
        <v>1161</v>
      </c>
      <c r="E451" t="s">
        <v>1239</v>
      </c>
      <c r="F451">
        <v>5</v>
      </c>
      <c r="G451">
        <v>4</v>
      </c>
      <c r="H451" t="s">
        <v>8</v>
      </c>
      <c r="I451" t="s">
        <v>8</v>
      </c>
      <c r="J451" t="s">
        <v>4</v>
      </c>
      <c r="K451">
        <v>0.89521616697311401</v>
      </c>
      <c r="L451" s="26">
        <v>2.5083725569696502E-5</v>
      </c>
      <c r="M451">
        <v>-1.6572957924765298E-2</v>
      </c>
      <c r="N451">
        <v>3.6010382802820402</v>
      </c>
    </row>
    <row r="452" spans="1:14">
      <c r="A452" s="1">
        <v>451</v>
      </c>
      <c r="B452" t="s">
        <v>1241</v>
      </c>
      <c r="C452" t="s">
        <v>1242</v>
      </c>
      <c r="D452" t="s">
        <v>1243</v>
      </c>
      <c r="E452" t="s">
        <v>1241</v>
      </c>
      <c r="F452">
        <v>4</v>
      </c>
      <c r="G452">
        <v>8</v>
      </c>
      <c r="H452" t="s">
        <v>8</v>
      </c>
      <c r="I452" t="s">
        <v>8</v>
      </c>
      <c r="J452" t="s">
        <v>4</v>
      </c>
      <c r="K452">
        <v>0.996190905570983</v>
      </c>
      <c r="L452" s="26">
        <v>3.10126555715301E-5</v>
      </c>
      <c r="M452">
        <v>7.49279702295524E-3</v>
      </c>
      <c r="N452">
        <v>2.9011668049135699</v>
      </c>
    </row>
    <row r="453" spans="1:14">
      <c r="A453" s="1">
        <v>452</v>
      </c>
      <c r="B453" t="s">
        <v>1244</v>
      </c>
      <c r="C453" t="s">
        <v>1245</v>
      </c>
      <c r="D453" t="s">
        <v>1246</v>
      </c>
      <c r="E453" t="s">
        <v>1247</v>
      </c>
      <c r="F453">
        <v>8</v>
      </c>
      <c r="G453">
        <v>4</v>
      </c>
      <c r="H453" t="s">
        <v>8</v>
      </c>
      <c r="I453" t="s">
        <v>44</v>
      </c>
      <c r="J453" t="s">
        <v>180</v>
      </c>
      <c r="K453">
        <v>0.64368820190429599</v>
      </c>
      <c r="L453" s="26">
        <v>1.32042501600341E-5</v>
      </c>
      <c r="M453">
        <v>-4.3361332397608898E-3</v>
      </c>
      <c r="N453">
        <v>3.4329421967521898</v>
      </c>
    </row>
    <row r="454" spans="1:14">
      <c r="A454" s="1">
        <v>453</v>
      </c>
      <c r="B454" t="s">
        <v>1248</v>
      </c>
      <c r="C454" t="s">
        <v>1249</v>
      </c>
      <c r="D454" t="s">
        <v>1250</v>
      </c>
      <c r="E454" t="s">
        <v>1248</v>
      </c>
      <c r="F454">
        <v>5</v>
      </c>
      <c r="G454">
        <v>6</v>
      </c>
      <c r="H454" t="s">
        <v>22</v>
      </c>
      <c r="I454" t="s">
        <v>22</v>
      </c>
      <c r="J454" t="s">
        <v>4</v>
      </c>
      <c r="K454">
        <v>0.435320645570755</v>
      </c>
      <c r="L454" s="26">
        <v>1.01813716521327E-5</v>
      </c>
      <c r="M454">
        <v>-5.0695940831573597E-2</v>
      </c>
      <c r="N454">
        <v>3.65666526523166</v>
      </c>
    </row>
    <row r="455" spans="1:14">
      <c r="A455" s="1">
        <v>454</v>
      </c>
      <c r="B455" t="s">
        <v>1251</v>
      </c>
      <c r="C455" t="s">
        <v>1252</v>
      </c>
      <c r="D455" t="s">
        <v>503</v>
      </c>
      <c r="E455" t="s">
        <v>1251</v>
      </c>
      <c r="F455">
        <v>4</v>
      </c>
      <c r="G455">
        <v>3</v>
      </c>
      <c r="H455" t="s">
        <v>12</v>
      </c>
      <c r="I455" t="s">
        <v>12</v>
      </c>
      <c r="J455" t="s">
        <v>4</v>
      </c>
      <c r="K455">
        <v>0.79527503252029397</v>
      </c>
      <c r="L455" s="26">
        <v>1.9799994923783301E-5</v>
      </c>
      <c r="M455">
        <v>-1.2904438710634699E-2</v>
      </c>
      <c r="N455">
        <v>3.5274019225791302</v>
      </c>
    </row>
    <row r="456" spans="1:14">
      <c r="A456" s="1">
        <v>455</v>
      </c>
      <c r="B456" t="s">
        <v>1253</v>
      </c>
      <c r="C456" t="s">
        <v>1254</v>
      </c>
      <c r="D456" t="s">
        <v>1255</v>
      </c>
      <c r="E456" t="s">
        <v>1253</v>
      </c>
      <c r="F456">
        <v>6</v>
      </c>
      <c r="G456">
        <v>5</v>
      </c>
      <c r="H456" t="s">
        <v>3</v>
      </c>
      <c r="I456" t="s">
        <v>3</v>
      </c>
      <c r="J456" t="s">
        <v>4</v>
      </c>
      <c r="K456">
        <v>0.68001508712768499</v>
      </c>
      <c r="L456" s="26">
        <v>1.47393369144057E-5</v>
      </c>
      <c r="M456">
        <v>7.9465094481463404E-3</v>
      </c>
      <c r="N456">
        <v>3.8102066631934202</v>
      </c>
    </row>
    <row r="457" spans="1:14">
      <c r="A457" s="1">
        <v>456</v>
      </c>
      <c r="B457" t="s">
        <v>1256</v>
      </c>
      <c r="C457" t="s">
        <v>1257</v>
      </c>
      <c r="D457" t="s">
        <v>1258</v>
      </c>
      <c r="E457" t="s">
        <v>1256</v>
      </c>
      <c r="F457">
        <v>6</v>
      </c>
      <c r="G457">
        <v>6</v>
      </c>
      <c r="H457" t="s">
        <v>8</v>
      </c>
      <c r="I457" t="s">
        <v>8</v>
      </c>
      <c r="J457" t="s">
        <v>4</v>
      </c>
      <c r="K457">
        <v>0.37254729866981501</v>
      </c>
      <c r="L457" s="26">
        <v>4.8037910158654904E-6</v>
      </c>
      <c r="M457">
        <v>3.1767740286056702E-2</v>
      </c>
      <c r="N457">
        <v>3.4317578988838999</v>
      </c>
    </row>
    <row r="458" spans="1:14">
      <c r="A458" s="1">
        <v>457</v>
      </c>
      <c r="B458" t="s">
        <v>1259</v>
      </c>
      <c r="C458" t="s">
        <v>1260</v>
      </c>
      <c r="D458" t="s">
        <v>1035</v>
      </c>
      <c r="E458" t="s">
        <v>1259</v>
      </c>
      <c r="F458">
        <v>8</v>
      </c>
      <c r="G458">
        <v>3</v>
      </c>
      <c r="H458" t="s">
        <v>3</v>
      </c>
      <c r="I458" t="s">
        <v>3</v>
      </c>
      <c r="J458" t="s">
        <v>4</v>
      </c>
      <c r="K458">
        <v>0.89691418409347501</v>
      </c>
      <c r="L458" s="26">
        <v>2.5189513942129901E-5</v>
      </c>
      <c r="M458">
        <v>-2.1346883075807399E-2</v>
      </c>
      <c r="N458">
        <v>3.5547238040003299</v>
      </c>
    </row>
    <row r="459" spans="1:14">
      <c r="A459" s="1">
        <v>458</v>
      </c>
      <c r="B459" t="s">
        <v>1261</v>
      </c>
      <c r="C459" t="s">
        <v>1262</v>
      </c>
      <c r="D459" t="s">
        <v>1263</v>
      </c>
      <c r="E459" t="s">
        <v>2348</v>
      </c>
      <c r="F459">
        <v>5</v>
      </c>
      <c r="G459">
        <v>9</v>
      </c>
      <c r="H459" t="s">
        <v>8</v>
      </c>
      <c r="I459" t="s">
        <v>8</v>
      </c>
      <c r="J459" t="s">
        <v>180</v>
      </c>
      <c r="K459">
        <v>1.9600138068199099E-2</v>
      </c>
      <c r="L459" s="26">
        <v>9.2364912197483805E-8</v>
      </c>
      <c r="M459">
        <v>5.1316258456862898E-2</v>
      </c>
      <c r="N459">
        <v>2.98326377276749</v>
      </c>
    </row>
    <row r="460" spans="1:14">
      <c r="A460" s="1">
        <v>459</v>
      </c>
      <c r="B460" t="s">
        <v>1264</v>
      </c>
      <c r="C460" t="s">
        <v>1265</v>
      </c>
      <c r="D460" t="s">
        <v>1266</v>
      </c>
      <c r="E460" t="s">
        <v>1264</v>
      </c>
      <c r="F460">
        <v>6</v>
      </c>
      <c r="G460">
        <v>3</v>
      </c>
      <c r="H460" t="s">
        <v>8</v>
      </c>
      <c r="I460" t="s">
        <v>8</v>
      </c>
      <c r="J460" t="s">
        <v>4</v>
      </c>
      <c r="K460">
        <v>0.67608773708343495</v>
      </c>
      <c r="L460" s="26">
        <v>1.5865652798779799E-5</v>
      </c>
      <c r="M460">
        <v>-1.1922156048719001E-2</v>
      </c>
      <c r="N460">
        <v>3.8065953690843002</v>
      </c>
    </row>
    <row r="461" spans="1:14">
      <c r="A461" s="1">
        <v>460</v>
      </c>
      <c r="B461" t="s">
        <v>1267</v>
      </c>
      <c r="C461" t="s">
        <v>1268</v>
      </c>
      <c r="D461" t="s">
        <v>931</v>
      </c>
      <c r="E461" t="s">
        <v>1267</v>
      </c>
      <c r="F461">
        <v>6</v>
      </c>
      <c r="G461">
        <v>5</v>
      </c>
      <c r="H461" t="s">
        <v>3</v>
      </c>
      <c r="I461" t="s">
        <v>3</v>
      </c>
      <c r="J461" t="s">
        <v>4</v>
      </c>
      <c r="K461">
        <v>0.94102084636688199</v>
      </c>
      <c r="L461" s="26">
        <v>2.7696012219183599E-5</v>
      </c>
      <c r="M461">
        <v>2.0533368231156101E-2</v>
      </c>
      <c r="N461">
        <v>3.65355083852804</v>
      </c>
    </row>
    <row r="462" spans="1:14">
      <c r="A462" s="1">
        <v>461</v>
      </c>
      <c r="B462" t="s">
        <v>1269</v>
      </c>
      <c r="C462" t="s">
        <v>1270</v>
      </c>
      <c r="D462" t="s">
        <v>1271</v>
      </c>
      <c r="E462" t="s">
        <v>1269</v>
      </c>
      <c r="F462">
        <v>8</v>
      </c>
      <c r="G462">
        <v>3</v>
      </c>
      <c r="H462" t="s">
        <v>8</v>
      </c>
      <c r="I462" t="s">
        <v>8</v>
      </c>
      <c r="J462" t="s">
        <v>4</v>
      </c>
      <c r="K462">
        <v>0.97242945432662897</v>
      </c>
      <c r="L462" s="26">
        <v>2.9553687178810999E-5</v>
      </c>
      <c r="M462">
        <v>3.8142816335593401E-3</v>
      </c>
      <c r="N462">
        <v>3.6914591703934101</v>
      </c>
    </row>
    <row r="463" spans="1:14">
      <c r="A463" s="1">
        <v>462</v>
      </c>
      <c r="B463" t="s">
        <v>1272</v>
      </c>
      <c r="C463" t="s">
        <v>1273</v>
      </c>
      <c r="D463" t="s">
        <v>122</v>
      </c>
      <c r="E463" t="s">
        <v>120</v>
      </c>
      <c r="F463">
        <v>4</v>
      </c>
      <c r="G463">
        <v>5</v>
      </c>
      <c r="H463" t="s">
        <v>8</v>
      </c>
      <c r="I463" t="s">
        <v>123</v>
      </c>
      <c r="J463" t="s">
        <v>4</v>
      </c>
      <c r="K463">
        <v>0.99322915077209395</v>
      </c>
      <c r="L463" s="26">
        <v>3.0828442811943902E-5</v>
      </c>
      <c r="M463">
        <v>1.13720533752541E-2</v>
      </c>
      <c r="N463">
        <v>2.7713899745280499</v>
      </c>
    </row>
    <row r="464" spans="1:14">
      <c r="A464" s="1">
        <v>463</v>
      </c>
      <c r="B464" t="s">
        <v>1274</v>
      </c>
      <c r="C464" t="s">
        <v>1275</v>
      </c>
      <c r="D464" t="s">
        <v>1276</v>
      </c>
      <c r="E464" t="s">
        <v>1274</v>
      </c>
      <c r="F464">
        <v>4</v>
      </c>
      <c r="G464">
        <v>4</v>
      </c>
      <c r="H464" t="s">
        <v>68</v>
      </c>
      <c r="I464" t="s">
        <v>68</v>
      </c>
      <c r="J464" t="s">
        <v>4</v>
      </c>
      <c r="K464">
        <v>0.73890119791030795</v>
      </c>
      <c r="L464" s="26">
        <v>1.7107090436967499E-5</v>
      </c>
      <c r="M464">
        <v>-1.7157134785222999E-2</v>
      </c>
      <c r="N464">
        <v>3.3805427794976399</v>
      </c>
    </row>
    <row r="465" spans="1:14">
      <c r="A465" s="1">
        <v>464</v>
      </c>
      <c r="B465" t="s">
        <v>1277</v>
      </c>
      <c r="C465" t="s">
        <v>1278</v>
      </c>
      <c r="D465" t="s">
        <v>1279</v>
      </c>
      <c r="E465" t="s">
        <v>1277</v>
      </c>
      <c r="F465">
        <v>5</v>
      </c>
      <c r="G465">
        <v>4</v>
      </c>
      <c r="H465" t="s">
        <v>8</v>
      </c>
      <c r="I465" t="s">
        <v>8</v>
      </c>
      <c r="J465" t="s">
        <v>4</v>
      </c>
      <c r="K465">
        <v>0.937816381454467</v>
      </c>
      <c r="L465" s="26">
        <v>2.74896825296766E-5</v>
      </c>
      <c r="M465">
        <v>3.2203212945617503E-2</v>
      </c>
      <c r="N465">
        <v>3.6133123804891998</v>
      </c>
    </row>
    <row r="466" spans="1:14">
      <c r="A466" s="1">
        <v>465</v>
      </c>
      <c r="B466" t="s">
        <v>1280</v>
      </c>
      <c r="C466" t="s">
        <v>1281</v>
      </c>
      <c r="D466" t="s">
        <v>1282</v>
      </c>
      <c r="E466" t="s">
        <v>1280</v>
      </c>
      <c r="F466">
        <v>4</v>
      </c>
      <c r="G466">
        <v>5</v>
      </c>
      <c r="H466" t="s">
        <v>8</v>
      </c>
      <c r="I466" t="s">
        <v>8</v>
      </c>
      <c r="J466" t="s">
        <v>4</v>
      </c>
      <c r="K466">
        <v>0.35838124155998202</v>
      </c>
      <c r="L466" s="26">
        <v>4.32085994131616E-6</v>
      </c>
      <c r="M466">
        <v>3.0851335670989799E-2</v>
      </c>
      <c r="N466">
        <v>2.4236360235155798</v>
      </c>
    </row>
    <row r="467" spans="1:14">
      <c r="A467" s="1">
        <v>466</v>
      </c>
      <c r="B467" t="s">
        <v>1283</v>
      </c>
      <c r="C467" t="s">
        <v>1284</v>
      </c>
      <c r="D467" t="s">
        <v>28</v>
      </c>
      <c r="E467" t="s">
        <v>1283</v>
      </c>
      <c r="F467">
        <v>6</v>
      </c>
      <c r="G467">
        <v>3</v>
      </c>
      <c r="H467" t="s">
        <v>8</v>
      </c>
      <c r="I467" t="s">
        <v>8</v>
      </c>
      <c r="J467" t="s">
        <v>4</v>
      </c>
      <c r="K467">
        <v>0.98416131734848</v>
      </c>
      <c r="L467" s="26">
        <v>3.02683660885502E-5</v>
      </c>
      <c r="M467">
        <v>-9.7436671941295502E-3</v>
      </c>
      <c r="N467">
        <v>3.7295536864312901</v>
      </c>
    </row>
    <row r="468" spans="1:14">
      <c r="A468" s="1">
        <v>467</v>
      </c>
      <c r="B468" t="s">
        <v>1285</v>
      </c>
      <c r="C468" t="s">
        <v>1286</v>
      </c>
      <c r="D468" t="s">
        <v>1287</v>
      </c>
      <c r="E468" t="s">
        <v>1285</v>
      </c>
      <c r="F468">
        <v>5</v>
      </c>
      <c r="G468">
        <v>3</v>
      </c>
      <c r="H468" t="s">
        <v>98</v>
      </c>
      <c r="I468" t="s">
        <v>98</v>
      </c>
      <c r="J468" t="s">
        <v>4</v>
      </c>
      <c r="K468">
        <v>0.42700707912445002</v>
      </c>
      <c r="L468" s="26">
        <v>6.1865181129412802E-6</v>
      </c>
      <c r="M468">
        <v>-6.8436471022827999E-3</v>
      </c>
      <c r="N468">
        <v>3.4309938788203498</v>
      </c>
    </row>
    <row r="469" spans="1:14">
      <c r="A469" s="1">
        <v>468</v>
      </c>
      <c r="B469" t="s">
        <v>1288</v>
      </c>
      <c r="C469" t="s">
        <v>1289</v>
      </c>
      <c r="D469" t="s">
        <v>1290</v>
      </c>
      <c r="E469" t="s">
        <v>1288</v>
      </c>
      <c r="F469">
        <v>6</v>
      </c>
      <c r="G469">
        <v>8</v>
      </c>
      <c r="H469" t="s">
        <v>3</v>
      </c>
      <c r="I469" t="s">
        <v>3</v>
      </c>
      <c r="J469" t="s">
        <v>4</v>
      </c>
      <c r="K469">
        <v>0.96192497014999301</v>
      </c>
      <c r="L469" s="26">
        <v>2.8932341113761098E-5</v>
      </c>
      <c r="M469">
        <v>-2.19486764426584E-2</v>
      </c>
      <c r="N469">
        <v>3.7690910771298101</v>
      </c>
    </row>
    <row r="470" spans="1:14">
      <c r="A470" s="1">
        <v>469</v>
      </c>
      <c r="B470" t="s">
        <v>1291</v>
      </c>
      <c r="C470" t="s">
        <v>1292</v>
      </c>
      <c r="D470" t="s">
        <v>1293</v>
      </c>
      <c r="E470" t="s">
        <v>1291</v>
      </c>
      <c r="F470">
        <v>6</v>
      </c>
      <c r="G470">
        <v>3</v>
      </c>
      <c r="H470" t="s">
        <v>8</v>
      </c>
      <c r="I470" t="s">
        <v>8</v>
      </c>
      <c r="J470" t="s">
        <v>4</v>
      </c>
      <c r="K470">
        <v>0.64314359426498402</v>
      </c>
      <c r="L470" s="26">
        <v>1.3183844277512699E-5</v>
      </c>
      <c r="M470">
        <v>2.15053521371402E-2</v>
      </c>
      <c r="N470">
        <v>3.3838169527144601</v>
      </c>
    </row>
    <row r="471" spans="1:14">
      <c r="A471" s="1">
        <v>470</v>
      </c>
      <c r="B471" t="s">
        <v>1294</v>
      </c>
      <c r="C471" t="s">
        <v>1295</v>
      </c>
      <c r="D471" t="s">
        <v>1296</v>
      </c>
      <c r="E471" t="s">
        <v>1294</v>
      </c>
      <c r="F471">
        <v>4</v>
      </c>
      <c r="G471">
        <v>6</v>
      </c>
      <c r="H471" t="s">
        <v>3</v>
      </c>
      <c r="I471" t="s">
        <v>3</v>
      </c>
      <c r="J471" t="s">
        <v>4</v>
      </c>
      <c r="K471">
        <v>0.99603998661041204</v>
      </c>
      <c r="L471" s="26">
        <v>3.10031152758976E-5</v>
      </c>
      <c r="M471">
        <v>7.5532385000336398E-3</v>
      </c>
      <c r="N471">
        <v>2.8403775703009302</v>
      </c>
    </row>
    <row r="472" spans="1:14">
      <c r="A472" s="1">
        <v>471</v>
      </c>
      <c r="B472" t="s">
        <v>1297</v>
      </c>
      <c r="C472" t="s">
        <v>1298</v>
      </c>
      <c r="D472" t="s">
        <v>1299</v>
      </c>
      <c r="E472" t="s">
        <v>1297</v>
      </c>
      <c r="F472">
        <v>4</v>
      </c>
      <c r="G472">
        <v>5</v>
      </c>
      <c r="H472" t="s">
        <v>98</v>
      </c>
      <c r="I472" t="s">
        <v>98</v>
      </c>
      <c r="J472" t="s">
        <v>4</v>
      </c>
      <c r="K472">
        <v>0.95843803882598799</v>
      </c>
      <c r="L472" s="26">
        <v>2.8707996363212501E-5</v>
      </c>
      <c r="M472">
        <v>-8.4155054951224797E-3</v>
      </c>
      <c r="N472">
        <v>3.7563761046205801</v>
      </c>
    </row>
    <row r="473" spans="1:14">
      <c r="A473" s="1">
        <v>472</v>
      </c>
      <c r="B473" t="s">
        <v>1300</v>
      </c>
      <c r="C473" t="s">
        <v>1301</v>
      </c>
      <c r="D473" t="s">
        <v>61</v>
      </c>
      <c r="E473" t="s">
        <v>1300</v>
      </c>
      <c r="F473">
        <v>8</v>
      </c>
      <c r="G473">
        <v>2</v>
      </c>
      <c r="H473" t="s">
        <v>22</v>
      </c>
      <c r="I473" t="s">
        <v>22</v>
      </c>
      <c r="J473" t="s">
        <v>4</v>
      </c>
      <c r="K473">
        <v>0.97768139839172297</v>
      </c>
      <c r="L473" s="26">
        <v>2.9872013073606099E-5</v>
      </c>
      <c r="M473">
        <v>-5.9149438482677397E-3</v>
      </c>
      <c r="N473">
        <v>3.61089266704013</v>
      </c>
    </row>
    <row r="474" spans="1:14">
      <c r="A474" s="1">
        <v>473</v>
      </c>
      <c r="B474" t="s">
        <v>1302</v>
      </c>
      <c r="C474" t="s">
        <v>1303</v>
      </c>
      <c r="D474" t="s">
        <v>1304</v>
      </c>
      <c r="E474" t="s">
        <v>1302</v>
      </c>
      <c r="F474">
        <v>6</v>
      </c>
      <c r="G474">
        <v>4</v>
      </c>
      <c r="H474" t="s">
        <v>8</v>
      </c>
      <c r="I474" t="s">
        <v>8</v>
      </c>
      <c r="J474" t="s">
        <v>4</v>
      </c>
      <c r="K474">
        <v>0.88497519493103005</v>
      </c>
      <c r="L474" s="26">
        <v>2.45025679300714E-5</v>
      </c>
      <c r="M474">
        <v>4.20145135100824E-3</v>
      </c>
      <c r="N474">
        <v>3.3289608165139</v>
      </c>
    </row>
    <row r="475" spans="1:14">
      <c r="A475" s="1">
        <v>474</v>
      </c>
      <c r="B475" t="s">
        <v>1305</v>
      </c>
      <c r="C475" t="s">
        <v>1306</v>
      </c>
      <c r="D475" t="s">
        <v>1307</v>
      </c>
      <c r="E475" t="s">
        <v>1305</v>
      </c>
      <c r="F475">
        <v>7</v>
      </c>
      <c r="G475">
        <v>4</v>
      </c>
      <c r="H475" t="s">
        <v>3</v>
      </c>
      <c r="I475" t="s">
        <v>3</v>
      </c>
      <c r="J475" t="s">
        <v>4</v>
      </c>
      <c r="K475">
        <v>0.93430471420287997</v>
      </c>
      <c r="L475" s="26">
        <v>2.7296587700902901E-5</v>
      </c>
      <c r="M475">
        <v>-1.6856917097733501E-2</v>
      </c>
      <c r="N475">
        <v>3.5312563959259502</v>
      </c>
    </row>
    <row r="476" spans="1:14">
      <c r="A476" s="1">
        <v>475</v>
      </c>
      <c r="B476" t="s">
        <v>1308</v>
      </c>
      <c r="C476" t="s">
        <v>1309</v>
      </c>
      <c r="D476" t="s">
        <v>460</v>
      </c>
      <c r="E476" t="s">
        <v>1308</v>
      </c>
      <c r="F476">
        <v>8</v>
      </c>
      <c r="G476">
        <v>4</v>
      </c>
      <c r="H476" t="s">
        <v>8</v>
      </c>
      <c r="I476" t="s">
        <v>8</v>
      </c>
      <c r="J476" t="s">
        <v>4</v>
      </c>
      <c r="K476">
        <v>0.90220344066619795</v>
      </c>
      <c r="L476" s="26">
        <v>2.5439808596566401E-5</v>
      </c>
      <c r="M476">
        <v>1.1544133933785601E-2</v>
      </c>
      <c r="N476">
        <v>3.6693971333454498</v>
      </c>
    </row>
    <row r="477" spans="1:14">
      <c r="A477" s="1">
        <v>476</v>
      </c>
      <c r="B477" t="s">
        <v>1310</v>
      </c>
      <c r="C477" t="s">
        <v>1311</v>
      </c>
      <c r="D477" t="s">
        <v>425</v>
      </c>
      <c r="E477" t="s">
        <v>1310</v>
      </c>
      <c r="F477">
        <v>5</v>
      </c>
      <c r="G477">
        <v>4</v>
      </c>
      <c r="H477" t="s">
        <v>8</v>
      </c>
      <c r="I477" t="s">
        <v>8</v>
      </c>
      <c r="J477" t="s">
        <v>4</v>
      </c>
      <c r="K477">
        <v>0.90510594844818104</v>
      </c>
      <c r="L477" s="26">
        <v>2.56432733641925E-5</v>
      </c>
      <c r="M477">
        <v>-3.3570289436809703E-2</v>
      </c>
      <c r="N477">
        <v>3.6049085782303099</v>
      </c>
    </row>
    <row r="478" spans="1:14">
      <c r="A478" s="1">
        <v>477</v>
      </c>
      <c r="B478" t="s">
        <v>1312</v>
      </c>
      <c r="C478" t="s">
        <v>1313</v>
      </c>
      <c r="D478" t="s">
        <v>803</v>
      </c>
      <c r="E478" t="s">
        <v>1312</v>
      </c>
      <c r="F478">
        <v>4</v>
      </c>
      <c r="G478">
        <v>2</v>
      </c>
      <c r="H478" t="s">
        <v>22</v>
      </c>
      <c r="I478" t="s">
        <v>22</v>
      </c>
      <c r="J478" t="s">
        <v>4</v>
      </c>
      <c r="K478">
        <v>0.86255627870559604</v>
      </c>
      <c r="L478" s="26">
        <v>2.3337345117038599E-5</v>
      </c>
      <c r="M478">
        <v>-8.4660519894209606E-3</v>
      </c>
      <c r="N478">
        <v>3.6251233269973899</v>
      </c>
    </row>
    <row r="479" spans="1:14">
      <c r="A479" s="1">
        <v>478</v>
      </c>
      <c r="B479" t="s">
        <v>1314</v>
      </c>
      <c r="C479" t="s">
        <v>1315</v>
      </c>
      <c r="D479" t="s">
        <v>1316</v>
      </c>
      <c r="E479" t="s">
        <v>1314</v>
      </c>
      <c r="F479">
        <v>5</v>
      </c>
      <c r="G479">
        <v>4</v>
      </c>
      <c r="H479" t="s">
        <v>8</v>
      </c>
      <c r="I479" t="s">
        <v>8</v>
      </c>
      <c r="J479" t="s">
        <v>4</v>
      </c>
      <c r="K479">
        <v>0.998340964317321</v>
      </c>
      <c r="L479" s="26">
        <v>3.11463956927814E-5</v>
      </c>
      <c r="M479">
        <v>-3.5635541609238403E-2</v>
      </c>
      <c r="N479">
        <v>2.2815246695340901</v>
      </c>
    </row>
    <row r="480" spans="1:14">
      <c r="A480" s="1">
        <v>479</v>
      </c>
      <c r="B480" t="s">
        <v>1317</v>
      </c>
      <c r="C480" t="s">
        <v>1318</v>
      </c>
      <c r="D480" t="s">
        <v>1319</v>
      </c>
      <c r="E480" t="s">
        <v>1317</v>
      </c>
      <c r="F480">
        <v>5</v>
      </c>
      <c r="G480">
        <v>5</v>
      </c>
      <c r="H480" t="s">
        <v>8</v>
      </c>
      <c r="I480" t="s">
        <v>8</v>
      </c>
      <c r="J480" t="s">
        <v>4</v>
      </c>
      <c r="K480">
        <v>0.96031069755554199</v>
      </c>
      <c r="L480" s="26">
        <v>2.8822182095597501E-5</v>
      </c>
      <c r="M480">
        <v>-8.8833537812220698E-3</v>
      </c>
      <c r="N480">
        <v>3.6397636459042402</v>
      </c>
    </row>
    <row r="481" spans="1:14">
      <c r="A481" s="1">
        <v>480</v>
      </c>
      <c r="B481" t="s">
        <v>1320</v>
      </c>
      <c r="C481" t="s">
        <v>1321</v>
      </c>
      <c r="D481" t="s">
        <v>1322</v>
      </c>
      <c r="E481" t="s">
        <v>1320</v>
      </c>
      <c r="F481">
        <v>4</v>
      </c>
      <c r="G481">
        <v>3</v>
      </c>
      <c r="H481" t="s">
        <v>8</v>
      </c>
      <c r="I481" t="s">
        <v>8</v>
      </c>
      <c r="J481" t="s">
        <v>4</v>
      </c>
      <c r="K481">
        <v>0.87048113346099798</v>
      </c>
      <c r="L481" s="26">
        <v>2.3785118949614298E-5</v>
      </c>
      <c r="M481">
        <v>-2.8767119713165801E-2</v>
      </c>
      <c r="N481">
        <v>3.35391380693338</v>
      </c>
    </row>
    <row r="482" spans="1:14">
      <c r="A482" s="1">
        <v>481</v>
      </c>
      <c r="B482" t="s">
        <v>1323</v>
      </c>
      <c r="C482" t="s">
        <v>1324</v>
      </c>
      <c r="D482" t="s">
        <v>475</v>
      </c>
      <c r="E482" t="s">
        <v>1323</v>
      </c>
      <c r="F482">
        <v>4</v>
      </c>
      <c r="G482">
        <v>5</v>
      </c>
      <c r="H482" t="s">
        <v>8</v>
      </c>
      <c r="I482" t="s">
        <v>8</v>
      </c>
      <c r="J482" t="s">
        <v>4</v>
      </c>
      <c r="K482">
        <v>0.84407335519790605</v>
      </c>
      <c r="L482" s="26">
        <v>2.2274509239656202E-5</v>
      </c>
      <c r="M482">
        <v>-6.3237415876642401E-3</v>
      </c>
      <c r="N482">
        <v>3.2475235374858</v>
      </c>
    </row>
    <row r="483" spans="1:14">
      <c r="A483" s="1">
        <v>482</v>
      </c>
      <c r="B483" t="s">
        <v>1325</v>
      </c>
      <c r="C483" t="s">
        <v>1326</v>
      </c>
      <c r="D483" t="s">
        <v>580</v>
      </c>
      <c r="E483" t="s">
        <v>1325</v>
      </c>
      <c r="F483">
        <v>5</v>
      </c>
      <c r="G483">
        <v>4</v>
      </c>
      <c r="H483" t="s">
        <v>8</v>
      </c>
      <c r="I483" t="s">
        <v>8</v>
      </c>
      <c r="J483" t="s">
        <v>4</v>
      </c>
      <c r="K483">
        <v>0.96808171272277799</v>
      </c>
      <c r="L483" s="26">
        <v>2.92871606126302E-5</v>
      </c>
      <c r="M483">
        <v>1.9689907665565401E-2</v>
      </c>
      <c r="N483">
        <v>3.4578730506971902</v>
      </c>
    </row>
    <row r="484" spans="1:14">
      <c r="A484" s="1">
        <v>483</v>
      </c>
      <c r="B484" t="s">
        <v>1327</v>
      </c>
      <c r="C484" t="s">
        <v>1328</v>
      </c>
      <c r="D484" t="s">
        <v>1329</v>
      </c>
      <c r="E484" t="s">
        <v>1330</v>
      </c>
      <c r="F484">
        <v>4</v>
      </c>
      <c r="G484">
        <v>4</v>
      </c>
      <c r="H484" t="s">
        <v>8</v>
      </c>
      <c r="I484" t="s">
        <v>68</v>
      </c>
      <c r="J484" t="s">
        <v>180</v>
      </c>
      <c r="K484">
        <v>0.102458722889423</v>
      </c>
      <c r="L484" s="26">
        <v>4.2515487743135097E-7</v>
      </c>
      <c r="M484">
        <v>2.6636352021071698E-2</v>
      </c>
      <c r="N484">
        <v>2.6127489482434001</v>
      </c>
    </row>
    <row r="485" spans="1:14">
      <c r="A485" s="1">
        <v>484</v>
      </c>
      <c r="B485" t="s">
        <v>1331</v>
      </c>
      <c r="C485" t="s">
        <v>1332</v>
      </c>
      <c r="D485" t="s">
        <v>1333</v>
      </c>
      <c r="E485" t="s">
        <v>1331</v>
      </c>
      <c r="F485">
        <v>5</v>
      </c>
      <c r="G485">
        <v>7</v>
      </c>
      <c r="H485" t="s">
        <v>8</v>
      </c>
      <c r="I485" t="s">
        <v>8</v>
      </c>
      <c r="J485" t="s">
        <v>4</v>
      </c>
      <c r="K485">
        <v>0.97549891471862704</v>
      </c>
      <c r="L485" s="26">
        <v>2.9740578382843501E-5</v>
      </c>
      <c r="M485">
        <v>-2.51913449560561E-2</v>
      </c>
      <c r="N485">
        <v>3.51838598029045</v>
      </c>
    </row>
    <row r="486" spans="1:14">
      <c r="A486" s="1">
        <v>485</v>
      </c>
      <c r="B486" t="s">
        <v>1334</v>
      </c>
      <c r="C486" t="s">
        <v>1335</v>
      </c>
      <c r="D486" t="s">
        <v>1336</v>
      </c>
      <c r="E486" t="s">
        <v>1334</v>
      </c>
      <c r="F486">
        <v>6</v>
      </c>
      <c r="G486">
        <v>5</v>
      </c>
      <c r="H486" t="s">
        <v>8</v>
      </c>
      <c r="I486" t="s">
        <v>8</v>
      </c>
      <c r="J486" t="s">
        <v>4</v>
      </c>
      <c r="K486">
        <v>0.95866835117339999</v>
      </c>
      <c r="L486" s="26">
        <v>2.8722327896103699E-5</v>
      </c>
      <c r="M486">
        <v>3.35350711517179E-3</v>
      </c>
      <c r="N486">
        <v>3.5921566898892099</v>
      </c>
    </row>
    <row r="487" spans="1:14">
      <c r="A487" s="1">
        <v>486</v>
      </c>
      <c r="B487" t="s">
        <v>1337</v>
      </c>
      <c r="C487" t="s">
        <v>1338</v>
      </c>
      <c r="D487" t="s">
        <v>1038</v>
      </c>
      <c r="E487" t="s">
        <v>1337</v>
      </c>
      <c r="F487">
        <v>7</v>
      </c>
      <c r="G487">
        <v>5</v>
      </c>
      <c r="H487" t="s">
        <v>8</v>
      </c>
      <c r="I487" t="s">
        <v>8</v>
      </c>
      <c r="J487" t="s">
        <v>4</v>
      </c>
      <c r="K487">
        <v>0.88708758354187001</v>
      </c>
      <c r="L487" s="26">
        <v>2.4602455075635401E-5</v>
      </c>
      <c r="M487">
        <v>2.6097582222277499E-3</v>
      </c>
      <c r="N487">
        <v>3.4879415817323398</v>
      </c>
    </row>
    <row r="488" spans="1:14">
      <c r="A488" s="1">
        <v>487</v>
      </c>
      <c r="B488" t="s">
        <v>1339</v>
      </c>
      <c r="C488" t="s">
        <v>1340</v>
      </c>
      <c r="D488" t="s">
        <v>1188</v>
      </c>
      <c r="E488" t="s">
        <v>1339</v>
      </c>
      <c r="F488">
        <v>4</v>
      </c>
      <c r="G488">
        <v>4</v>
      </c>
      <c r="H488" t="s">
        <v>8</v>
      </c>
      <c r="I488" t="s">
        <v>8</v>
      </c>
      <c r="J488" t="s">
        <v>4</v>
      </c>
      <c r="K488">
        <v>0.40333056449890098</v>
      </c>
      <c r="L488" s="26">
        <v>5.2788131793412101E-6</v>
      </c>
      <c r="M488">
        <v>5.11343781400341E-3</v>
      </c>
      <c r="N488">
        <v>3.1474245075912699</v>
      </c>
    </row>
    <row r="489" spans="1:14">
      <c r="A489" s="1">
        <v>488</v>
      </c>
      <c r="B489" t="s">
        <v>1341</v>
      </c>
      <c r="C489" t="s">
        <v>1342</v>
      </c>
      <c r="D489" t="s">
        <v>1343</v>
      </c>
      <c r="E489" t="s">
        <v>1341</v>
      </c>
      <c r="F489">
        <v>5</v>
      </c>
      <c r="G489">
        <v>5</v>
      </c>
      <c r="H489" t="s">
        <v>98</v>
      </c>
      <c r="I489" t="s">
        <v>98</v>
      </c>
      <c r="J489" t="s">
        <v>4</v>
      </c>
      <c r="K489">
        <v>0.99831616878509499</v>
      </c>
      <c r="L489" s="26">
        <v>3.1144848539533199E-5</v>
      </c>
      <c r="M489">
        <v>2.1275053404323701E-4</v>
      </c>
      <c r="N489">
        <v>2.6026581392228398</v>
      </c>
    </row>
    <row r="490" spans="1:14">
      <c r="A490" s="1">
        <v>489</v>
      </c>
      <c r="B490" t="s">
        <v>1344</v>
      </c>
      <c r="C490" t="s">
        <v>1345</v>
      </c>
      <c r="D490" t="s">
        <v>1169</v>
      </c>
      <c r="E490" t="s">
        <v>1344</v>
      </c>
      <c r="F490">
        <v>6</v>
      </c>
      <c r="G490">
        <v>4</v>
      </c>
      <c r="H490" t="s">
        <v>8</v>
      </c>
      <c r="I490" t="s">
        <v>8</v>
      </c>
      <c r="J490" t="s">
        <v>4</v>
      </c>
      <c r="K490">
        <v>0.99320214986801103</v>
      </c>
      <c r="L490" s="26">
        <v>3.0826736328530903E-5</v>
      </c>
      <c r="M490">
        <v>1.53093112381288E-2</v>
      </c>
      <c r="N490">
        <v>3.6273346856938899</v>
      </c>
    </row>
    <row r="491" spans="1:14">
      <c r="A491" s="1">
        <v>490</v>
      </c>
      <c r="B491" t="s">
        <v>1346</v>
      </c>
      <c r="C491" t="s">
        <v>1347</v>
      </c>
      <c r="D491" t="s">
        <v>50</v>
      </c>
      <c r="E491" t="s">
        <v>1346</v>
      </c>
      <c r="F491">
        <v>4</v>
      </c>
      <c r="G491">
        <v>3</v>
      </c>
      <c r="H491" t="s">
        <v>8</v>
      </c>
      <c r="I491" t="s">
        <v>8</v>
      </c>
      <c r="J491" t="s">
        <v>4</v>
      </c>
      <c r="K491">
        <v>0.703815937042236</v>
      </c>
      <c r="L491" s="26">
        <v>1.5577316239839301E-5</v>
      </c>
      <c r="M491">
        <v>-6.5621205432790904E-3</v>
      </c>
      <c r="N491">
        <v>3.5060296866279499</v>
      </c>
    </row>
    <row r="492" spans="1:14">
      <c r="A492" s="1">
        <v>491</v>
      </c>
      <c r="B492" t="s">
        <v>1348</v>
      </c>
      <c r="C492" t="s">
        <v>1349</v>
      </c>
      <c r="D492" t="s">
        <v>1350</v>
      </c>
      <c r="E492" t="s">
        <v>1348</v>
      </c>
      <c r="F492">
        <v>5</v>
      </c>
      <c r="G492">
        <v>7</v>
      </c>
      <c r="H492" t="s">
        <v>98</v>
      </c>
      <c r="I492" t="s">
        <v>98</v>
      </c>
      <c r="J492" t="s">
        <v>4</v>
      </c>
      <c r="K492">
        <v>0.99701535701751698</v>
      </c>
      <c r="L492" s="26">
        <v>3.1063800344726898E-5</v>
      </c>
      <c r="M492">
        <v>-3.91514403722936E-3</v>
      </c>
      <c r="N492">
        <v>2.5234571361527198</v>
      </c>
    </row>
    <row r="493" spans="1:14">
      <c r="A493" s="1">
        <v>492</v>
      </c>
      <c r="B493" t="s">
        <v>1351</v>
      </c>
      <c r="C493" t="s">
        <v>1352</v>
      </c>
      <c r="D493" t="s">
        <v>965</v>
      </c>
      <c r="E493" t="s">
        <v>1351</v>
      </c>
      <c r="F493">
        <v>4</v>
      </c>
      <c r="G493">
        <v>4</v>
      </c>
      <c r="H493" t="s">
        <v>8</v>
      </c>
      <c r="I493" t="s">
        <v>8</v>
      </c>
      <c r="J493" t="s">
        <v>4</v>
      </c>
      <c r="K493">
        <v>0.93102395534515303</v>
      </c>
      <c r="L493" s="26">
        <v>2.70896964102825E-5</v>
      </c>
      <c r="M493">
        <v>-1.47235942664991E-2</v>
      </c>
      <c r="N493">
        <v>3.3816541271258802</v>
      </c>
    </row>
    <row r="494" spans="1:14">
      <c r="A494" s="1">
        <v>493</v>
      </c>
      <c r="B494" t="s">
        <v>1353</v>
      </c>
      <c r="C494" t="s">
        <v>1354</v>
      </c>
      <c r="D494" t="s">
        <v>1355</v>
      </c>
      <c r="E494" t="s">
        <v>1356</v>
      </c>
      <c r="F494">
        <v>4</v>
      </c>
      <c r="G494">
        <v>4</v>
      </c>
      <c r="H494" t="s">
        <v>98</v>
      </c>
      <c r="I494" t="s">
        <v>1357</v>
      </c>
      <c r="J494" t="s">
        <v>180</v>
      </c>
      <c r="K494">
        <v>0.47742319107055597</v>
      </c>
      <c r="L494" s="26">
        <v>1.1136989784123201E-5</v>
      </c>
      <c r="M494">
        <v>-1.0204865353568199E-2</v>
      </c>
      <c r="N494">
        <v>3.6911862761912002</v>
      </c>
    </row>
    <row r="495" spans="1:14">
      <c r="A495" s="1">
        <v>494</v>
      </c>
      <c r="B495" t="s">
        <v>1358</v>
      </c>
      <c r="C495" t="s">
        <v>1359</v>
      </c>
      <c r="D495" t="s">
        <v>1360</v>
      </c>
      <c r="E495" t="s">
        <v>1358</v>
      </c>
      <c r="F495">
        <v>6</v>
      </c>
      <c r="G495">
        <v>4</v>
      </c>
      <c r="H495" t="s">
        <v>98</v>
      </c>
      <c r="I495" t="s">
        <v>98</v>
      </c>
      <c r="J495" t="s">
        <v>4</v>
      </c>
      <c r="K495">
        <v>0.83028763532638505</v>
      </c>
      <c r="L495" s="26">
        <v>2.15587350214928E-5</v>
      </c>
      <c r="M495">
        <v>-9.4453053960243897E-3</v>
      </c>
      <c r="N495">
        <v>3.2012850454109301</v>
      </c>
    </row>
    <row r="496" spans="1:14">
      <c r="A496" s="1">
        <v>495</v>
      </c>
      <c r="B496" t="s">
        <v>1361</v>
      </c>
      <c r="C496" t="s">
        <v>1362</v>
      </c>
      <c r="D496" t="s">
        <v>861</v>
      </c>
      <c r="E496" t="s">
        <v>1361</v>
      </c>
      <c r="F496">
        <v>4</v>
      </c>
      <c r="G496">
        <v>4</v>
      </c>
      <c r="H496" t="s">
        <v>8</v>
      </c>
      <c r="I496" t="s">
        <v>8</v>
      </c>
      <c r="J496" t="s">
        <v>4</v>
      </c>
      <c r="K496">
        <v>0.93142127990722601</v>
      </c>
      <c r="L496" s="26">
        <v>2.7117517962680201E-5</v>
      </c>
      <c r="M496">
        <v>1.7195662427837901E-3</v>
      </c>
      <c r="N496">
        <v>3.6262030453043499</v>
      </c>
    </row>
    <row r="497" spans="1:14">
      <c r="A497" s="1">
        <v>496</v>
      </c>
      <c r="B497" t="s">
        <v>1363</v>
      </c>
      <c r="C497" t="s">
        <v>1364</v>
      </c>
      <c r="D497" t="s">
        <v>28</v>
      </c>
      <c r="E497" t="s">
        <v>1363</v>
      </c>
      <c r="F497">
        <v>4</v>
      </c>
      <c r="G497">
        <v>3</v>
      </c>
      <c r="H497" t="s">
        <v>8</v>
      </c>
      <c r="I497" t="s">
        <v>8</v>
      </c>
      <c r="J497" t="s">
        <v>4</v>
      </c>
      <c r="K497">
        <v>0.78459250926971402</v>
      </c>
      <c r="L497" s="26">
        <v>1.92491614099993E-5</v>
      </c>
      <c r="M497">
        <v>5.3220438257994803E-3</v>
      </c>
      <c r="N497">
        <v>3.3766729657881198</v>
      </c>
    </row>
    <row r="498" spans="1:14">
      <c r="A498" s="1">
        <v>497</v>
      </c>
      <c r="B498" t="s">
        <v>1365</v>
      </c>
      <c r="C498" t="s">
        <v>1366</v>
      </c>
      <c r="D498" t="s">
        <v>1367</v>
      </c>
      <c r="E498" t="s">
        <v>1365</v>
      </c>
      <c r="F498">
        <v>6</v>
      </c>
      <c r="G498">
        <v>4</v>
      </c>
      <c r="H498" t="s">
        <v>68</v>
      </c>
      <c r="I498" t="s">
        <v>68</v>
      </c>
      <c r="J498" t="s">
        <v>4</v>
      </c>
      <c r="K498">
        <v>0.87292987108230502</v>
      </c>
      <c r="L498" s="26">
        <v>2.3829217519514999E-5</v>
      </c>
      <c r="M498">
        <v>-9.6628775525999799E-3</v>
      </c>
      <c r="N498">
        <v>3.4696178589909201</v>
      </c>
    </row>
    <row r="499" spans="1:14">
      <c r="A499" s="1">
        <v>498</v>
      </c>
      <c r="B499" t="s">
        <v>1368</v>
      </c>
      <c r="C499" t="s">
        <v>1369</v>
      </c>
      <c r="D499" t="s">
        <v>1370</v>
      </c>
      <c r="E499" t="s">
        <v>2349</v>
      </c>
      <c r="F499">
        <v>4</v>
      </c>
      <c r="G499">
        <v>5</v>
      </c>
      <c r="H499" t="s">
        <v>8</v>
      </c>
      <c r="I499" t="s">
        <v>8</v>
      </c>
      <c r="J499" t="s">
        <v>180</v>
      </c>
      <c r="K499">
        <v>0.12307758629322001</v>
      </c>
      <c r="L499" s="26">
        <v>9.7628909147256201E-7</v>
      </c>
      <c r="M499">
        <v>-7.4849125249443205E-4</v>
      </c>
      <c r="N499">
        <v>2.8691704655139501</v>
      </c>
    </row>
    <row r="500" spans="1:14">
      <c r="A500" s="1">
        <v>499</v>
      </c>
      <c r="B500" t="s">
        <v>1371</v>
      </c>
      <c r="C500" t="s">
        <v>1372</v>
      </c>
      <c r="D500" t="s">
        <v>1373</v>
      </c>
      <c r="E500" t="s">
        <v>1371</v>
      </c>
      <c r="F500">
        <v>4</v>
      </c>
      <c r="G500">
        <v>5</v>
      </c>
      <c r="H500" t="s">
        <v>8</v>
      </c>
      <c r="I500" t="s">
        <v>8</v>
      </c>
      <c r="J500" t="s">
        <v>4</v>
      </c>
      <c r="K500">
        <v>0.37325373291969299</v>
      </c>
      <c r="L500" s="26">
        <v>4.4213316916262303E-6</v>
      </c>
      <c r="M500">
        <v>3.6319157249536702E-2</v>
      </c>
      <c r="N500">
        <v>2.36554801338858</v>
      </c>
    </row>
    <row r="501" spans="1:14">
      <c r="A501" s="1">
        <v>500</v>
      </c>
      <c r="B501" t="s">
        <v>1374</v>
      </c>
      <c r="C501" t="s">
        <v>1375</v>
      </c>
      <c r="D501" t="s">
        <v>1376</v>
      </c>
      <c r="E501" t="s">
        <v>1374</v>
      </c>
      <c r="F501">
        <v>4</v>
      </c>
      <c r="G501">
        <v>4</v>
      </c>
      <c r="H501" t="s">
        <v>8</v>
      </c>
      <c r="I501" t="s">
        <v>8</v>
      </c>
      <c r="J501" t="s">
        <v>4</v>
      </c>
      <c r="K501">
        <v>7.1757502853870295E-2</v>
      </c>
      <c r="L501" s="26">
        <v>3.89265988223643E-7</v>
      </c>
      <c r="M501">
        <v>3.6786587075439997E-2</v>
      </c>
      <c r="N501">
        <v>3.3019945407527098</v>
      </c>
    </row>
    <row r="502" spans="1:14">
      <c r="A502" s="1">
        <v>501</v>
      </c>
      <c r="B502" t="s">
        <v>1377</v>
      </c>
      <c r="C502" t="s">
        <v>1378</v>
      </c>
      <c r="D502" t="s">
        <v>1379</v>
      </c>
      <c r="E502" t="s">
        <v>1377</v>
      </c>
      <c r="F502">
        <v>4</v>
      </c>
      <c r="G502">
        <v>4</v>
      </c>
      <c r="H502" t="s">
        <v>98</v>
      </c>
      <c r="I502" t="s">
        <v>98</v>
      </c>
      <c r="J502" t="s">
        <v>4</v>
      </c>
      <c r="K502">
        <v>0.98701477050781194</v>
      </c>
      <c r="L502" s="26">
        <v>3.0446409401680301E-5</v>
      </c>
      <c r="M502">
        <v>-2.6933577262816699E-2</v>
      </c>
      <c r="N502">
        <v>3.2599318259253298</v>
      </c>
    </row>
    <row r="503" spans="1:14">
      <c r="A503" s="1">
        <v>502</v>
      </c>
      <c r="B503" t="s">
        <v>1380</v>
      </c>
      <c r="C503" t="s">
        <v>1381</v>
      </c>
      <c r="D503" t="s">
        <v>283</v>
      </c>
      <c r="E503" t="s">
        <v>1380</v>
      </c>
      <c r="F503">
        <v>4</v>
      </c>
      <c r="G503">
        <v>2</v>
      </c>
      <c r="H503" t="s">
        <v>12</v>
      </c>
      <c r="I503" t="s">
        <v>12</v>
      </c>
      <c r="J503" t="s">
        <v>4</v>
      </c>
      <c r="K503">
        <v>0.42192885279655401</v>
      </c>
      <c r="L503" s="26">
        <v>8.2329875030572093E-6</v>
      </c>
      <c r="M503">
        <v>-9.847219773533309E-4</v>
      </c>
      <c r="N503">
        <v>3.65854215463456</v>
      </c>
    </row>
    <row r="504" spans="1:14">
      <c r="A504" s="1">
        <v>503</v>
      </c>
      <c r="B504" t="s">
        <v>1382</v>
      </c>
      <c r="C504" t="s">
        <v>1383</v>
      </c>
      <c r="D504" t="s">
        <v>1287</v>
      </c>
      <c r="E504" t="s">
        <v>1382</v>
      </c>
      <c r="F504">
        <v>4</v>
      </c>
      <c r="G504">
        <v>3</v>
      </c>
      <c r="H504" t="s">
        <v>98</v>
      </c>
      <c r="I504" t="s">
        <v>98</v>
      </c>
      <c r="J504" t="s">
        <v>4</v>
      </c>
      <c r="K504">
        <v>0.27830857038497903</v>
      </c>
      <c r="L504" s="26">
        <v>2.6779215284383599E-6</v>
      </c>
      <c r="M504">
        <v>-4.5085239839863702E-3</v>
      </c>
      <c r="N504">
        <v>3.2437959372981102</v>
      </c>
    </row>
    <row r="505" spans="1:14">
      <c r="A505" s="1">
        <v>504</v>
      </c>
      <c r="B505" t="s">
        <v>1384</v>
      </c>
      <c r="C505" t="s">
        <v>1385</v>
      </c>
      <c r="D505" t="s">
        <v>37</v>
      </c>
      <c r="E505" t="s">
        <v>2350</v>
      </c>
      <c r="F505">
        <v>4</v>
      </c>
      <c r="G505">
        <v>3</v>
      </c>
      <c r="H505" t="s">
        <v>8</v>
      </c>
      <c r="I505" t="s">
        <v>8</v>
      </c>
      <c r="J505" t="s">
        <v>180</v>
      </c>
      <c r="K505">
        <v>0.36076658964157099</v>
      </c>
      <c r="L505" s="26">
        <v>5.2011235436215303E-6</v>
      </c>
      <c r="M505">
        <v>-4.5879932929224704E-3</v>
      </c>
      <c r="N505">
        <v>3.68005235968924</v>
      </c>
    </row>
    <row r="506" spans="1:14">
      <c r="A506" s="1">
        <v>505</v>
      </c>
      <c r="B506" t="s">
        <v>1386</v>
      </c>
      <c r="C506" t="s">
        <v>1387</v>
      </c>
      <c r="D506" t="s">
        <v>1129</v>
      </c>
      <c r="E506" t="s">
        <v>1386</v>
      </c>
      <c r="F506">
        <v>4</v>
      </c>
      <c r="G506">
        <v>3</v>
      </c>
      <c r="H506" t="s">
        <v>8</v>
      </c>
      <c r="I506" t="s">
        <v>8</v>
      </c>
      <c r="J506" t="s">
        <v>4</v>
      </c>
      <c r="K506">
        <v>0.39272633194923401</v>
      </c>
      <c r="L506" s="26">
        <v>4.8704175211441196E-6</v>
      </c>
      <c r="M506">
        <v>1.5358050396755999E-2</v>
      </c>
      <c r="N506">
        <v>3.0754456990191499</v>
      </c>
    </row>
    <row r="507" spans="1:14">
      <c r="A507" s="1">
        <v>506</v>
      </c>
      <c r="B507" t="s">
        <v>1388</v>
      </c>
      <c r="C507" t="s">
        <v>1389</v>
      </c>
      <c r="D507" t="s">
        <v>677</v>
      </c>
      <c r="E507" t="s">
        <v>1390</v>
      </c>
      <c r="F507">
        <v>4</v>
      </c>
      <c r="G507">
        <v>2</v>
      </c>
      <c r="H507" t="s">
        <v>12</v>
      </c>
      <c r="I507" t="s">
        <v>8</v>
      </c>
      <c r="J507" t="s">
        <v>180</v>
      </c>
      <c r="K507">
        <v>0.21323138475417999</v>
      </c>
      <c r="L507" s="26">
        <v>3.50716353045181E-6</v>
      </c>
      <c r="M507">
        <v>1.6567447535027899E-2</v>
      </c>
      <c r="N507">
        <v>3.7134378795202401</v>
      </c>
    </row>
    <row r="508" spans="1:14">
      <c r="A508" s="1">
        <v>507</v>
      </c>
      <c r="B508" t="s">
        <v>1391</v>
      </c>
      <c r="C508" t="s">
        <v>1392</v>
      </c>
      <c r="D508" t="s">
        <v>1393</v>
      </c>
      <c r="E508" t="s">
        <v>1394</v>
      </c>
      <c r="F508">
        <v>4</v>
      </c>
      <c r="G508">
        <v>7</v>
      </c>
      <c r="H508" t="s">
        <v>8</v>
      </c>
      <c r="I508" t="s">
        <v>12</v>
      </c>
      <c r="J508" t="s">
        <v>180</v>
      </c>
      <c r="K508">
        <v>0.65993022918701105</v>
      </c>
      <c r="L508" s="26">
        <v>1.3823944679546001E-5</v>
      </c>
      <c r="M508">
        <v>-3.7814893071917703E-2</v>
      </c>
      <c r="N508">
        <v>3.28700745296074</v>
      </c>
    </row>
    <row r="509" spans="1:14">
      <c r="A509" s="1">
        <v>508</v>
      </c>
      <c r="B509" t="s">
        <v>1395</v>
      </c>
      <c r="C509" t="s">
        <v>1396</v>
      </c>
      <c r="D509" t="s">
        <v>1397</v>
      </c>
      <c r="E509" t="s">
        <v>1395</v>
      </c>
      <c r="F509">
        <v>4</v>
      </c>
      <c r="G509">
        <v>5</v>
      </c>
      <c r="H509" t="s">
        <v>8</v>
      </c>
      <c r="I509" t="s">
        <v>8</v>
      </c>
      <c r="J509" t="s">
        <v>4</v>
      </c>
      <c r="K509">
        <v>0.40041333436965898</v>
      </c>
      <c r="L509" s="26">
        <v>5.4794163577117901E-6</v>
      </c>
      <c r="M509">
        <v>-1.1538943301081499E-2</v>
      </c>
      <c r="N509">
        <v>3.1464115981091698</v>
      </c>
    </row>
    <row r="510" spans="1:14">
      <c r="A510" s="1">
        <v>509</v>
      </c>
      <c r="B510" t="s">
        <v>1398</v>
      </c>
      <c r="C510" t="s">
        <v>1399</v>
      </c>
      <c r="D510" t="s">
        <v>1400</v>
      </c>
      <c r="E510" t="s">
        <v>1398</v>
      </c>
      <c r="F510">
        <v>4</v>
      </c>
      <c r="G510">
        <v>8</v>
      </c>
      <c r="H510" t="s">
        <v>8</v>
      </c>
      <c r="I510" t="s">
        <v>8</v>
      </c>
      <c r="J510" t="s">
        <v>4</v>
      </c>
      <c r="K510">
        <v>0.12809294462203899</v>
      </c>
      <c r="L510" s="26">
        <v>8.4366132227029198E-7</v>
      </c>
      <c r="M510">
        <v>2.2593770713399401E-2</v>
      </c>
      <c r="N510">
        <v>3.02967712508178</v>
      </c>
    </row>
    <row r="511" spans="1:14">
      <c r="A511" s="1">
        <v>510</v>
      </c>
      <c r="B511" t="s">
        <v>1401</v>
      </c>
      <c r="C511" t="s">
        <v>1402</v>
      </c>
      <c r="D511" t="s">
        <v>936</v>
      </c>
      <c r="E511" t="s">
        <v>1401</v>
      </c>
      <c r="F511">
        <v>4</v>
      </c>
      <c r="G511">
        <v>4</v>
      </c>
      <c r="H511" t="s">
        <v>8</v>
      </c>
      <c r="I511" t="s">
        <v>8</v>
      </c>
      <c r="J511" t="s">
        <v>4</v>
      </c>
      <c r="K511">
        <v>0.88730639219284002</v>
      </c>
      <c r="L511" s="26">
        <v>2.4616313526732299E-5</v>
      </c>
      <c r="M511">
        <v>3.4094887944981098E-2</v>
      </c>
      <c r="N511">
        <v>3.0626960900625102</v>
      </c>
    </row>
    <row r="512" spans="1:14">
      <c r="A512" s="1">
        <v>511</v>
      </c>
      <c r="B512" t="s">
        <v>1403</v>
      </c>
      <c r="C512" t="s">
        <v>1404</v>
      </c>
      <c r="D512" t="s">
        <v>413</v>
      </c>
      <c r="E512" t="s">
        <v>1403</v>
      </c>
      <c r="F512">
        <v>4</v>
      </c>
      <c r="G512">
        <v>5</v>
      </c>
      <c r="H512" t="s">
        <v>8</v>
      </c>
      <c r="I512" t="s">
        <v>8</v>
      </c>
      <c r="J512" t="s">
        <v>4</v>
      </c>
      <c r="K512">
        <v>0.52258682250976496</v>
      </c>
      <c r="L512" s="26">
        <v>8.6007504037484803E-6</v>
      </c>
      <c r="M512">
        <v>1.37592963423429E-2</v>
      </c>
      <c r="N512">
        <v>3.0359957781051201</v>
      </c>
    </row>
    <row r="513" spans="1:14">
      <c r="A513" s="1">
        <v>512</v>
      </c>
      <c r="B513" t="s">
        <v>1405</v>
      </c>
      <c r="C513" t="s">
        <v>1406</v>
      </c>
      <c r="D513" t="s">
        <v>1407</v>
      </c>
      <c r="E513" t="s">
        <v>2351</v>
      </c>
      <c r="F513">
        <v>4</v>
      </c>
      <c r="G513">
        <v>5</v>
      </c>
      <c r="H513" t="s">
        <v>8</v>
      </c>
      <c r="I513" t="s">
        <v>8</v>
      </c>
      <c r="J513" t="s">
        <v>180</v>
      </c>
      <c r="K513">
        <v>0.133671805262565</v>
      </c>
      <c r="L513" s="26">
        <v>1.7787052422818599E-6</v>
      </c>
      <c r="M513">
        <v>-1.3972406501608199E-2</v>
      </c>
      <c r="N513">
        <v>3.5304482345607502</v>
      </c>
    </row>
    <row r="514" spans="1:14">
      <c r="A514" s="1">
        <v>513</v>
      </c>
      <c r="B514" t="s">
        <v>1408</v>
      </c>
      <c r="C514" t="s">
        <v>1409</v>
      </c>
      <c r="D514" t="s">
        <v>1410</v>
      </c>
      <c r="E514" t="s">
        <v>1408</v>
      </c>
      <c r="F514">
        <v>5</v>
      </c>
      <c r="G514">
        <v>5</v>
      </c>
      <c r="H514" t="s">
        <v>8</v>
      </c>
      <c r="I514" t="s">
        <v>8</v>
      </c>
      <c r="J514" t="s">
        <v>4</v>
      </c>
      <c r="K514">
        <v>0.89494359493255604</v>
      </c>
      <c r="L514" s="26">
        <v>2.5144583857532602E-5</v>
      </c>
      <c r="M514">
        <v>3.3135456099721197E-2</v>
      </c>
      <c r="N514">
        <v>3.4385153016569099</v>
      </c>
    </row>
    <row r="515" spans="1:14">
      <c r="A515" s="1">
        <v>514</v>
      </c>
      <c r="B515" t="s">
        <v>1411</v>
      </c>
      <c r="C515" t="s">
        <v>1412</v>
      </c>
      <c r="D515" t="s">
        <v>61</v>
      </c>
      <c r="E515" t="s">
        <v>1411</v>
      </c>
      <c r="F515">
        <v>5</v>
      </c>
      <c r="G515">
        <v>2</v>
      </c>
      <c r="H515" t="s">
        <v>22</v>
      </c>
      <c r="I515" t="s">
        <v>22</v>
      </c>
      <c r="J515" t="s">
        <v>4</v>
      </c>
      <c r="K515">
        <v>0.613694727420806</v>
      </c>
      <c r="L515" s="26">
        <v>1.3140132648079899E-5</v>
      </c>
      <c r="M515">
        <v>2.84881641963963E-3</v>
      </c>
      <c r="N515">
        <v>3.51624204627623</v>
      </c>
    </row>
    <row r="516" spans="1:14">
      <c r="A516" s="1">
        <v>515</v>
      </c>
      <c r="B516" t="s">
        <v>1413</v>
      </c>
      <c r="C516" t="s">
        <v>1414</v>
      </c>
      <c r="D516" t="s">
        <v>1415</v>
      </c>
      <c r="E516" t="s">
        <v>2352</v>
      </c>
      <c r="F516">
        <v>4</v>
      </c>
      <c r="G516">
        <v>6</v>
      </c>
      <c r="H516" t="s">
        <v>8</v>
      </c>
      <c r="I516" t="s">
        <v>22</v>
      </c>
      <c r="J516" t="s">
        <v>180</v>
      </c>
      <c r="K516">
        <v>0.20811620354652399</v>
      </c>
      <c r="L516" s="26">
        <v>2.3309968926597802E-6</v>
      </c>
      <c r="M516">
        <v>-1.4080551075229699E-2</v>
      </c>
      <c r="N516">
        <v>3.5204222947731099</v>
      </c>
    </row>
    <row r="517" spans="1:14">
      <c r="A517" s="1">
        <v>516</v>
      </c>
      <c r="B517" t="s">
        <v>1416</v>
      </c>
      <c r="C517" t="s">
        <v>1417</v>
      </c>
      <c r="D517" t="s">
        <v>1418</v>
      </c>
      <c r="E517" t="s">
        <v>1416</v>
      </c>
      <c r="F517">
        <v>4</v>
      </c>
      <c r="G517">
        <v>5</v>
      </c>
      <c r="H517" t="s">
        <v>8</v>
      </c>
      <c r="I517" t="s">
        <v>8</v>
      </c>
      <c r="J517" t="s">
        <v>4</v>
      </c>
      <c r="K517">
        <v>0.88370943069457997</v>
      </c>
      <c r="L517" s="26">
        <v>2.4422692111938799E-5</v>
      </c>
      <c r="M517">
        <v>2.66556592771891E-2</v>
      </c>
      <c r="N517">
        <v>3.3480102083349799</v>
      </c>
    </row>
    <row r="518" spans="1:14">
      <c r="A518" s="1">
        <v>517</v>
      </c>
      <c r="B518" t="s">
        <v>1419</v>
      </c>
      <c r="C518" t="s">
        <v>1420</v>
      </c>
      <c r="D518" t="s">
        <v>597</v>
      </c>
      <c r="E518" t="s">
        <v>1419</v>
      </c>
      <c r="F518">
        <v>4</v>
      </c>
      <c r="G518">
        <v>4</v>
      </c>
      <c r="H518" t="s">
        <v>68</v>
      </c>
      <c r="I518" t="s">
        <v>68</v>
      </c>
      <c r="J518" t="s">
        <v>4</v>
      </c>
      <c r="K518">
        <v>0.96333682537078802</v>
      </c>
      <c r="L518" s="26">
        <v>2.9004222301343598E-5</v>
      </c>
      <c r="M518">
        <v>3.59458002814783E-3</v>
      </c>
      <c r="N518">
        <v>3.5658422654822499</v>
      </c>
    </row>
    <row r="519" spans="1:14">
      <c r="A519" s="1">
        <v>518</v>
      </c>
      <c r="B519" t="s">
        <v>1421</v>
      </c>
      <c r="C519" t="s">
        <v>1422</v>
      </c>
      <c r="D519" t="s">
        <v>1423</v>
      </c>
      <c r="E519" t="s">
        <v>1421</v>
      </c>
      <c r="F519">
        <v>4</v>
      </c>
      <c r="G519">
        <v>5</v>
      </c>
      <c r="H519" t="s">
        <v>8</v>
      </c>
      <c r="I519" t="s">
        <v>8</v>
      </c>
      <c r="J519" t="s">
        <v>4</v>
      </c>
      <c r="K519">
        <v>0.14093828201293901</v>
      </c>
      <c r="L519" s="26">
        <v>8.9772335494103699E-7</v>
      </c>
      <c r="M519">
        <v>4.9227799301391401E-2</v>
      </c>
      <c r="N519">
        <v>2.6786955949132998</v>
      </c>
    </row>
    <row r="520" spans="1:14">
      <c r="A520" s="1">
        <v>519</v>
      </c>
      <c r="B520" t="s">
        <v>1424</v>
      </c>
      <c r="C520" t="s">
        <v>1425</v>
      </c>
      <c r="D520" t="s">
        <v>1426</v>
      </c>
      <c r="E520" t="s">
        <v>1424</v>
      </c>
      <c r="F520">
        <v>4</v>
      </c>
      <c r="G520">
        <v>4</v>
      </c>
      <c r="H520" t="s">
        <v>8</v>
      </c>
      <c r="I520" t="s">
        <v>8</v>
      </c>
      <c r="J520" t="s">
        <v>4</v>
      </c>
      <c r="K520">
        <v>0.99973040819168002</v>
      </c>
      <c r="L520" s="26">
        <v>3.1233153658479397E-5</v>
      </c>
      <c r="M520">
        <v>-5.5204100524530704E-3</v>
      </c>
      <c r="N520">
        <v>3.06120699623829</v>
      </c>
    </row>
    <row r="521" spans="1:14">
      <c r="A521" s="1">
        <v>520</v>
      </c>
      <c r="B521" t="s">
        <v>1427</v>
      </c>
      <c r="C521" t="s">
        <v>1428</v>
      </c>
      <c r="D521" t="s">
        <v>1119</v>
      </c>
      <c r="E521" t="s">
        <v>1427</v>
      </c>
      <c r="F521">
        <v>4</v>
      </c>
      <c r="G521">
        <v>5</v>
      </c>
      <c r="H521" t="s">
        <v>8</v>
      </c>
      <c r="I521" t="s">
        <v>8</v>
      </c>
      <c r="J521" t="s">
        <v>4</v>
      </c>
      <c r="K521">
        <v>0.84264326095580999</v>
      </c>
      <c r="L521" s="26">
        <v>2.2237148023605499E-5</v>
      </c>
      <c r="M521">
        <v>2.5720052066276301E-2</v>
      </c>
      <c r="N521">
        <v>3.3764400969427899</v>
      </c>
    </row>
    <row r="522" spans="1:14">
      <c r="A522" s="1">
        <v>521</v>
      </c>
      <c r="B522" t="s">
        <v>1429</v>
      </c>
      <c r="C522" t="s">
        <v>1430</v>
      </c>
      <c r="D522" t="s">
        <v>1431</v>
      </c>
      <c r="E522" t="s">
        <v>1429</v>
      </c>
      <c r="F522">
        <v>4</v>
      </c>
      <c r="G522">
        <v>6</v>
      </c>
      <c r="H522" t="s">
        <v>8</v>
      </c>
      <c r="I522" t="s">
        <v>8</v>
      </c>
      <c r="J522" t="s">
        <v>4</v>
      </c>
      <c r="K522">
        <v>0.82445228099822998</v>
      </c>
      <c r="L522" s="26">
        <v>2.1249141107309102E-5</v>
      </c>
      <c r="M522">
        <v>2.1643162547232701E-2</v>
      </c>
      <c r="N522">
        <v>2.3783783845819699</v>
      </c>
    </row>
    <row r="523" spans="1:14">
      <c r="A523" s="1">
        <v>522</v>
      </c>
      <c r="B523" t="s">
        <v>1432</v>
      </c>
      <c r="C523" t="s">
        <v>1433</v>
      </c>
      <c r="D523" t="s">
        <v>1434</v>
      </c>
      <c r="E523" t="s">
        <v>2353</v>
      </c>
      <c r="F523">
        <v>5</v>
      </c>
      <c r="G523">
        <v>7</v>
      </c>
      <c r="H523" t="s">
        <v>22</v>
      </c>
      <c r="I523" t="s">
        <v>22</v>
      </c>
      <c r="J523" t="s">
        <v>180</v>
      </c>
      <c r="K523">
        <v>0.158047676086425</v>
      </c>
      <c r="L523" s="26">
        <v>2.0827508819861202E-6</v>
      </c>
      <c r="M523">
        <v>2.9090974135733898E-2</v>
      </c>
      <c r="N523">
        <v>3.44738749365998</v>
      </c>
    </row>
    <row r="524" spans="1:14">
      <c r="A524" s="1">
        <v>523</v>
      </c>
      <c r="B524" t="s">
        <v>1435</v>
      </c>
      <c r="C524" t="s">
        <v>1436</v>
      </c>
      <c r="D524" t="s">
        <v>1437</v>
      </c>
      <c r="E524" t="s">
        <v>1435</v>
      </c>
      <c r="F524">
        <v>4</v>
      </c>
      <c r="G524">
        <v>3</v>
      </c>
      <c r="H524" t="s">
        <v>8</v>
      </c>
      <c r="I524" t="s">
        <v>8</v>
      </c>
      <c r="J524" t="s">
        <v>4</v>
      </c>
      <c r="K524">
        <v>0.19934457540511999</v>
      </c>
      <c r="L524" s="26">
        <v>1.5945157794392401E-6</v>
      </c>
      <c r="M524">
        <v>3.6713997548403599E-2</v>
      </c>
      <c r="N524">
        <v>2.9977488955491198</v>
      </c>
    </row>
    <row r="525" spans="1:14">
      <c r="A525" s="1">
        <v>524</v>
      </c>
      <c r="B525" t="s">
        <v>1438</v>
      </c>
      <c r="C525" t="s">
        <v>1439</v>
      </c>
      <c r="D525" t="s">
        <v>119</v>
      </c>
      <c r="E525" t="s">
        <v>1438</v>
      </c>
      <c r="F525">
        <v>4</v>
      </c>
      <c r="G525">
        <v>4</v>
      </c>
      <c r="H525" t="s">
        <v>8</v>
      </c>
      <c r="I525" t="s">
        <v>8</v>
      </c>
      <c r="J525" t="s">
        <v>4</v>
      </c>
      <c r="K525">
        <v>0.96531623601913397</v>
      </c>
      <c r="L525" s="26">
        <v>2.9121795230222799E-5</v>
      </c>
      <c r="M525">
        <v>-1.7326384797071201E-2</v>
      </c>
      <c r="N525">
        <v>3.37861350736787</v>
      </c>
    </row>
    <row r="526" spans="1:14">
      <c r="A526" s="1">
        <v>525</v>
      </c>
      <c r="B526" t="s">
        <v>1440</v>
      </c>
      <c r="C526" t="s">
        <v>1441</v>
      </c>
      <c r="D526" t="s">
        <v>1442</v>
      </c>
      <c r="E526" t="s">
        <v>2354</v>
      </c>
      <c r="F526">
        <v>4</v>
      </c>
      <c r="G526">
        <v>8</v>
      </c>
      <c r="H526" t="s">
        <v>8</v>
      </c>
      <c r="I526" t="s">
        <v>8</v>
      </c>
      <c r="J526" t="s">
        <v>180</v>
      </c>
      <c r="K526">
        <v>0.12679724395275099</v>
      </c>
      <c r="L526" s="26">
        <v>1.8423910524872901E-6</v>
      </c>
      <c r="M526">
        <v>9.6910024750656003E-3</v>
      </c>
      <c r="N526">
        <v>3.7123945707844301</v>
      </c>
    </row>
    <row r="527" spans="1:14">
      <c r="A527" s="1">
        <v>526</v>
      </c>
      <c r="B527" t="s">
        <v>1443</v>
      </c>
      <c r="C527" t="s">
        <v>1444</v>
      </c>
      <c r="D527" t="s">
        <v>677</v>
      </c>
      <c r="E527" t="s">
        <v>1443</v>
      </c>
      <c r="F527">
        <v>4</v>
      </c>
      <c r="G527">
        <v>2</v>
      </c>
      <c r="H527" t="s">
        <v>12</v>
      </c>
      <c r="I527" t="s">
        <v>12</v>
      </c>
      <c r="J527" t="s">
        <v>4</v>
      </c>
      <c r="K527">
        <v>0.64383846521377497</v>
      </c>
      <c r="L527" s="26">
        <v>1.3185721923408299E-5</v>
      </c>
      <c r="M527">
        <v>-4.8761461128455197E-2</v>
      </c>
      <c r="N527">
        <v>3.4164995038188199</v>
      </c>
    </row>
    <row r="528" spans="1:14">
      <c r="A528" s="1">
        <v>527</v>
      </c>
      <c r="B528" t="s">
        <v>1445</v>
      </c>
      <c r="C528" t="s">
        <v>1446</v>
      </c>
      <c r="D528" t="s">
        <v>292</v>
      </c>
      <c r="E528" t="s">
        <v>1445</v>
      </c>
      <c r="F528">
        <v>5</v>
      </c>
      <c r="G528">
        <v>4</v>
      </c>
      <c r="H528" t="s">
        <v>8</v>
      </c>
      <c r="I528" t="s">
        <v>8</v>
      </c>
      <c r="J528" t="s">
        <v>4</v>
      </c>
      <c r="K528">
        <v>0.56321698427200295</v>
      </c>
      <c r="L528" s="26">
        <v>1.2161755893697799E-5</v>
      </c>
      <c r="M528">
        <v>1.32120966175861E-2</v>
      </c>
      <c r="N528">
        <v>3.4157441695830499</v>
      </c>
    </row>
    <row r="529" spans="1:14">
      <c r="A529" s="1">
        <v>528</v>
      </c>
      <c r="B529" t="s">
        <v>1447</v>
      </c>
      <c r="C529" t="s">
        <v>1448</v>
      </c>
      <c r="D529" t="s">
        <v>1449</v>
      </c>
      <c r="E529" t="s">
        <v>1447</v>
      </c>
      <c r="F529">
        <v>7</v>
      </c>
      <c r="G529">
        <v>6</v>
      </c>
      <c r="H529" t="s">
        <v>8</v>
      </c>
      <c r="I529" t="s">
        <v>8</v>
      </c>
      <c r="J529" t="s">
        <v>4</v>
      </c>
      <c r="K529">
        <v>0.73507022857666005</v>
      </c>
      <c r="L529" s="26">
        <v>1.6962349391403401E-5</v>
      </c>
      <c r="M529">
        <v>4.89799919060427E-2</v>
      </c>
      <c r="N529">
        <v>2.7939215284220702</v>
      </c>
    </row>
    <row r="530" spans="1:14">
      <c r="A530" s="1">
        <v>529</v>
      </c>
      <c r="B530" t="s">
        <v>1450</v>
      </c>
      <c r="C530" t="s">
        <v>1451</v>
      </c>
      <c r="D530" t="s">
        <v>1452</v>
      </c>
      <c r="E530" t="s">
        <v>1450</v>
      </c>
      <c r="F530">
        <v>4</v>
      </c>
      <c r="G530">
        <v>3</v>
      </c>
      <c r="H530" t="s">
        <v>8</v>
      </c>
      <c r="I530" t="s">
        <v>8</v>
      </c>
      <c r="J530" t="s">
        <v>4</v>
      </c>
      <c r="K530">
        <v>0.71135818958282404</v>
      </c>
      <c r="L530" s="26">
        <v>1.5836227375987202E-5</v>
      </c>
      <c r="M530">
        <v>2.8328733090681102E-3</v>
      </c>
      <c r="N530">
        <v>3.01197662992496</v>
      </c>
    </row>
    <row r="531" spans="1:14">
      <c r="A531" s="1">
        <v>530</v>
      </c>
      <c r="B531" t="s">
        <v>1453</v>
      </c>
      <c r="C531" t="s">
        <v>1454</v>
      </c>
      <c r="D531" t="s">
        <v>1455</v>
      </c>
      <c r="E531" t="s">
        <v>1453</v>
      </c>
      <c r="F531">
        <v>4</v>
      </c>
      <c r="G531">
        <v>4</v>
      </c>
      <c r="H531" t="s">
        <v>8</v>
      </c>
      <c r="I531" t="s">
        <v>8</v>
      </c>
      <c r="J531" t="s">
        <v>4</v>
      </c>
      <c r="K531">
        <v>0.99775993824005105</v>
      </c>
      <c r="L531" s="26">
        <v>3.1110168853940303E-5</v>
      </c>
      <c r="M531">
        <v>3.26615936848213E-2</v>
      </c>
      <c r="N531">
        <v>3.0270829245366899</v>
      </c>
    </row>
    <row r="532" spans="1:14">
      <c r="A532" s="1">
        <v>531</v>
      </c>
      <c r="B532" t="s">
        <v>1456</v>
      </c>
      <c r="C532" t="s">
        <v>1457</v>
      </c>
      <c r="D532" t="s">
        <v>475</v>
      </c>
      <c r="E532" t="s">
        <v>1458</v>
      </c>
      <c r="F532">
        <v>4</v>
      </c>
      <c r="G532">
        <v>5</v>
      </c>
      <c r="H532" t="s">
        <v>8</v>
      </c>
      <c r="I532" t="s">
        <v>12</v>
      </c>
      <c r="J532" t="s">
        <v>180</v>
      </c>
      <c r="K532">
        <v>0.543015956878662</v>
      </c>
      <c r="L532" s="26">
        <v>1.0453996458543599E-5</v>
      </c>
      <c r="M532">
        <v>-1.0021182781373201E-2</v>
      </c>
      <c r="N532">
        <v>3.6339826223374199</v>
      </c>
    </row>
    <row r="533" spans="1:14">
      <c r="A533" s="1">
        <v>532</v>
      </c>
      <c r="B533" t="s">
        <v>1459</v>
      </c>
      <c r="C533" t="s">
        <v>1460</v>
      </c>
      <c r="D533" t="s">
        <v>1461</v>
      </c>
      <c r="E533" t="s">
        <v>1459</v>
      </c>
      <c r="F533">
        <v>4</v>
      </c>
      <c r="G533">
        <v>4</v>
      </c>
      <c r="H533" t="s">
        <v>8</v>
      </c>
      <c r="I533" t="s">
        <v>8</v>
      </c>
      <c r="J533" t="s">
        <v>4</v>
      </c>
      <c r="K533">
        <v>0.32126951217651301</v>
      </c>
      <c r="L533" s="26">
        <v>3.28061137232542E-6</v>
      </c>
      <c r="M533">
        <v>3.5702034315498503E-2</v>
      </c>
      <c r="N533">
        <v>2.7792956601789101</v>
      </c>
    </row>
    <row r="534" spans="1:14">
      <c r="A534" s="1">
        <v>533</v>
      </c>
      <c r="B534" t="s">
        <v>1462</v>
      </c>
      <c r="C534" t="s">
        <v>1463</v>
      </c>
      <c r="D534" t="s">
        <v>1464</v>
      </c>
      <c r="E534" t="s">
        <v>1462</v>
      </c>
      <c r="F534">
        <v>4</v>
      </c>
      <c r="G534">
        <v>3</v>
      </c>
      <c r="H534" t="s">
        <v>8</v>
      </c>
      <c r="I534" t="s">
        <v>8</v>
      </c>
      <c r="J534" t="s">
        <v>4</v>
      </c>
      <c r="K534">
        <v>0.73574823141098</v>
      </c>
      <c r="L534" s="26">
        <v>1.7228799578967901E-5</v>
      </c>
      <c r="M534">
        <v>4.2869789466663998E-2</v>
      </c>
      <c r="N534">
        <v>3.0563481856141999</v>
      </c>
    </row>
    <row r="535" spans="1:14">
      <c r="A535" s="1">
        <v>534</v>
      </c>
      <c r="B535" t="s">
        <v>1465</v>
      </c>
      <c r="C535" t="s">
        <v>1466</v>
      </c>
      <c r="D535" t="s">
        <v>142</v>
      </c>
      <c r="E535" t="s">
        <v>1465</v>
      </c>
      <c r="F535">
        <v>4</v>
      </c>
      <c r="G535">
        <v>2</v>
      </c>
      <c r="H535" t="s">
        <v>12</v>
      </c>
      <c r="I535" t="s">
        <v>12</v>
      </c>
      <c r="J535" t="s">
        <v>4</v>
      </c>
      <c r="K535">
        <v>0.56898653507232599</v>
      </c>
      <c r="L535" s="26">
        <v>1.2120210021813099E-5</v>
      </c>
      <c r="M535">
        <v>9.8009092011324093E-3</v>
      </c>
      <c r="N535">
        <v>3.7169106393231801</v>
      </c>
    </row>
    <row r="536" spans="1:14">
      <c r="A536" s="1">
        <v>535</v>
      </c>
      <c r="B536" t="s">
        <v>1467</v>
      </c>
      <c r="C536" t="s">
        <v>1468</v>
      </c>
      <c r="D536" t="s">
        <v>895</v>
      </c>
      <c r="E536" t="s">
        <v>2355</v>
      </c>
      <c r="F536">
        <v>4</v>
      </c>
      <c r="G536">
        <v>2</v>
      </c>
      <c r="H536" t="s">
        <v>98</v>
      </c>
      <c r="I536" t="s">
        <v>8</v>
      </c>
      <c r="J536" t="s">
        <v>180</v>
      </c>
      <c r="K536">
        <v>0.10415032505989</v>
      </c>
      <c r="L536" s="26">
        <v>7.5566228034529297E-7</v>
      </c>
      <c r="M536">
        <v>1.44218320058215E-2</v>
      </c>
      <c r="N536">
        <v>3.8665684128983902</v>
      </c>
    </row>
    <row r="537" spans="1:14">
      <c r="A537" s="1">
        <v>536</v>
      </c>
      <c r="B537" t="s">
        <v>1469</v>
      </c>
      <c r="C537" t="s">
        <v>1470</v>
      </c>
      <c r="D537" t="s">
        <v>1471</v>
      </c>
      <c r="E537" t="s">
        <v>2356</v>
      </c>
      <c r="F537">
        <v>5</v>
      </c>
      <c r="G537">
        <v>5</v>
      </c>
      <c r="H537" t="s">
        <v>8</v>
      </c>
      <c r="I537" t="s">
        <v>8</v>
      </c>
      <c r="J537" t="s">
        <v>180</v>
      </c>
      <c r="K537">
        <v>0.15860320627689301</v>
      </c>
      <c r="L537" s="26">
        <v>1.4979659245569E-6</v>
      </c>
      <c r="M537">
        <v>-2.1548308225845799E-2</v>
      </c>
      <c r="N537">
        <v>3.4302567151415801</v>
      </c>
    </row>
    <row r="538" spans="1:14">
      <c r="A538" s="1">
        <v>537</v>
      </c>
      <c r="B538" t="s">
        <v>1472</v>
      </c>
      <c r="C538" t="s">
        <v>1473</v>
      </c>
      <c r="D538" t="s">
        <v>1188</v>
      </c>
      <c r="E538" t="s">
        <v>1472</v>
      </c>
      <c r="F538">
        <v>4</v>
      </c>
      <c r="G538">
        <v>4</v>
      </c>
      <c r="H538" t="s">
        <v>3</v>
      </c>
      <c r="I538" t="s">
        <v>3</v>
      </c>
      <c r="J538" t="s">
        <v>4</v>
      </c>
      <c r="K538">
        <v>0.93963694572448697</v>
      </c>
      <c r="L538" s="26">
        <v>2.7598714482170099E-5</v>
      </c>
      <c r="M538">
        <v>2.9689740414671202E-3</v>
      </c>
      <c r="N538">
        <v>3.7073581517876901</v>
      </c>
    </row>
    <row r="539" spans="1:14">
      <c r="A539" s="1">
        <v>538</v>
      </c>
      <c r="B539" t="s">
        <v>1474</v>
      </c>
      <c r="C539" t="s">
        <v>1475</v>
      </c>
      <c r="D539" t="s">
        <v>116</v>
      </c>
      <c r="E539" t="s">
        <v>1474</v>
      </c>
      <c r="F539">
        <v>5</v>
      </c>
      <c r="G539">
        <v>4</v>
      </c>
      <c r="H539" t="s">
        <v>8</v>
      </c>
      <c r="I539" t="s">
        <v>8</v>
      </c>
      <c r="J539" t="s">
        <v>4</v>
      </c>
      <c r="K539">
        <v>0.95115047693252497</v>
      </c>
      <c r="L539" s="26">
        <v>2.82751268527574E-5</v>
      </c>
      <c r="M539">
        <v>5.6863588452053103E-2</v>
      </c>
      <c r="N539">
        <v>3.28495372290149</v>
      </c>
    </row>
    <row r="540" spans="1:14">
      <c r="A540" s="1">
        <v>539</v>
      </c>
      <c r="B540" t="s">
        <v>1476</v>
      </c>
      <c r="C540" t="s">
        <v>1477</v>
      </c>
      <c r="D540" t="s">
        <v>1478</v>
      </c>
      <c r="E540" t="s">
        <v>1476</v>
      </c>
      <c r="F540">
        <v>4</v>
      </c>
      <c r="G540">
        <v>4</v>
      </c>
      <c r="H540" t="s">
        <v>8</v>
      </c>
      <c r="I540" t="s">
        <v>8</v>
      </c>
      <c r="J540" t="s">
        <v>4</v>
      </c>
      <c r="K540">
        <v>0.88761866092681796</v>
      </c>
      <c r="L540" s="26">
        <v>2.4645668042032E-5</v>
      </c>
      <c r="M540">
        <v>-8.9591379358182604E-3</v>
      </c>
      <c r="N540">
        <v>3.5280118766081698</v>
      </c>
    </row>
    <row r="541" spans="1:14">
      <c r="A541" s="1">
        <v>540</v>
      </c>
      <c r="B541" t="s">
        <v>1479</v>
      </c>
      <c r="C541" t="s">
        <v>1480</v>
      </c>
      <c r="D541" t="s">
        <v>1481</v>
      </c>
      <c r="E541" t="s">
        <v>1479</v>
      </c>
      <c r="F541">
        <v>4</v>
      </c>
      <c r="G541">
        <v>9</v>
      </c>
      <c r="H541" t="s">
        <v>8</v>
      </c>
      <c r="I541" t="s">
        <v>8</v>
      </c>
      <c r="J541" t="s">
        <v>4</v>
      </c>
      <c r="K541">
        <v>0.99240702390670699</v>
      </c>
      <c r="L541" s="26">
        <v>3.0777640060805301E-5</v>
      </c>
      <c r="M541">
        <v>-1.07598529073524E-2</v>
      </c>
      <c r="N541">
        <v>2.3716451171035802</v>
      </c>
    </row>
    <row r="542" spans="1:14">
      <c r="A542" s="1">
        <v>541</v>
      </c>
      <c r="B542" t="s">
        <v>1482</v>
      </c>
      <c r="C542" t="s">
        <v>1483</v>
      </c>
      <c r="D542" t="s">
        <v>1484</v>
      </c>
      <c r="E542" t="s">
        <v>1482</v>
      </c>
      <c r="F542">
        <v>4</v>
      </c>
      <c r="G542">
        <v>4</v>
      </c>
      <c r="H542" t="s">
        <v>8</v>
      </c>
      <c r="I542" t="s">
        <v>8</v>
      </c>
      <c r="J542" t="s">
        <v>4</v>
      </c>
      <c r="K542">
        <v>0.97947674989700295</v>
      </c>
      <c r="L542" s="26">
        <v>2.9981394911312401E-5</v>
      </c>
      <c r="M542">
        <v>1.1981956965946901E-2</v>
      </c>
      <c r="N542">
        <v>2.7945420001378798</v>
      </c>
    </row>
    <row r="543" spans="1:14">
      <c r="A543" s="1">
        <v>542</v>
      </c>
      <c r="B543" t="s">
        <v>1485</v>
      </c>
      <c r="C543" t="s">
        <v>1486</v>
      </c>
      <c r="D543" t="s">
        <v>1054</v>
      </c>
      <c r="E543" t="s">
        <v>1485</v>
      </c>
      <c r="F543">
        <v>5</v>
      </c>
      <c r="G543">
        <v>5</v>
      </c>
      <c r="H543" t="s">
        <v>8</v>
      </c>
      <c r="I543" t="s">
        <v>8</v>
      </c>
      <c r="J543" t="s">
        <v>4</v>
      </c>
      <c r="K543">
        <v>0.90529030561447099</v>
      </c>
      <c r="L543" s="26">
        <v>2.5612616690182601E-5</v>
      </c>
      <c r="M543">
        <v>-1.51871356091248E-2</v>
      </c>
      <c r="N543">
        <v>3.4543539128727199</v>
      </c>
    </row>
    <row r="544" spans="1:14">
      <c r="A544" s="1">
        <v>543</v>
      </c>
      <c r="B544" t="s">
        <v>1487</v>
      </c>
      <c r="C544" t="s">
        <v>1488</v>
      </c>
      <c r="D544" t="s">
        <v>1489</v>
      </c>
      <c r="E544" t="s">
        <v>1487</v>
      </c>
      <c r="F544">
        <v>5</v>
      </c>
      <c r="G544">
        <v>3</v>
      </c>
      <c r="H544" t="s">
        <v>113</v>
      </c>
      <c r="I544" t="s">
        <v>113</v>
      </c>
      <c r="J544" t="s">
        <v>4</v>
      </c>
      <c r="K544">
        <v>0.93337303400039595</v>
      </c>
      <c r="L544" s="26">
        <v>2.72826487334628E-5</v>
      </c>
      <c r="M544" s="26">
        <v>1.48101769781305E-5</v>
      </c>
      <c r="N544">
        <v>3.7694769802631201</v>
      </c>
    </row>
    <row r="545" spans="1:14">
      <c r="A545" s="1">
        <v>544</v>
      </c>
      <c r="B545" t="s">
        <v>1490</v>
      </c>
      <c r="C545" t="s">
        <v>1491</v>
      </c>
      <c r="D545" t="s">
        <v>503</v>
      </c>
      <c r="E545" t="s">
        <v>1490</v>
      </c>
      <c r="F545">
        <v>4</v>
      </c>
      <c r="G545">
        <v>3</v>
      </c>
      <c r="H545" t="s">
        <v>12</v>
      </c>
      <c r="I545" t="s">
        <v>12</v>
      </c>
      <c r="J545" t="s">
        <v>4</v>
      </c>
      <c r="K545">
        <v>0.88506329059600797</v>
      </c>
      <c r="L545" s="26">
        <v>2.4550098481486201E-5</v>
      </c>
      <c r="M545">
        <v>-5.5958401131164202E-3</v>
      </c>
      <c r="N545">
        <v>3.6507001476216798</v>
      </c>
    </row>
    <row r="546" spans="1:14">
      <c r="A546" s="1">
        <v>545</v>
      </c>
      <c r="B546" t="s">
        <v>1492</v>
      </c>
      <c r="C546" t="s">
        <v>1493</v>
      </c>
      <c r="D546" t="s">
        <v>50</v>
      </c>
      <c r="E546" t="s">
        <v>2357</v>
      </c>
      <c r="F546">
        <v>5</v>
      </c>
      <c r="G546">
        <v>3</v>
      </c>
      <c r="H546" t="s">
        <v>8</v>
      </c>
      <c r="I546" t="s">
        <v>123</v>
      </c>
      <c r="J546" t="s">
        <v>180</v>
      </c>
      <c r="K546">
        <v>0.15705218911170901</v>
      </c>
      <c r="L546" s="26">
        <v>1.35523022268475E-6</v>
      </c>
      <c r="M546">
        <v>-2.55331090600678E-2</v>
      </c>
      <c r="N546">
        <v>3.4556063228455498</v>
      </c>
    </row>
    <row r="547" spans="1:14">
      <c r="A547" s="1">
        <v>546</v>
      </c>
      <c r="B547" t="s">
        <v>1494</v>
      </c>
      <c r="C547" t="s">
        <v>1495</v>
      </c>
      <c r="D547" t="s">
        <v>1496</v>
      </c>
      <c r="E547" t="s">
        <v>2358</v>
      </c>
      <c r="F547">
        <v>4</v>
      </c>
      <c r="G547">
        <v>4</v>
      </c>
      <c r="H547" t="s">
        <v>8</v>
      </c>
      <c r="I547" t="s">
        <v>8</v>
      </c>
      <c r="J547" t="s">
        <v>180</v>
      </c>
      <c r="K547">
        <v>0.14687786996364499</v>
      </c>
      <c r="L547" s="26">
        <v>1.30770652079304E-6</v>
      </c>
      <c r="M547">
        <v>-1.8730299277788E-2</v>
      </c>
      <c r="N547">
        <v>3.4394762878737399</v>
      </c>
    </row>
    <row r="548" spans="1:14">
      <c r="A548" s="1">
        <v>547</v>
      </c>
      <c r="B548" t="s">
        <v>1497</v>
      </c>
      <c r="C548" t="s">
        <v>1498</v>
      </c>
      <c r="D548" t="s">
        <v>50</v>
      </c>
      <c r="E548" t="s">
        <v>2359</v>
      </c>
      <c r="F548">
        <v>4</v>
      </c>
      <c r="G548">
        <v>3</v>
      </c>
      <c r="H548" t="s">
        <v>8</v>
      </c>
      <c r="I548" t="s">
        <v>22</v>
      </c>
      <c r="J548" t="s">
        <v>180</v>
      </c>
      <c r="K548">
        <v>1.26592889428138E-2</v>
      </c>
      <c r="L548" s="26">
        <v>5.15938195908177E-8</v>
      </c>
      <c r="M548">
        <v>3.0312599302259699E-2</v>
      </c>
      <c r="N548">
        <v>2.5753243175125702</v>
      </c>
    </row>
    <row r="549" spans="1:14">
      <c r="A549" s="1">
        <v>548</v>
      </c>
      <c r="B549" t="s">
        <v>1499</v>
      </c>
      <c r="C549" t="s">
        <v>1500</v>
      </c>
      <c r="D549" t="s">
        <v>1501</v>
      </c>
      <c r="E549" t="s">
        <v>1499</v>
      </c>
      <c r="F549">
        <v>4</v>
      </c>
      <c r="G549">
        <v>5</v>
      </c>
      <c r="H549" t="s">
        <v>8</v>
      </c>
      <c r="I549" t="s">
        <v>8</v>
      </c>
      <c r="J549" t="s">
        <v>4</v>
      </c>
      <c r="K549">
        <v>0.201687961816787</v>
      </c>
      <c r="L549" s="26">
        <v>1.4412866470336399E-6</v>
      </c>
      <c r="M549">
        <v>6.9559299147670096E-4</v>
      </c>
      <c r="N549">
        <v>3.1610068772500899</v>
      </c>
    </row>
    <row r="550" spans="1:14">
      <c r="A550" s="1">
        <v>549</v>
      </c>
      <c r="B550" t="s">
        <v>1502</v>
      </c>
      <c r="C550" t="s">
        <v>1503</v>
      </c>
      <c r="D550" t="s">
        <v>292</v>
      </c>
      <c r="E550" t="s">
        <v>1502</v>
      </c>
      <c r="F550">
        <v>4</v>
      </c>
      <c r="G550">
        <v>4</v>
      </c>
      <c r="H550" t="s">
        <v>8</v>
      </c>
      <c r="I550" t="s">
        <v>8</v>
      </c>
      <c r="J550" t="s">
        <v>4</v>
      </c>
      <c r="K550">
        <v>5.2888967096805503E-2</v>
      </c>
      <c r="L550" s="26">
        <v>4.4582965736040298E-7</v>
      </c>
      <c r="M550">
        <v>-2.5826535705419901E-2</v>
      </c>
      <c r="N550">
        <v>3.1461979244068501</v>
      </c>
    </row>
    <row r="551" spans="1:14">
      <c r="A551" s="1">
        <v>550</v>
      </c>
      <c r="B551" t="s">
        <v>1504</v>
      </c>
      <c r="C551" t="s">
        <v>1505</v>
      </c>
      <c r="D551" t="s">
        <v>1506</v>
      </c>
      <c r="E551" t="s">
        <v>1504</v>
      </c>
      <c r="F551">
        <v>4</v>
      </c>
      <c r="G551">
        <v>4</v>
      </c>
      <c r="H551" t="s">
        <v>8</v>
      </c>
      <c r="I551" t="s">
        <v>8</v>
      </c>
      <c r="J551" t="s">
        <v>4</v>
      </c>
      <c r="K551">
        <v>0.49566033482551503</v>
      </c>
      <c r="L551" s="26">
        <v>7.7300548058259107E-6</v>
      </c>
      <c r="M551">
        <v>9.1915596388219001E-3</v>
      </c>
      <c r="N551">
        <v>2.3664347168148701</v>
      </c>
    </row>
    <row r="552" spans="1:14">
      <c r="A552" s="1">
        <v>551</v>
      </c>
      <c r="B552" t="s">
        <v>1507</v>
      </c>
      <c r="C552" t="s">
        <v>1508</v>
      </c>
      <c r="D552" t="s">
        <v>500</v>
      </c>
      <c r="E552" t="s">
        <v>1507</v>
      </c>
      <c r="F552">
        <v>4</v>
      </c>
      <c r="G552">
        <v>4</v>
      </c>
      <c r="H552" t="s">
        <v>8</v>
      </c>
      <c r="I552" t="s">
        <v>8</v>
      </c>
      <c r="J552" t="s">
        <v>4</v>
      </c>
      <c r="K552">
        <v>0.47755452990531899</v>
      </c>
      <c r="L552" s="26">
        <v>7.6047221080536904E-6</v>
      </c>
      <c r="M552">
        <v>-1.9653389332020699E-2</v>
      </c>
      <c r="N552">
        <v>3.1017418287840499</v>
      </c>
    </row>
    <row r="553" spans="1:14">
      <c r="A553" s="1">
        <v>552</v>
      </c>
      <c r="B553" t="s">
        <v>1509</v>
      </c>
      <c r="C553" t="s">
        <v>1510</v>
      </c>
      <c r="D553" t="s">
        <v>1511</v>
      </c>
      <c r="E553" t="s">
        <v>1512</v>
      </c>
      <c r="F553">
        <v>4</v>
      </c>
      <c r="G553">
        <v>5</v>
      </c>
      <c r="H553" t="s">
        <v>68</v>
      </c>
      <c r="I553" t="s">
        <v>8</v>
      </c>
      <c r="J553" t="s">
        <v>180</v>
      </c>
      <c r="K553">
        <v>4.0781706571578903E-2</v>
      </c>
      <c r="L553" s="26">
        <v>1.80004635901635E-7</v>
      </c>
      <c r="M553">
        <v>-1.7173390671993902E-2</v>
      </c>
      <c r="N553">
        <v>3.3527322036704299</v>
      </c>
    </row>
    <row r="554" spans="1:14">
      <c r="A554" s="1">
        <v>553</v>
      </c>
      <c r="B554" t="s">
        <v>1513</v>
      </c>
      <c r="C554" t="s">
        <v>1514</v>
      </c>
      <c r="D554" t="s">
        <v>1515</v>
      </c>
      <c r="E554" t="s">
        <v>1513</v>
      </c>
      <c r="F554">
        <v>4</v>
      </c>
      <c r="G554">
        <v>6</v>
      </c>
      <c r="H554" t="s">
        <v>8</v>
      </c>
      <c r="I554" t="s">
        <v>8</v>
      </c>
      <c r="J554" t="s">
        <v>4</v>
      </c>
      <c r="K554">
        <v>0.82419985532760598</v>
      </c>
      <c r="L554" s="26">
        <v>2.12735699350604E-5</v>
      </c>
      <c r="M554">
        <v>2.4490028744423801E-3</v>
      </c>
      <c r="N554">
        <v>3.2319493816468898</v>
      </c>
    </row>
    <row r="555" spans="1:14">
      <c r="A555" s="1">
        <v>554</v>
      </c>
      <c r="B555" t="s">
        <v>1516</v>
      </c>
      <c r="C555" t="s">
        <v>1517</v>
      </c>
      <c r="D555" t="s">
        <v>61</v>
      </c>
      <c r="E555" t="s">
        <v>1516</v>
      </c>
      <c r="F555">
        <v>4</v>
      </c>
      <c r="G555">
        <v>2</v>
      </c>
      <c r="H555" t="s">
        <v>22</v>
      </c>
      <c r="I555" t="s">
        <v>22</v>
      </c>
      <c r="J555" t="s">
        <v>4</v>
      </c>
      <c r="K555">
        <v>0.96653652191162098</v>
      </c>
      <c r="L555" s="26">
        <v>2.9194681167713799E-5</v>
      </c>
      <c r="M555">
        <v>-6.0782350706460797E-3</v>
      </c>
      <c r="N555">
        <v>3.6781115503549602</v>
      </c>
    </row>
    <row r="556" spans="1:14">
      <c r="A556" s="1">
        <v>555</v>
      </c>
      <c r="B556" t="s">
        <v>1518</v>
      </c>
      <c r="C556" t="s">
        <v>1519</v>
      </c>
      <c r="D556" t="s">
        <v>1520</v>
      </c>
      <c r="E556" t="s">
        <v>1518</v>
      </c>
      <c r="F556">
        <v>5</v>
      </c>
      <c r="G556">
        <v>2</v>
      </c>
      <c r="H556" t="s">
        <v>22</v>
      </c>
      <c r="I556" t="s">
        <v>22</v>
      </c>
      <c r="J556" t="s">
        <v>4</v>
      </c>
      <c r="K556">
        <v>0.87620699405670099</v>
      </c>
      <c r="L556" s="26">
        <v>2.4144262209887E-5</v>
      </c>
      <c r="M556">
        <v>1.4413650034167599E-2</v>
      </c>
      <c r="N556">
        <v>3.6938871944828402</v>
      </c>
    </row>
    <row r="557" spans="1:14">
      <c r="A557" s="1">
        <v>556</v>
      </c>
      <c r="B557" t="s">
        <v>1521</v>
      </c>
      <c r="C557" t="s">
        <v>1522</v>
      </c>
      <c r="D557" t="s">
        <v>1523</v>
      </c>
      <c r="E557" t="s">
        <v>1521</v>
      </c>
      <c r="F557">
        <v>6</v>
      </c>
      <c r="G557">
        <v>3</v>
      </c>
      <c r="H557" t="s">
        <v>68</v>
      </c>
      <c r="I557" t="s">
        <v>68</v>
      </c>
      <c r="J557" t="s">
        <v>4</v>
      </c>
      <c r="K557">
        <v>0.89445829391479403</v>
      </c>
      <c r="L557" s="26">
        <v>2.50525708814688E-5</v>
      </c>
      <c r="M557">
        <v>-1.1834754947440001E-2</v>
      </c>
      <c r="N557">
        <v>3.6444164207384002</v>
      </c>
    </row>
    <row r="558" spans="1:14">
      <c r="A558" s="1">
        <v>557</v>
      </c>
      <c r="B558" t="s">
        <v>1524</v>
      </c>
      <c r="C558" t="s">
        <v>1525</v>
      </c>
      <c r="D558" t="s">
        <v>1158</v>
      </c>
      <c r="E558" t="s">
        <v>1524</v>
      </c>
      <c r="F558">
        <v>4</v>
      </c>
      <c r="G558">
        <v>3</v>
      </c>
      <c r="H558" t="s">
        <v>8</v>
      </c>
      <c r="I558" t="s">
        <v>8</v>
      </c>
      <c r="J558" t="s">
        <v>4</v>
      </c>
      <c r="K558">
        <v>0.73583000898361195</v>
      </c>
      <c r="L558" s="26">
        <v>1.6939597649817299E-5</v>
      </c>
      <c r="M558">
        <v>2.5684857631638601E-2</v>
      </c>
      <c r="N558">
        <v>3.17700486491225</v>
      </c>
    </row>
    <row r="559" spans="1:14">
      <c r="A559" s="1">
        <v>558</v>
      </c>
      <c r="B559" t="s">
        <v>1526</v>
      </c>
      <c r="C559" t="s">
        <v>1527</v>
      </c>
      <c r="D559" t="s">
        <v>1528</v>
      </c>
      <c r="E559" t="s">
        <v>1526</v>
      </c>
      <c r="F559">
        <v>4</v>
      </c>
      <c r="G559">
        <v>5</v>
      </c>
      <c r="H559" t="s">
        <v>8</v>
      </c>
      <c r="I559" t="s">
        <v>8</v>
      </c>
      <c r="J559" t="s">
        <v>4</v>
      </c>
      <c r="K559">
        <v>0.99803620576858498</v>
      </c>
      <c r="L559" s="26">
        <v>3.1127390637276401E-5</v>
      </c>
      <c r="M559">
        <v>-8.1242178564675492E-3</v>
      </c>
      <c r="N559">
        <v>3.3263323018686801</v>
      </c>
    </row>
    <row r="560" spans="1:14">
      <c r="A560" s="1">
        <v>559</v>
      </c>
      <c r="B560" t="s">
        <v>1529</v>
      </c>
      <c r="C560" t="s">
        <v>1530</v>
      </c>
      <c r="D560" t="s">
        <v>151</v>
      </c>
      <c r="E560" t="s">
        <v>1529</v>
      </c>
      <c r="F560">
        <v>4</v>
      </c>
      <c r="G560">
        <v>5</v>
      </c>
      <c r="H560" t="s">
        <v>68</v>
      </c>
      <c r="I560" t="s">
        <v>68</v>
      </c>
      <c r="J560" t="s">
        <v>4</v>
      </c>
      <c r="K560">
        <v>0.32010069489478998</v>
      </c>
      <c r="L560" s="26">
        <v>3.8107657514141101E-6</v>
      </c>
      <c r="M560">
        <v>-1.6203323350847301E-3</v>
      </c>
      <c r="N560">
        <v>3.47826120620471</v>
      </c>
    </row>
    <row r="561" spans="1:14">
      <c r="A561" s="1">
        <v>560</v>
      </c>
      <c r="B561" t="s">
        <v>1531</v>
      </c>
      <c r="C561" t="s">
        <v>1532</v>
      </c>
      <c r="D561" t="s">
        <v>1533</v>
      </c>
      <c r="E561" t="s">
        <v>2360</v>
      </c>
      <c r="F561">
        <v>4</v>
      </c>
      <c r="G561">
        <v>6</v>
      </c>
      <c r="H561" t="s">
        <v>8</v>
      </c>
      <c r="I561" t="s">
        <v>22</v>
      </c>
      <c r="J561" t="s">
        <v>180</v>
      </c>
      <c r="K561">
        <v>0.236902400851249</v>
      </c>
      <c r="L561" s="26">
        <v>2.4731222186128199E-6</v>
      </c>
      <c r="M561">
        <v>1.2935380024188699E-2</v>
      </c>
      <c r="N561">
        <v>3.5774092436283502</v>
      </c>
    </row>
    <row r="562" spans="1:14">
      <c r="A562" s="1">
        <v>561</v>
      </c>
      <c r="B562" t="s">
        <v>1534</v>
      </c>
      <c r="C562" t="s">
        <v>1535</v>
      </c>
      <c r="D562" t="s">
        <v>1536</v>
      </c>
      <c r="E562" t="s">
        <v>1534</v>
      </c>
      <c r="F562">
        <v>4</v>
      </c>
      <c r="G562">
        <v>4</v>
      </c>
      <c r="H562" t="s">
        <v>8</v>
      </c>
      <c r="I562" t="s">
        <v>8</v>
      </c>
      <c r="J562" t="s">
        <v>4</v>
      </c>
      <c r="K562">
        <v>0.83750641345977705</v>
      </c>
      <c r="L562" s="26">
        <v>2.2250860998289699E-5</v>
      </c>
      <c r="M562">
        <v>-5.3378828037686701E-3</v>
      </c>
      <c r="N562">
        <v>3.6206401917736302</v>
      </c>
    </row>
    <row r="563" spans="1:14">
      <c r="A563" s="1">
        <v>562</v>
      </c>
      <c r="B563" t="s">
        <v>1537</v>
      </c>
      <c r="C563" t="s">
        <v>1538</v>
      </c>
      <c r="D563" t="s">
        <v>7</v>
      </c>
      <c r="E563" t="s">
        <v>1539</v>
      </c>
      <c r="F563">
        <v>4</v>
      </c>
      <c r="G563">
        <v>3</v>
      </c>
      <c r="H563" t="s">
        <v>8</v>
      </c>
      <c r="I563" t="s">
        <v>3</v>
      </c>
      <c r="J563" t="s">
        <v>180</v>
      </c>
      <c r="K563">
        <v>0.85900813341140703</v>
      </c>
      <c r="L563" s="26">
        <v>2.3246797930107399E-5</v>
      </c>
      <c r="M563">
        <v>-1.0154320363454801E-2</v>
      </c>
      <c r="N563">
        <v>3.63387584775661</v>
      </c>
    </row>
    <row r="564" spans="1:14">
      <c r="A564" s="1">
        <v>563</v>
      </c>
      <c r="B564" t="s">
        <v>1540</v>
      </c>
      <c r="C564" t="s">
        <v>1541</v>
      </c>
      <c r="D564" t="s">
        <v>1542</v>
      </c>
      <c r="E564" t="s">
        <v>2361</v>
      </c>
      <c r="F564">
        <v>4</v>
      </c>
      <c r="G564">
        <v>3</v>
      </c>
      <c r="H564" t="s">
        <v>8</v>
      </c>
      <c r="I564" t="s">
        <v>8</v>
      </c>
      <c r="J564" t="s">
        <v>180</v>
      </c>
      <c r="K564">
        <v>0.17947824299335399</v>
      </c>
      <c r="L564" s="26">
        <v>2.2590421924954199E-6</v>
      </c>
      <c r="M564">
        <v>-1.2620524669610901E-2</v>
      </c>
      <c r="N564">
        <v>3.63429101807868</v>
      </c>
    </row>
    <row r="565" spans="1:14">
      <c r="A565" s="1">
        <v>564</v>
      </c>
      <c r="B565" t="s">
        <v>1543</v>
      </c>
      <c r="C565" t="s">
        <v>1544</v>
      </c>
      <c r="D565" t="s">
        <v>1545</v>
      </c>
      <c r="E565" t="s">
        <v>1543</v>
      </c>
      <c r="F565">
        <v>4</v>
      </c>
      <c r="G565">
        <v>5</v>
      </c>
      <c r="H565" t="s">
        <v>8</v>
      </c>
      <c r="I565" t="s">
        <v>8</v>
      </c>
      <c r="J565" t="s">
        <v>4</v>
      </c>
      <c r="K565">
        <v>0.57845091819763095</v>
      </c>
      <c r="L565" s="26">
        <v>1.05517820422311E-5</v>
      </c>
      <c r="M565">
        <v>6.8787683057482899E-3</v>
      </c>
      <c r="N565">
        <v>2.8919512090825501</v>
      </c>
    </row>
    <row r="566" spans="1:14">
      <c r="A566" s="1">
        <v>565</v>
      </c>
      <c r="B566" t="s">
        <v>1546</v>
      </c>
      <c r="C566" t="s">
        <v>1547</v>
      </c>
      <c r="D566" t="s">
        <v>1548</v>
      </c>
      <c r="E566" t="s">
        <v>1546</v>
      </c>
      <c r="F566">
        <v>4</v>
      </c>
      <c r="G566">
        <v>6</v>
      </c>
      <c r="H566" t="s">
        <v>8</v>
      </c>
      <c r="I566" t="s">
        <v>8</v>
      </c>
      <c r="J566" t="s">
        <v>4</v>
      </c>
      <c r="K566">
        <v>0.997908115386962</v>
      </c>
      <c r="L566" s="26">
        <v>3.11193961913713E-5</v>
      </c>
      <c r="M566">
        <v>9.1331657731359393E-3</v>
      </c>
      <c r="N566">
        <v>2.5046514276882199</v>
      </c>
    </row>
    <row r="567" spans="1:14">
      <c r="A567" s="1">
        <v>566</v>
      </c>
      <c r="B567" t="s">
        <v>1549</v>
      </c>
      <c r="C567" t="s">
        <v>1550</v>
      </c>
      <c r="D567" t="s">
        <v>1166</v>
      </c>
      <c r="E567" t="s">
        <v>1549</v>
      </c>
      <c r="F567">
        <v>4</v>
      </c>
      <c r="G567">
        <v>5</v>
      </c>
      <c r="H567" t="s">
        <v>8</v>
      </c>
      <c r="I567" t="s">
        <v>8</v>
      </c>
      <c r="J567" t="s">
        <v>4</v>
      </c>
      <c r="K567">
        <v>0.80557107925414995</v>
      </c>
      <c r="L567" s="26">
        <v>2.0871408325340402E-5</v>
      </c>
      <c r="M567">
        <v>3.48343054754423E-2</v>
      </c>
      <c r="N567">
        <v>3.3715940379795502</v>
      </c>
    </row>
    <row r="568" spans="1:14">
      <c r="A568" s="1">
        <v>567</v>
      </c>
      <c r="B568" t="s">
        <v>1551</v>
      </c>
      <c r="C568" t="s">
        <v>1552</v>
      </c>
      <c r="D568" t="s">
        <v>1553</v>
      </c>
      <c r="E568" t="s">
        <v>2362</v>
      </c>
      <c r="F568">
        <v>5</v>
      </c>
      <c r="G568">
        <v>4</v>
      </c>
      <c r="H568" t="s">
        <v>8</v>
      </c>
      <c r="I568" t="s">
        <v>8</v>
      </c>
      <c r="J568" t="s">
        <v>180</v>
      </c>
      <c r="K568">
        <v>0.14808084070682501</v>
      </c>
      <c r="L568" s="26">
        <v>2.2788490359872099E-6</v>
      </c>
      <c r="M568">
        <v>-1.32554141537166E-3</v>
      </c>
      <c r="N568">
        <v>3.69090318591932</v>
      </c>
    </row>
    <row r="569" spans="1:14">
      <c r="A569" s="1">
        <v>568</v>
      </c>
      <c r="B569" t="s">
        <v>1554</v>
      </c>
      <c r="C569" t="s">
        <v>1555</v>
      </c>
      <c r="D569" t="s">
        <v>1200</v>
      </c>
      <c r="E569" t="s">
        <v>1554</v>
      </c>
      <c r="F569">
        <v>7</v>
      </c>
      <c r="G569">
        <v>6</v>
      </c>
      <c r="H569" t="s">
        <v>8</v>
      </c>
      <c r="I569" t="s">
        <v>8</v>
      </c>
      <c r="J569" t="s">
        <v>4</v>
      </c>
      <c r="K569">
        <v>0.65936028957366899</v>
      </c>
      <c r="L569" s="26">
        <v>1.3600506968299399E-5</v>
      </c>
      <c r="M569">
        <v>-1.9471957733259099E-3</v>
      </c>
      <c r="N569">
        <v>2.8033733884287999</v>
      </c>
    </row>
    <row r="570" spans="1:14">
      <c r="A570" s="1">
        <v>569</v>
      </c>
      <c r="B570" t="s">
        <v>1556</v>
      </c>
      <c r="C570" t="s">
        <v>1557</v>
      </c>
      <c r="D570" t="s">
        <v>1558</v>
      </c>
      <c r="E570" t="s">
        <v>1556</v>
      </c>
      <c r="F570">
        <v>4</v>
      </c>
      <c r="G570">
        <v>5</v>
      </c>
      <c r="H570" t="s">
        <v>8</v>
      </c>
      <c r="I570" t="s">
        <v>8</v>
      </c>
      <c r="J570" t="s">
        <v>4</v>
      </c>
      <c r="K570">
        <v>0.96482598781585605</v>
      </c>
      <c r="L570" s="26">
        <v>2.9120622938935799E-5</v>
      </c>
      <c r="M570">
        <v>1.0203427174928901E-2</v>
      </c>
      <c r="N570">
        <v>3.2897664973304401</v>
      </c>
    </row>
    <row r="571" spans="1:14">
      <c r="A571" s="1">
        <v>570</v>
      </c>
      <c r="B571" t="s">
        <v>1559</v>
      </c>
      <c r="C571" t="s">
        <v>1560</v>
      </c>
      <c r="D571" t="s">
        <v>1561</v>
      </c>
      <c r="E571" t="s">
        <v>1559</v>
      </c>
      <c r="F571">
        <v>4</v>
      </c>
      <c r="G571">
        <v>6</v>
      </c>
      <c r="H571" t="s">
        <v>8</v>
      </c>
      <c r="I571" t="s">
        <v>8</v>
      </c>
      <c r="J571" t="s">
        <v>4</v>
      </c>
      <c r="K571">
        <v>0.39292126893997098</v>
      </c>
      <c r="L571" s="26">
        <v>4.8742855060334898E-6</v>
      </c>
      <c r="M571">
        <v>4.3644481161436398E-2</v>
      </c>
      <c r="N571">
        <v>3.2863054074962399</v>
      </c>
    </row>
    <row r="572" spans="1:14">
      <c r="A572" s="1">
        <v>571</v>
      </c>
      <c r="B572" t="s">
        <v>1562</v>
      </c>
      <c r="C572" t="s">
        <v>1563</v>
      </c>
      <c r="D572" t="s">
        <v>1564</v>
      </c>
      <c r="E572" t="s">
        <v>1562</v>
      </c>
      <c r="F572">
        <v>4</v>
      </c>
      <c r="G572">
        <v>3</v>
      </c>
      <c r="H572" t="s">
        <v>68</v>
      </c>
      <c r="I572" t="s">
        <v>68</v>
      </c>
      <c r="J572" t="s">
        <v>4</v>
      </c>
      <c r="K572">
        <v>0.194535061717033</v>
      </c>
      <c r="L572" s="26">
        <v>1.85736165421335E-6</v>
      </c>
      <c r="M572">
        <v>-1.8438252093297001E-2</v>
      </c>
      <c r="N572">
        <v>3.5400277449547999</v>
      </c>
    </row>
    <row r="573" spans="1:14">
      <c r="A573" s="1">
        <v>572</v>
      </c>
      <c r="B573" t="s">
        <v>1565</v>
      </c>
      <c r="C573" t="s">
        <v>1566</v>
      </c>
      <c r="D573" t="s">
        <v>1567</v>
      </c>
      <c r="E573" t="s">
        <v>1565</v>
      </c>
      <c r="F573">
        <v>4</v>
      </c>
      <c r="G573">
        <v>4</v>
      </c>
      <c r="H573" t="s">
        <v>8</v>
      </c>
      <c r="I573" t="s">
        <v>8</v>
      </c>
      <c r="J573" t="s">
        <v>4</v>
      </c>
      <c r="K573">
        <v>0.98159676790237405</v>
      </c>
      <c r="L573" s="26">
        <v>3.0118755282424299E-5</v>
      </c>
      <c r="M573">
        <v>2.53315894945744E-2</v>
      </c>
      <c r="N573">
        <v>2.1273788510777698</v>
      </c>
    </row>
    <row r="574" spans="1:14">
      <c r="A574" s="1">
        <v>573</v>
      </c>
      <c r="B574" t="s">
        <v>1568</v>
      </c>
      <c r="C574" t="s">
        <v>1569</v>
      </c>
      <c r="D574" t="s">
        <v>959</v>
      </c>
      <c r="E574" t="s">
        <v>1568</v>
      </c>
      <c r="F574">
        <v>4</v>
      </c>
      <c r="G574">
        <v>3</v>
      </c>
      <c r="H574" t="s">
        <v>22</v>
      </c>
      <c r="I574" t="s">
        <v>22</v>
      </c>
      <c r="J574" t="s">
        <v>4</v>
      </c>
      <c r="K574">
        <v>0.71385312080383301</v>
      </c>
      <c r="L574" s="26">
        <v>1.60421331127556E-5</v>
      </c>
      <c r="M574">
        <v>1.06602048006898E-3</v>
      </c>
      <c r="N574">
        <v>3.5449774142975898</v>
      </c>
    </row>
    <row r="575" spans="1:14">
      <c r="A575" s="1">
        <v>574</v>
      </c>
      <c r="B575" t="s">
        <v>1570</v>
      </c>
      <c r="C575" t="s">
        <v>1571</v>
      </c>
      <c r="D575" t="s">
        <v>942</v>
      </c>
      <c r="E575" t="s">
        <v>1570</v>
      </c>
      <c r="F575">
        <v>5</v>
      </c>
      <c r="G575">
        <v>5</v>
      </c>
      <c r="H575" t="s">
        <v>8</v>
      </c>
      <c r="I575" t="s">
        <v>8</v>
      </c>
      <c r="J575" t="s">
        <v>4</v>
      </c>
      <c r="K575">
        <v>0.72957855463027899</v>
      </c>
      <c r="L575" s="26">
        <v>1.6789068352139302E-5</v>
      </c>
      <c r="M575">
        <v>2.93002933621355E-2</v>
      </c>
      <c r="N575">
        <v>3.3986400849760798</v>
      </c>
    </row>
    <row r="576" spans="1:14">
      <c r="A576" s="1">
        <v>575</v>
      </c>
      <c r="B576" t="s">
        <v>1572</v>
      </c>
      <c r="C576" t="s">
        <v>1573</v>
      </c>
      <c r="D576" t="s">
        <v>1574</v>
      </c>
      <c r="E576" t="s">
        <v>1575</v>
      </c>
      <c r="F576">
        <v>4</v>
      </c>
      <c r="G576">
        <v>3</v>
      </c>
      <c r="H576" t="s">
        <v>8</v>
      </c>
      <c r="I576" t="s">
        <v>12</v>
      </c>
      <c r="J576" t="s">
        <v>180</v>
      </c>
      <c r="K576">
        <v>0.64303958415985096</v>
      </c>
      <c r="L576" s="26">
        <v>1.37850288306053E-5</v>
      </c>
      <c r="M576">
        <v>-4.5556683706280403E-2</v>
      </c>
      <c r="N576">
        <v>3.6223004070949498</v>
      </c>
    </row>
    <row r="577" spans="1:14">
      <c r="A577" s="1">
        <v>576</v>
      </c>
      <c r="B577" t="s">
        <v>1576</v>
      </c>
      <c r="C577" t="s">
        <v>1577</v>
      </c>
      <c r="D577" t="s">
        <v>1578</v>
      </c>
      <c r="E577" t="s">
        <v>2363</v>
      </c>
      <c r="F577">
        <v>4</v>
      </c>
      <c r="G577">
        <v>3</v>
      </c>
      <c r="H577" t="s">
        <v>8</v>
      </c>
      <c r="I577" t="s">
        <v>8</v>
      </c>
      <c r="J577" t="s">
        <v>180</v>
      </c>
      <c r="K577">
        <v>0.26249068975448597</v>
      </c>
      <c r="L577" s="26">
        <v>3.32514298260232E-6</v>
      </c>
      <c r="M577">
        <v>2.7527758456411498E-3</v>
      </c>
      <c r="N577">
        <v>3.6833567516166901</v>
      </c>
    </row>
    <row r="578" spans="1:14">
      <c r="A578" s="1">
        <v>577</v>
      </c>
      <c r="B578" t="s">
        <v>1579</v>
      </c>
      <c r="C578" t="s">
        <v>1580</v>
      </c>
      <c r="D578" t="s">
        <v>1161</v>
      </c>
      <c r="E578" t="s">
        <v>1579</v>
      </c>
      <c r="F578">
        <v>5</v>
      </c>
      <c r="G578">
        <v>4</v>
      </c>
      <c r="H578" t="s">
        <v>8</v>
      </c>
      <c r="I578" t="s">
        <v>8</v>
      </c>
      <c r="J578" t="s">
        <v>4</v>
      </c>
      <c r="K578">
        <v>0.97033035755157404</v>
      </c>
      <c r="L578" s="26">
        <v>2.94250517682037E-5</v>
      </c>
      <c r="M578">
        <v>-2.1672936932759499E-4</v>
      </c>
      <c r="N578">
        <v>3.5340303269073998</v>
      </c>
    </row>
    <row r="579" spans="1:14">
      <c r="A579" s="1">
        <v>578</v>
      </c>
      <c r="B579" t="s">
        <v>1581</v>
      </c>
      <c r="C579" t="s">
        <v>1582</v>
      </c>
      <c r="D579" t="s">
        <v>1583</v>
      </c>
      <c r="E579" t="s">
        <v>1581</v>
      </c>
      <c r="F579">
        <v>4</v>
      </c>
      <c r="G579">
        <v>3</v>
      </c>
      <c r="H579" t="s">
        <v>12</v>
      </c>
      <c r="I579" t="s">
        <v>12</v>
      </c>
      <c r="J579" t="s">
        <v>4</v>
      </c>
      <c r="K579">
        <v>0.325959771871566</v>
      </c>
      <c r="L579" s="26">
        <v>5.0484789238532899E-6</v>
      </c>
      <c r="M579">
        <v>-2.5237540997736101E-2</v>
      </c>
      <c r="N579">
        <v>3.44289791873859</v>
      </c>
    </row>
    <row r="580" spans="1:14">
      <c r="A580" s="1">
        <v>579</v>
      </c>
      <c r="B580" t="s">
        <v>1584</v>
      </c>
      <c r="C580" t="s">
        <v>1585</v>
      </c>
      <c r="D580" t="s">
        <v>283</v>
      </c>
      <c r="E580" t="s">
        <v>1584</v>
      </c>
      <c r="F580">
        <v>4</v>
      </c>
      <c r="G580">
        <v>2</v>
      </c>
      <c r="H580" t="s">
        <v>12</v>
      </c>
      <c r="I580" t="s">
        <v>12</v>
      </c>
      <c r="J580" t="s">
        <v>4</v>
      </c>
      <c r="K580">
        <v>0.83157610893249501</v>
      </c>
      <c r="L580" s="26">
        <v>2.17101712501302E-5</v>
      </c>
      <c r="M580">
        <v>-2.1263076983590399E-2</v>
      </c>
      <c r="N580">
        <v>3.7666223667640399</v>
      </c>
    </row>
    <row r="581" spans="1:14">
      <c r="A581" s="1">
        <v>580</v>
      </c>
      <c r="B581" t="s">
        <v>1586</v>
      </c>
      <c r="C581" t="s">
        <v>1587</v>
      </c>
      <c r="D581" t="s">
        <v>1588</v>
      </c>
      <c r="E581" t="s">
        <v>1586</v>
      </c>
      <c r="F581">
        <v>4</v>
      </c>
      <c r="G581">
        <v>4</v>
      </c>
      <c r="H581" t="s">
        <v>8</v>
      </c>
      <c r="I581" t="s">
        <v>8</v>
      </c>
      <c r="J581" t="s">
        <v>4</v>
      </c>
      <c r="K581">
        <v>0.69239902496337802</v>
      </c>
      <c r="L581" s="26">
        <v>1.5010823489224401E-5</v>
      </c>
      <c r="M581">
        <v>7.3799999454751096E-3</v>
      </c>
      <c r="N581">
        <v>3.2782356616535901</v>
      </c>
    </row>
    <row r="582" spans="1:14">
      <c r="A582" s="1">
        <v>581</v>
      </c>
      <c r="B582" t="s">
        <v>1589</v>
      </c>
      <c r="C582" t="s">
        <v>1590</v>
      </c>
      <c r="D582" t="s">
        <v>295</v>
      </c>
      <c r="E582" t="s">
        <v>1589</v>
      </c>
      <c r="F582">
        <v>4</v>
      </c>
      <c r="G582">
        <v>5</v>
      </c>
      <c r="H582" t="s">
        <v>8</v>
      </c>
      <c r="I582" t="s">
        <v>8</v>
      </c>
      <c r="J582" t="s">
        <v>4</v>
      </c>
      <c r="K582">
        <v>0.62842833995819003</v>
      </c>
      <c r="L582" s="26">
        <v>1.2415275780639801E-5</v>
      </c>
      <c r="M582">
        <v>6.1171246235431902E-2</v>
      </c>
      <c r="N582">
        <v>3.1028650453092199</v>
      </c>
    </row>
    <row r="583" spans="1:14">
      <c r="A583" s="1">
        <v>582</v>
      </c>
      <c r="B583" t="s">
        <v>1591</v>
      </c>
      <c r="C583" t="s">
        <v>1592</v>
      </c>
      <c r="D583" t="s">
        <v>1593</v>
      </c>
      <c r="E583" t="s">
        <v>2364</v>
      </c>
      <c r="F583">
        <v>4</v>
      </c>
      <c r="G583">
        <v>3</v>
      </c>
      <c r="H583" t="s">
        <v>8</v>
      </c>
      <c r="I583" t="s">
        <v>8</v>
      </c>
      <c r="J583" t="s">
        <v>180</v>
      </c>
      <c r="K583">
        <v>9.38882976770401E-2</v>
      </c>
      <c r="L583" s="26">
        <v>7.5622334054413505E-7</v>
      </c>
      <c r="M583">
        <v>8.0304130286208402E-3</v>
      </c>
      <c r="N583">
        <v>3.3931089220983099</v>
      </c>
    </row>
    <row r="584" spans="1:14">
      <c r="A584" s="1">
        <v>583</v>
      </c>
      <c r="B584" t="s">
        <v>1594</v>
      </c>
      <c r="C584" t="s">
        <v>1595</v>
      </c>
      <c r="D584" t="s">
        <v>1596</v>
      </c>
      <c r="E584" t="s">
        <v>1597</v>
      </c>
      <c r="F584">
        <v>4</v>
      </c>
      <c r="G584">
        <v>3</v>
      </c>
      <c r="H584" t="s">
        <v>8</v>
      </c>
      <c r="I584" t="s">
        <v>8</v>
      </c>
      <c r="J584" t="s">
        <v>180</v>
      </c>
      <c r="K584">
        <v>0.99944061040878296</v>
      </c>
      <c r="L584" s="26">
        <v>3.1215048172112497E-5</v>
      </c>
      <c r="M584">
        <v>-8.1275572057251094E-3</v>
      </c>
      <c r="N584">
        <v>3.0959147161418699</v>
      </c>
    </row>
    <row r="585" spans="1:14">
      <c r="A585" s="1">
        <v>584</v>
      </c>
      <c r="B585" t="s">
        <v>1598</v>
      </c>
      <c r="C585" t="s">
        <v>1599</v>
      </c>
      <c r="D585" t="s">
        <v>1600</v>
      </c>
      <c r="E585" t="s">
        <v>1598</v>
      </c>
      <c r="F585">
        <v>4</v>
      </c>
      <c r="G585">
        <v>5</v>
      </c>
      <c r="H585" t="s">
        <v>8</v>
      </c>
      <c r="I585" t="s">
        <v>8</v>
      </c>
      <c r="J585" t="s">
        <v>4</v>
      </c>
      <c r="K585">
        <v>0.26274567842483498</v>
      </c>
      <c r="L585" s="26">
        <v>3.16889511054133E-6</v>
      </c>
      <c r="M585">
        <v>-1.1158975165130799E-3</v>
      </c>
      <c r="N585">
        <v>3.2121803057329199</v>
      </c>
    </row>
    <row r="586" spans="1:14">
      <c r="A586" s="1">
        <v>585</v>
      </c>
      <c r="B586" t="s">
        <v>1601</v>
      </c>
      <c r="C586" t="s">
        <v>1602</v>
      </c>
      <c r="D586" t="s">
        <v>1603</v>
      </c>
      <c r="E586" t="s">
        <v>2365</v>
      </c>
      <c r="F586">
        <v>4</v>
      </c>
      <c r="G586">
        <v>6</v>
      </c>
      <c r="H586" t="s">
        <v>8</v>
      </c>
      <c r="I586" t="s">
        <v>8</v>
      </c>
      <c r="J586" t="s">
        <v>180</v>
      </c>
      <c r="K586">
        <v>0.20343661308288499</v>
      </c>
      <c r="L586" s="26">
        <v>2.3504877273358802E-6</v>
      </c>
      <c r="M586">
        <v>6.8173753506925996E-3</v>
      </c>
      <c r="N586">
        <v>3.6561035492539302</v>
      </c>
    </row>
    <row r="587" spans="1:14">
      <c r="A587" s="1">
        <v>586</v>
      </c>
      <c r="B587" t="s">
        <v>1604</v>
      </c>
      <c r="C587" t="s">
        <v>1605</v>
      </c>
      <c r="D587" t="s">
        <v>1606</v>
      </c>
      <c r="E587" t="s">
        <v>2366</v>
      </c>
      <c r="F587">
        <v>4</v>
      </c>
      <c r="G587">
        <v>7</v>
      </c>
      <c r="H587" t="s">
        <v>8</v>
      </c>
      <c r="I587" t="s">
        <v>8</v>
      </c>
      <c r="J587" t="s">
        <v>180</v>
      </c>
      <c r="K587">
        <v>0.14140444993972701</v>
      </c>
      <c r="L587" s="26">
        <v>1.3856627693361599E-6</v>
      </c>
      <c r="M587">
        <v>-9.3110159720062296E-3</v>
      </c>
      <c r="N587">
        <v>3.4192380261002899</v>
      </c>
    </row>
    <row r="588" spans="1:14">
      <c r="A588" s="1">
        <v>587</v>
      </c>
      <c r="B588" t="s">
        <v>1607</v>
      </c>
      <c r="C588" t="s">
        <v>1608</v>
      </c>
      <c r="D588" t="s">
        <v>1609</v>
      </c>
      <c r="E588" t="s">
        <v>1607</v>
      </c>
      <c r="F588">
        <v>4</v>
      </c>
      <c r="G588">
        <v>5</v>
      </c>
      <c r="H588" t="s">
        <v>8</v>
      </c>
      <c r="I588" t="s">
        <v>8</v>
      </c>
      <c r="J588" t="s">
        <v>4</v>
      </c>
      <c r="K588">
        <v>0.120156340301036</v>
      </c>
      <c r="L588" s="26">
        <v>7.2938237557137399E-7</v>
      </c>
      <c r="M588">
        <v>2.7606170552047601E-2</v>
      </c>
      <c r="N588">
        <v>2.52421860955925</v>
      </c>
    </row>
    <row r="589" spans="1:14">
      <c r="A589" s="1">
        <v>588</v>
      </c>
      <c r="B589" t="s">
        <v>1610</v>
      </c>
      <c r="C589" t="s">
        <v>1611</v>
      </c>
      <c r="D589" t="s">
        <v>47</v>
      </c>
      <c r="E589" t="s">
        <v>1612</v>
      </c>
      <c r="F589">
        <v>4</v>
      </c>
      <c r="G589">
        <v>2</v>
      </c>
      <c r="H589" t="s">
        <v>12</v>
      </c>
      <c r="I589" t="s">
        <v>1613</v>
      </c>
      <c r="J589" t="s">
        <v>180</v>
      </c>
      <c r="K589">
        <v>0.175555109977722</v>
      </c>
      <c r="L589" s="26">
        <v>2.46777885289774E-6</v>
      </c>
      <c r="M589">
        <v>-2.3794905036993402E-3</v>
      </c>
      <c r="N589">
        <v>3.8265511777146699</v>
      </c>
    </row>
    <row r="590" spans="1:14">
      <c r="A590" s="1">
        <v>589</v>
      </c>
      <c r="B590" t="s">
        <v>1614</v>
      </c>
      <c r="C590" t="s">
        <v>1615</v>
      </c>
      <c r="D590" t="s">
        <v>1616</v>
      </c>
      <c r="E590" t="s">
        <v>1614</v>
      </c>
      <c r="F590">
        <v>4</v>
      </c>
      <c r="G590">
        <v>4</v>
      </c>
      <c r="H590" t="s">
        <v>8</v>
      </c>
      <c r="I590" t="s">
        <v>8</v>
      </c>
      <c r="J590" t="s">
        <v>4</v>
      </c>
      <c r="K590">
        <v>0.20290425419807401</v>
      </c>
      <c r="L590" s="26">
        <v>2.5090789364579201E-6</v>
      </c>
      <c r="M590">
        <v>3.8577412624761102E-2</v>
      </c>
      <c r="N590">
        <v>2.8500984814028798</v>
      </c>
    </row>
    <row r="591" spans="1:14">
      <c r="A591" s="1">
        <v>590</v>
      </c>
      <c r="B591" t="s">
        <v>1617</v>
      </c>
      <c r="C591" t="s">
        <v>1618</v>
      </c>
      <c r="D591" t="s">
        <v>1619</v>
      </c>
      <c r="E591" t="s">
        <v>1617</v>
      </c>
      <c r="F591">
        <v>5</v>
      </c>
      <c r="G591">
        <v>5</v>
      </c>
      <c r="H591" t="s">
        <v>8</v>
      </c>
      <c r="I591" t="s">
        <v>8</v>
      </c>
      <c r="J591" t="s">
        <v>4</v>
      </c>
      <c r="K591">
        <v>0.99277812242507901</v>
      </c>
      <c r="L591" s="26">
        <v>3.0800549356206802E-5</v>
      </c>
      <c r="M591">
        <v>7.9618419897684502E-3</v>
      </c>
      <c r="N591">
        <v>2.1464173200800101</v>
      </c>
    </row>
    <row r="592" spans="1:14">
      <c r="A592" s="1">
        <v>591</v>
      </c>
      <c r="B592" t="s">
        <v>1620</v>
      </c>
      <c r="C592" t="s">
        <v>1621</v>
      </c>
      <c r="D592" t="s">
        <v>1360</v>
      </c>
      <c r="E592" t="s">
        <v>1622</v>
      </c>
      <c r="F592">
        <v>4</v>
      </c>
      <c r="G592">
        <v>4</v>
      </c>
      <c r="H592" t="s">
        <v>8</v>
      </c>
      <c r="I592" t="s">
        <v>12</v>
      </c>
      <c r="J592" t="s">
        <v>180</v>
      </c>
      <c r="K592">
        <v>0.559825599193573</v>
      </c>
      <c r="L592" s="26">
        <v>1.1092484899494901E-5</v>
      </c>
      <c r="M592">
        <v>1.26983109401841E-2</v>
      </c>
      <c r="N592">
        <v>3.65826771691746</v>
      </c>
    </row>
    <row r="593" spans="1:14">
      <c r="A593" s="1">
        <v>592</v>
      </c>
      <c r="B593" t="s">
        <v>1623</v>
      </c>
      <c r="C593" t="s">
        <v>1624</v>
      </c>
      <c r="D593" t="s">
        <v>1625</v>
      </c>
      <c r="E593" t="s">
        <v>1623</v>
      </c>
      <c r="F593">
        <v>4</v>
      </c>
      <c r="G593">
        <v>5</v>
      </c>
      <c r="H593" t="s">
        <v>8</v>
      </c>
      <c r="I593" t="s">
        <v>8</v>
      </c>
      <c r="J593" t="s">
        <v>4</v>
      </c>
      <c r="K593">
        <v>0.51592868566512995</v>
      </c>
      <c r="L593" s="26">
        <v>8.9389581884253408E-6</v>
      </c>
      <c r="M593">
        <v>2.5731465544112E-2</v>
      </c>
      <c r="N593">
        <v>3.25875335589153</v>
      </c>
    </row>
    <row r="594" spans="1:14">
      <c r="A594" s="1">
        <v>593</v>
      </c>
      <c r="B594" t="s">
        <v>1626</v>
      </c>
      <c r="C594" t="s">
        <v>1627</v>
      </c>
      <c r="D594" t="s">
        <v>829</v>
      </c>
      <c r="E594" t="s">
        <v>1626</v>
      </c>
      <c r="F594">
        <v>4</v>
      </c>
      <c r="G594">
        <v>5</v>
      </c>
      <c r="H594" t="s">
        <v>8</v>
      </c>
      <c r="I594" t="s">
        <v>8</v>
      </c>
      <c r="J594" t="s">
        <v>4</v>
      </c>
      <c r="K594">
        <v>0.89767754077911299</v>
      </c>
      <c r="L594" s="26">
        <v>2.52087586002096E-5</v>
      </c>
      <c r="M594">
        <v>1.0134965602965401E-2</v>
      </c>
      <c r="N594">
        <v>3.5858670232763599</v>
      </c>
    </row>
    <row r="595" spans="1:14">
      <c r="A595" s="1">
        <v>594</v>
      </c>
      <c r="B595" t="s">
        <v>1628</v>
      </c>
      <c r="C595" t="s">
        <v>1629</v>
      </c>
      <c r="D595" t="s">
        <v>1630</v>
      </c>
      <c r="E595" t="s">
        <v>1628</v>
      </c>
      <c r="F595">
        <v>4</v>
      </c>
      <c r="G595">
        <v>5</v>
      </c>
      <c r="H595" t="s">
        <v>8</v>
      </c>
      <c r="I595" t="s">
        <v>8</v>
      </c>
      <c r="J595" t="s">
        <v>4</v>
      </c>
      <c r="K595">
        <v>0.99182230234146096</v>
      </c>
      <c r="L595" s="26">
        <v>3.0741853638097901E-5</v>
      </c>
      <c r="M595">
        <v>2.43546474269749E-2</v>
      </c>
      <c r="N595">
        <v>1.98149655688756</v>
      </c>
    </row>
    <row r="596" spans="1:14">
      <c r="A596" s="1">
        <v>595</v>
      </c>
      <c r="B596" t="s">
        <v>1631</v>
      </c>
      <c r="C596" t="s">
        <v>1632</v>
      </c>
      <c r="D596" t="s">
        <v>28</v>
      </c>
      <c r="E596" t="s">
        <v>1631</v>
      </c>
      <c r="F596">
        <v>5</v>
      </c>
      <c r="G596">
        <v>3</v>
      </c>
      <c r="H596" t="s">
        <v>8</v>
      </c>
      <c r="I596" t="s">
        <v>8</v>
      </c>
      <c r="J596" t="s">
        <v>4</v>
      </c>
      <c r="K596">
        <v>0.71207058429717995</v>
      </c>
      <c r="L596" s="26">
        <v>1.6314906535486801E-5</v>
      </c>
      <c r="M596">
        <v>-1.01772331694149E-2</v>
      </c>
      <c r="N596">
        <v>3.35283364847951</v>
      </c>
    </row>
    <row r="597" spans="1:14">
      <c r="A597" s="1">
        <v>596</v>
      </c>
      <c r="B597" t="s">
        <v>1633</v>
      </c>
      <c r="C597" t="s">
        <v>1634</v>
      </c>
      <c r="D597" t="s">
        <v>1593</v>
      </c>
      <c r="E597" t="s">
        <v>1633</v>
      </c>
      <c r="F597">
        <v>6</v>
      </c>
      <c r="G597">
        <v>3</v>
      </c>
      <c r="H597" t="s">
        <v>8</v>
      </c>
      <c r="I597" t="s">
        <v>8</v>
      </c>
      <c r="J597" t="s">
        <v>4</v>
      </c>
      <c r="K597">
        <v>0.54121607542037897</v>
      </c>
      <c r="L597" s="26">
        <v>1.02361753795811E-5</v>
      </c>
      <c r="M597">
        <v>-7.6879973594898799E-3</v>
      </c>
      <c r="N597">
        <v>3.4264590530213601</v>
      </c>
    </row>
    <row r="598" spans="1:14">
      <c r="A598" s="1">
        <v>597</v>
      </c>
      <c r="B598" t="s">
        <v>1635</v>
      </c>
      <c r="C598" t="s">
        <v>1636</v>
      </c>
      <c r="D598" t="s">
        <v>142</v>
      </c>
      <c r="E598" t="s">
        <v>2367</v>
      </c>
      <c r="F598">
        <v>4</v>
      </c>
      <c r="G598">
        <v>2</v>
      </c>
      <c r="H598" t="s">
        <v>12</v>
      </c>
      <c r="I598" t="s">
        <v>8</v>
      </c>
      <c r="J598" t="s">
        <v>180</v>
      </c>
      <c r="K598">
        <v>0.13554473221301999</v>
      </c>
      <c r="L598" s="26">
        <v>1.50599824755328E-6</v>
      </c>
      <c r="M598">
        <v>2.2401106028137701E-2</v>
      </c>
      <c r="N598">
        <v>3.5701076348103098</v>
      </c>
    </row>
    <row r="599" spans="1:14">
      <c r="A599" s="1">
        <v>598</v>
      </c>
      <c r="B599" t="s">
        <v>1637</v>
      </c>
      <c r="C599" t="s">
        <v>1638</v>
      </c>
      <c r="D599" t="s">
        <v>1639</v>
      </c>
      <c r="E599" t="s">
        <v>1637</v>
      </c>
      <c r="F599">
        <v>4</v>
      </c>
      <c r="G599">
        <v>4</v>
      </c>
      <c r="H599" t="s">
        <v>8</v>
      </c>
      <c r="I599" t="s">
        <v>8</v>
      </c>
      <c r="J599" t="s">
        <v>4</v>
      </c>
      <c r="K599">
        <v>0.66426295042037897</v>
      </c>
      <c r="L599" s="26">
        <v>1.38789654974572E-5</v>
      </c>
      <c r="M599">
        <v>2.2354718050706799E-2</v>
      </c>
      <c r="N599">
        <v>3.1394465148028301</v>
      </c>
    </row>
    <row r="600" spans="1:14">
      <c r="A600" s="1">
        <v>599</v>
      </c>
      <c r="B600" t="s">
        <v>1640</v>
      </c>
      <c r="C600" t="s">
        <v>1641</v>
      </c>
      <c r="D600" t="s">
        <v>979</v>
      </c>
      <c r="E600" t="s">
        <v>1642</v>
      </c>
      <c r="F600">
        <v>4</v>
      </c>
      <c r="G600">
        <v>8</v>
      </c>
      <c r="H600" t="s">
        <v>8</v>
      </c>
      <c r="I600" t="s">
        <v>8</v>
      </c>
      <c r="J600" t="s">
        <v>180</v>
      </c>
      <c r="K600">
        <v>0.27366679906844998</v>
      </c>
      <c r="L600" s="26">
        <v>4.26996866978103E-6</v>
      </c>
      <c r="M600">
        <v>1.9143309121264399E-2</v>
      </c>
      <c r="N600">
        <v>3.7028991653941401</v>
      </c>
    </row>
    <row r="601" spans="1:14">
      <c r="A601" s="1">
        <v>600</v>
      </c>
      <c r="B601" t="s">
        <v>1643</v>
      </c>
      <c r="C601" t="s">
        <v>1644</v>
      </c>
      <c r="D601" t="s">
        <v>47</v>
      </c>
      <c r="E601" t="s">
        <v>1643</v>
      </c>
      <c r="F601">
        <v>5</v>
      </c>
      <c r="G601">
        <v>2</v>
      </c>
      <c r="H601" t="s">
        <v>12</v>
      </c>
      <c r="I601" t="s">
        <v>12</v>
      </c>
      <c r="J601" t="s">
        <v>4</v>
      </c>
      <c r="K601">
        <v>0.48428446054458602</v>
      </c>
      <c r="L601" s="26">
        <v>8.9998413081066594E-6</v>
      </c>
      <c r="M601">
        <v>-2.0503472381681001E-2</v>
      </c>
      <c r="N601">
        <v>3.5282185750456501</v>
      </c>
    </row>
    <row r="602" spans="1:14">
      <c r="A602" s="1">
        <v>601</v>
      </c>
      <c r="B602" t="s">
        <v>1645</v>
      </c>
      <c r="C602" t="s">
        <v>1646</v>
      </c>
      <c r="D602" t="s">
        <v>148</v>
      </c>
      <c r="E602" t="s">
        <v>1645</v>
      </c>
      <c r="F602">
        <v>4</v>
      </c>
      <c r="G602">
        <v>5</v>
      </c>
      <c r="H602" t="s">
        <v>3</v>
      </c>
      <c r="I602" t="s">
        <v>3</v>
      </c>
      <c r="J602" t="s">
        <v>4</v>
      </c>
      <c r="K602">
        <v>0.99970680475234897</v>
      </c>
      <c r="L602" s="26">
        <v>3.123167820539E-5</v>
      </c>
      <c r="M602">
        <v>4.1898464864765103E-2</v>
      </c>
      <c r="N602">
        <v>3.1922148274497801</v>
      </c>
    </row>
    <row r="603" spans="1:14">
      <c r="A603" s="1">
        <v>602</v>
      </c>
      <c r="B603" t="s">
        <v>1647</v>
      </c>
      <c r="C603" t="s">
        <v>1648</v>
      </c>
      <c r="D603" t="s">
        <v>1649</v>
      </c>
      <c r="E603" t="s">
        <v>1647</v>
      </c>
      <c r="F603">
        <v>7</v>
      </c>
      <c r="G603">
        <v>4</v>
      </c>
      <c r="H603" t="s">
        <v>8</v>
      </c>
      <c r="I603" t="s">
        <v>8</v>
      </c>
      <c r="J603" t="s">
        <v>4</v>
      </c>
      <c r="K603">
        <v>0.579481720924377</v>
      </c>
      <c r="L603" s="26">
        <v>1.05171088992355E-5</v>
      </c>
      <c r="M603">
        <v>4.1132491598830201E-2</v>
      </c>
      <c r="N603">
        <v>3.1147602101455401</v>
      </c>
    </row>
    <row r="604" spans="1:14">
      <c r="A604" s="1">
        <v>603</v>
      </c>
      <c r="B604" t="s">
        <v>1650</v>
      </c>
      <c r="C604" t="s">
        <v>1651</v>
      </c>
      <c r="D604" t="s">
        <v>1652</v>
      </c>
      <c r="E604" t="s">
        <v>2368</v>
      </c>
      <c r="F604">
        <v>6</v>
      </c>
      <c r="G604">
        <v>5</v>
      </c>
      <c r="H604" t="s">
        <v>8</v>
      </c>
      <c r="I604" t="s">
        <v>8</v>
      </c>
      <c r="J604" t="s">
        <v>180</v>
      </c>
      <c r="K604">
        <v>0.39021286368370001</v>
      </c>
      <c r="L604" s="26">
        <v>5.9740767805180997E-6</v>
      </c>
      <c r="M604">
        <v>1.6097496502453599E-2</v>
      </c>
      <c r="N604">
        <v>3.87612943783332</v>
      </c>
    </row>
    <row r="605" spans="1:14">
      <c r="A605" s="1">
        <v>604</v>
      </c>
      <c r="B605" t="s">
        <v>1653</v>
      </c>
      <c r="C605" t="s">
        <v>1654</v>
      </c>
      <c r="D605" t="s">
        <v>1655</v>
      </c>
      <c r="E605" t="s">
        <v>1656</v>
      </c>
      <c r="F605">
        <v>4</v>
      </c>
      <c r="G605">
        <v>4</v>
      </c>
      <c r="H605" t="s">
        <v>8</v>
      </c>
      <c r="I605" t="s">
        <v>8</v>
      </c>
      <c r="J605" t="s">
        <v>180</v>
      </c>
      <c r="K605">
        <v>0.79080736637115401</v>
      </c>
      <c r="L605" s="26">
        <v>2.0683749750617302E-5</v>
      </c>
      <c r="M605">
        <v>-2.4149891867281701E-2</v>
      </c>
      <c r="N605">
        <v>3.3958565539887502</v>
      </c>
    </row>
    <row r="606" spans="1:14">
      <c r="A606" s="1">
        <v>605</v>
      </c>
      <c r="B606" t="s">
        <v>1657</v>
      </c>
      <c r="C606" t="s">
        <v>1658</v>
      </c>
      <c r="D606" t="s">
        <v>1659</v>
      </c>
      <c r="E606" t="s">
        <v>1657</v>
      </c>
      <c r="F606">
        <v>4</v>
      </c>
      <c r="G606">
        <v>3</v>
      </c>
      <c r="H606" t="s">
        <v>98</v>
      </c>
      <c r="I606" t="s">
        <v>98</v>
      </c>
      <c r="J606" t="s">
        <v>4</v>
      </c>
      <c r="K606">
        <v>0.92600303888320901</v>
      </c>
      <c r="L606" s="26">
        <v>2.68000487393294E-5</v>
      </c>
      <c r="M606">
        <v>-3.0924782145987699E-2</v>
      </c>
      <c r="N606">
        <v>3.5920828878514</v>
      </c>
    </row>
    <row r="607" spans="1:14">
      <c r="A607" s="1">
        <v>606</v>
      </c>
      <c r="B607" t="s">
        <v>1660</v>
      </c>
      <c r="C607" t="s">
        <v>1661</v>
      </c>
      <c r="D607" t="s">
        <v>1662</v>
      </c>
      <c r="E607" t="s">
        <v>1663</v>
      </c>
      <c r="F607">
        <v>4</v>
      </c>
      <c r="G607">
        <v>7</v>
      </c>
      <c r="H607" t="s">
        <v>8</v>
      </c>
      <c r="I607" t="s">
        <v>12</v>
      </c>
      <c r="J607" t="s">
        <v>180</v>
      </c>
      <c r="K607">
        <v>0.39656776189803999</v>
      </c>
      <c r="L607" s="26">
        <v>7.8132410127730998E-6</v>
      </c>
      <c r="M607">
        <v>3.3582095262108397E-2</v>
      </c>
      <c r="N607">
        <v>3.6309816228261398</v>
      </c>
    </row>
    <row r="608" spans="1:14">
      <c r="A608" s="1">
        <v>607</v>
      </c>
      <c r="B608" t="s">
        <v>1664</v>
      </c>
      <c r="C608" t="s">
        <v>1665</v>
      </c>
      <c r="D608" t="s">
        <v>1666</v>
      </c>
      <c r="E608" t="s">
        <v>1667</v>
      </c>
      <c r="F608">
        <v>4</v>
      </c>
      <c r="G608">
        <v>5</v>
      </c>
      <c r="H608" t="s">
        <v>8</v>
      </c>
      <c r="I608" t="s">
        <v>8</v>
      </c>
      <c r="J608" t="s">
        <v>180</v>
      </c>
      <c r="K608">
        <v>6.2091790139675099E-2</v>
      </c>
      <c r="L608" s="26">
        <v>3.3372066080592502E-7</v>
      </c>
      <c r="M608">
        <v>-2.42161409443362E-2</v>
      </c>
      <c r="N608">
        <v>3.1595100274710299</v>
      </c>
    </row>
    <row r="609" spans="1:14">
      <c r="A609" s="1">
        <v>608</v>
      </c>
      <c r="B609" t="s">
        <v>1668</v>
      </c>
      <c r="C609" t="s">
        <v>1669</v>
      </c>
      <c r="D609" t="s">
        <v>1172</v>
      </c>
      <c r="E609" t="s">
        <v>1668</v>
      </c>
      <c r="F609">
        <v>4</v>
      </c>
      <c r="G609">
        <v>5</v>
      </c>
      <c r="H609" t="s">
        <v>8</v>
      </c>
      <c r="I609" t="s">
        <v>8</v>
      </c>
      <c r="J609" t="s">
        <v>4</v>
      </c>
      <c r="K609">
        <v>0.99729013442993097</v>
      </c>
      <c r="L609" s="26">
        <v>3.1080862894499602E-5</v>
      </c>
      <c r="M609">
        <v>-1.5260772821676399E-2</v>
      </c>
      <c r="N609">
        <v>2.9983017223523198</v>
      </c>
    </row>
    <row r="610" spans="1:14">
      <c r="A610" s="1">
        <v>609</v>
      </c>
      <c r="B610" t="s">
        <v>1670</v>
      </c>
      <c r="C610" t="s">
        <v>1671</v>
      </c>
      <c r="D610" t="s">
        <v>407</v>
      </c>
      <c r="E610" t="s">
        <v>1670</v>
      </c>
      <c r="F610">
        <v>4</v>
      </c>
      <c r="G610">
        <v>4</v>
      </c>
      <c r="H610" t="s">
        <v>8</v>
      </c>
      <c r="I610" t="s">
        <v>8</v>
      </c>
      <c r="J610" t="s">
        <v>4</v>
      </c>
      <c r="K610">
        <v>0.70568144321441595</v>
      </c>
      <c r="L610" s="26">
        <v>1.5600552365893002E-5</v>
      </c>
      <c r="M610">
        <v>3.0496849531118598E-3</v>
      </c>
      <c r="N610">
        <v>3.3021324517257402</v>
      </c>
    </row>
    <row r="611" spans="1:14">
      <c r="A611" s="1">
        <v>610</v>
      </c>
      <c r="B611" t="s">
        <v>1672</v>
      </c>
      <c r="C611" t="s">
        <v>1673</v>
      </c>
      <c r="D611" t="s">
        <v>47</v>
      </c>
      <c r="E611" t="s">
        <v>1674</v>
      </c>
      <c r="F611">
        <v>4</v>
      </c>
      <c r="G611">
        <v>2</v>
      </c>
      <c r="H611" t="s">
        <v>12</v>
      </c>
      <c r="I611" t="s">
        <v>8</v>
      </c>
      <c r="J611" t="s">
        <v>180</v>
      </c>
      <c r="K611">
        <v>0.21434132754802701</v>
      </c>
      <c r="L611" s="26">
        <v>2.64713343747711E-6</v>
      </c>
      <c r="M611">
        <v>7.9392101683310994E-3</v>
      </c>
      <c r="N611">
        <v>3.6179912552322202</v>
      </c>
    </row>
    <row r="612" spans="1:14">
      <c r="A612" s="1">
        <v>611</v>
      </c>
      <c r="B612" t="s">
        <v>1675</v>
      </c>
      <c r="C612" t="s">
        <v>1676</v>
      </c>
      <c r="D612" t="s">
        <v>142</v>
      </c>
      <c r="E612" t="s">
        <v>1675</v>
      </c>
      <c r="F612">
        <v>4</v>
      </c>
      <c r="G612">
        <v>2</v>
      </c>
      <c r="H612" t="s">
        <v>12</v>
      </c>
      <c r="I612" t="s">
        <v>12</v>
      </c>
      <c r="J612" t="s">
        <v>4</v>
      </c>
      <c r="K612">
        <v>0.845703125</v>
      </c>
      <c r="L612" s="26">
        <v>2.2410581831151899E-5</v>
      </c>
      <c r="M612">
        <v>-8.6583985624937299E-3</v>
      </c>
      <c r="N612">
        <v>3.6935234747344898</v>
      </c>
    </row>
    <row r="613" spans="1:14">
      <c r="A613" s="1">
        <v>612</v>
      </c>
      <c r="B613" t="s">
        <v>1677</v>
      </c>
      <c r="C613" t="s">
        <v>1678</v>
      </c>
      <c r="D613" t="s">
        <v>1679</v>
      </c>
      <c r="E613" t="s">
        <v>1677</v>
      </c>
      <c r="F613">
        <v>4</v>
      </c>
      <c r="G613">
        <v>7</v>
      </c>
      <c r="H613" t="s">
        <v>8</v>
      </c>
      <c r="I613" t="s">
        <v>8</v>
      </c>
      <c r="J613" t="s">
        <v>4</v>
      </c>
      <c r="K613">
        <v>0.55957669019699097</v>
      </c>
      <c r="L613" s="26">
        <v>1.2622882301208101E-5</v>
      </c>
      <c r="M613">
        <v>1.26528199658224E-2</v>
      </c>
      <c r="N613">
        <v>3.32184098369143</v>
      </c>
    </row>
    <row r="614" spans="1:14">
      <c r="A614" s="1">
        <v>613</v>
      </c>
      <c r="B614" t="s">
        <v>1680</v>
      </c>
      <c r="C614" t="s">
        <v>1681</v>
      </c>
      <c r="D614" t="s">
        <v>1478</v>
      </c>
      <c r="E614" t="s">
        <v>2369</v>
      </c>
      <c r="F614">
        <v>4</v>
      </c>
      <c r="G614">
        <v>4</v>
      </c>
      <c r="H614" t="s">
        <v>8</v>
      </c>
      <c r="I614" t="s">
        <v>8</v>
      </c>
      <c r="J614" t="s">
        <v>180</v>
      </c>
      <c r="K614">
        <v>0.21365271508693601</v>
      </c>
      <c r="L614" s="26">
        <v>1.75242803772866E-6</v>
      </c>
      <c r="M614">
        <v>2.23280163206638E-2</v>
      </c>
      <c r="N614">
        <v>3.5367053981034799</v>
      </c>
    </row>
    <row r="615" spans="1:14">
      <c r="A615" s="1">
        <v>614</v>
      </c>
      <c r="B615" t="s">
        <v>1682</v>
      </c>
      <c r="C615" t="s">
        <v>1683</v>
      </c>
      <c r="D615" t="s">
        <v>1684</v>
      </c>
      <c r="E615" t="s">
        <v>1682</v>
      </c>
      <c r="F615">
        <v>4</v>
      </c>
      <c r="G615">
        <v>4</v>
      </c>
      <c r="H615" t="s">
        <v>98</v>
      </c>
      <c r="I615" t="s">
        <v>98</v>
      </c>
      <c r="J615" t="s">
        <v>4</v>
      </c>
      <c r="K615">
        <v>0.48151424527168202</v>
      </c>
      <c r="L615" s="26">
        <v>1.07288350320253E-5</v>
      </c>
      <c r="M615">
        <v>-2.4286253822651802E-2</v>
      </c>
      <c r="N615">
        <v>3.6013179697067401</v>
      </c>
    </row>
    <row r="616" spans="1:14">
      <c r="A616" s="1">
        <v>615</v>
      </c>
      <c r="B616" t="s">
        <v>1685</v>
      </c>
      <c r="C616" t="s">
        <v>1686</v>
      </c>
      <c r="D616" t="s">
        <v>1434</v>
      </c>
      <c r="E616" t="s">
        <v>1685</v>
      </c>
      <c r="F616">
        <v>5</v>
      </c>
      <c r="G616">
        <v>7</v>
      </c>
      <c r="H616" t="s">
        <v>22</v>
      </c>
      <c r="I616" t="s">
        <v>22</v>
      </c>
      <c r="J616" t="s">
        <v>4</v>
      </c>
      <c r="K616">
        <v>0.28284448385238598</v>
      </c>
      <c r="L616" s="26">
        <v>3.61946509317417E-6</v>
      </c>
      <c r="M616">
        <v>-6.9113374231406502E-3</v>
      </c>
      <c r="N616">
        <v>3.3573789271241599</v>
      </c>
    </row>
    <row r="617" spans="1:14">
      <c r="A617" s="1">
        <v>616</v>
      </c>
      <c r="B617" t="s">
        <v>1687</v>
      </c>
      <c r="C617" t="s">
        <v>1688</v>
      </c>
      <c r="D617" t="s">
        <v>1689</v>
      </c>
      <c r="E617" t="s">
        <v>1690</v>
      </c>
      <c r="F617">
        <v>6</v>
      </c>
      <c r="G617">
        <v>4</v>
      </c>
      <c r="H617" t="s">
        <v>68</v>
      </c>
      <c r="I617" t="s">
        <v>8</v>
      </c>
      <c r="J617" t="s">
        <v>180</v>
      </c>
      <c r="K617">
        <v>1.9451001659035599E-2</v>
      </c>
      <c r="L617" s="26">
        <v>6.1253087977482901E-8</v>
      </c>
      <c r="M617">
        <v>1.7455138717599999E-2</v>
      </c>
      <c r="N617">
        <v>3.45136181034565</v>
      </c>
    </row>
    <row r="618" spans="1:14">
      <c r="A618" s="1">
        <v>617</v>
      </c>
      <c r="B618" t="s">
        <v>1691</v>
      </c>
      <c r="C618" t="s">
        <v>1692</v>
      </c>
      <c r="D618" t="s">
        <v>1693</v>
      </c>
      <c r="E618" t="s">
        <v>1691</v>
      </c>
      <c r="F618">
        <v>9</v>
      </c>
      <c r="G618">
        <v>6</v>
      </c>
      <c r="H618" t="s">
        <v>8</v>
      </c>
      <c r="I618" t="s">
        <v>8</v>
      </c>
      <c r="J618" t="s">
        <v>4</v>
      </c>
      <c r="K618">
        <v>0.68330281972885099</v>
      </c>
      <c r="L618" s="26">
        <v>1.5548266727057702E-5</v>
      </c>
      <c r="M618">
        <v>2.0204974483362999E-2</v>
      </c>
      <c r="N618">
        <v>3.5711576615031499</v>
      </c>
    </row>
    <row r="619" spans="1:14">
      <c r="A619" s="1">
        <v>618</v>
      </c>
      <c r="B619" t="s">
        <v>1694</v>
      </c>
      <c r="C619" t="s">
        <v>1695</v>
      </c>
      <c r="D619" t="s">
        <v>1583</v>
      </c>
      <c r="E619" t="s">
        <v>1694</v>
      </c>
      <c r="F619">
        <v>5</v>
      </c>
      <c r="G619">
        <v>3</v>
      </c>
      <c r="H619" t="s">
        <v>12</v>
      </c>
      <c r="I619" t="s">
        <v>12</v>
      </c>
      <c r="J619" t="s">
        <v>4</v>
      </c>
      <c r="K619">
        <v>0.120512902736663</v>
      </c>
      <c r="L619" s="26">
        <v>1.6466778242226399E-6</v>
      </c>
      <c r="M619">
        <v>7.3582988328553204E-3</v>
      </c>
      <c r="N619">
        <v>3.6872114641650402</v>
      </c>
    </row>
    <row r="620" spans="1:14">
      <c r="A620" s="1">
        <v>619</v>
      </c>
      <c r="B620" t="s">
        <v>1696</v>
      </c>
      <c r="C620" t="s">
        <v>1697</v>
      </c>
      <c r="D620" t="s">
        <v>700</v>
      </c>
      <c r="E620" t="s">
        <v>1696</v>
      </c>
      <c r="F620">
        <v>4</v>
      </c>
      <c r="G620">
        <v>7</v>
      </c>
      <c r="H620" t="s">
        <v>8</v>
      </c>
      <c r="I620" t="s">
        <v>8</v>
      </c>
      <c r="J620" t="s">
        <v>4</v>
      </c>
      <c r="K620">
        <v>0.99896168708801203</v>
      </c>
      <c r="L620" s="26">
        <v>3.1185148896720197E-5</v>
      </c>
      <c r="M620">
        <v>-5.8630816039268998E-3</v>
      </c>
      <c r="N620">
        <v>2.4562322588458501</v>
      </c>
    </row>
    <row r="621" spans="1:14">
      <c r="A621" s="1">
        <v>620</v>
      </c>
      <c r="B621" t="s">
        <v>1698</v>
      </c>
      <c r="C621" t="s">
        <v>1699</v>
      </c>
      <c r="D621" t="s">
        <v>1700</v>
      </c>
      <c r="E621" t="s">
        <v>1698</v>
      </c>
      <c r="F621">
        <v>5</v>
      </c>
      <c r="G621">
        <v>9</v>
      </c>
      <c r="H621" t="s">
        <v>8</v>
      </c>
      <c r="I621" t="s">
        <v>8</v>
      </c>
      <c r="J621" t="s">
        <v>4</v>
      </c>
      <c r="K621">
        <v>0.55384367704391402</v>
      </c>
      <c r="L621" s="26">
        <v>9.7176797961356702E-6</v>
      </c>
      <c r="M621">
        <v>2.6016980320768802E-3</v>
      </c>
      <c r="N621">
        <v>3.4923404371501401</v>
      </c>
    </row>
    <row r="622" spans="1:14">
      <c r="A622" s="1">
        <v>621</v>
      </c>
      <c r="B622" t="s">
        <v>1701</v>
      </c>
      <c r="C622" t="s">
        <v>1702</v>
      </c>
      <c r="D622" t="s">
        <v>1703</v>
      </c>
      <c r="E622" t="s">
        <v>1704</v>
      </c>
      <c r="F622">
        <v>4</v>
      </c>
      <c r="G622">
        <v>7</v>
      </c>
      <c r="H622" t="s">
        <v>8</v>
      </c>
      <c r="I622" t="s">
        <v>44</v>
      </c>
      <c r="J622" t="s">
        <v>180</v>
      </c>
      <c r="K622">
        <v>0.15751740336418099</v>
      </c>
      <c r="L622" s="26">
        <v>1.17769020493068E-6</v>
      </c>
      <c r="M622">
        <v>5.6103612903761696E-3</v>
      </c>
      <c r="N622">
        <v>3.43279249786751</v>
      </c>
    </row>
    <row r="623" spans="1:14">
      <c r="A623" s="1">
        <v>622</v>
      </c>
      <c r="B623" t="s">
        <v>1705</v>
      </c>
      <c r="C623" t="s">
        <v>1706</v>
      </c>
      <c r="D623" t="s">
        <v>1707</v>
      </c>
      <c r="E623" t="s">
        <v>1705</v>
      </c>
      <c r="F623">
        <v>4</v>
      </c>
      <c r="G623">
        <v>5</v>
      </c>
      <c r="H623" t="s">
        <v>8</v>
      </c>
      <c r="I623" t="s">
        <v>8</v>
      </c>
      <c r="J623" t="s">
        <v>4</v>
      </c>
      <c r="K623">
        <v>0.95403373241424505</v>
      </c>
      <c r="L623" s="26">
        <v>2.8489182406574001E-5</v>
      </c>
      <c r="M623">
        <v>4.8839168526697502E-3</v>
      </c>
      <c r="N623">
        <v>2.68513560237826</v>
      </c>
    </row>
    <row r="624" spans="1:14">
      <c r="A624" s="1">
        <v>623</v>
      </c>
      <c r="B624" t="s">
        <v>1708</v>
      </c>
      <c r="C624" t="s">
        <v>1709</v>
      </c>
      <c r="D624" t="s">
        <v>177</v>
      </c>
      <c r="E624" t="s">
        <v>1708</v>
      </c>
      <c r="F624">
        <v>4</v>
      </c>
      <c r="G624">
        <v>4</v>
      </c>
      <c r="H624" t="s">
        <v>8</v>
      </c>
      <c r="I624" t="s">
        <v>8</v>
      </c>
      <c r="J624" t="s">
        <v>4</v>
      </c>
      <c r="K624">
        <v>0.834877669811248</v>
      </c>
      <c r="L624" s="26">
        <v>2.1826156639592801E-5</v>
      </c>
      <c r="M624">
        <v>2.69141101952887E-2</v>
      </c>
      <c r="N624">
        <v>3.36279676028835</v>
      </c>
    </row>
    <row r="625" spans="1:14">
      <c r="A625" s="1">
        <v>624</v>
      </c>
      <c r="B625" t="s">
        <v>1710</v>
      </c>
      <c r="C625" t="s">
        <v>1711</v>
      </c>
      <c r="D625" t="s">
        <v>1712</v>
      </c>
      <c r="E625" t="s">
        <v>1713</v>
      </c>
      <c r="F625">
        <v>4</v>
      </c>
      <c r="G625">
        <v>4</v>
      </c>
      <c r="H625" t="s">
        <v>8</v>
      </c>
      <c r="I625" t="s">
        <v>8</v>
      </c>
      <c r="J625" t="s">
        <v>180</v>
      </c>
      <c r="K625">
        <v>0.98451209068298295</v>
      </c>
      <c r="L625" s="26">
        <v>3.0294105011452599E-5</v>
      </c>
      <c r="M625">
        <v>-1.36679260845227E-2</v>
      </c>
      <c r="N625">
        <v>3.5333257480116198</v>
      </c>
    </row>
    <row r="626" spans="1:14">
      <c r="A626" s="1">
        <v>625</v>
      </c>
      <c r="B626" t="s">
        <v>1714</v>
      </c>
      <c r="C626" t="s">
        <v>1715</v>
      </c>
      <c r="D626" t="s">
        <v>1716</v>
      </c>
      <c r="E626" t="s">
        <v>1714</v>
      </c>
      <c r="F626">
        <v>4</v>
      </c>
      <c r="G626">
        <v>6</v>
      </c>
      <c r="H626" t="s">
        <v>8</v>
      </c>
      <c r="I626" t="s">
        <v>8</v>
      </c>
      <c r="J626" t="s">
        <v>4</v>
      </c>
      <c r="K626">
        <v>0.79907983541488603</v>
      </c>
      <c r="L626" s="26">
        <v>2.00316520933888E-5</v>
      </c>
      <c r="M626">
        <v>-6.2057680110896699E-2</v>
      </c>
      <c r="N626">
        <v>3.4111505552880401</v>
      </c>
    </row>
    <row r="627" spans="1:14">
      <c r="A627" s="1">
        <v>626</v>
      </c>
      <c r="B627" t="s">
        <v>1717</v>
      </c>
      <c r="C627" t="s">
        <v>1718</v>
      </c>
      <c r="D627" t="s">
        <v>1719</v>
      </c>
      <c r="E627" t="s">
        <v>1717</v>
      </c>
      <c r="F627">
        <v>4</v>
      </c>
      <c r="G627">
        <v>4</v>
      </c>
      <c r="H627" t="s">
        <v>123</v>
      </c>
      <c r="I627" t="s">
        <v>123</v>
      </c>
      <c r="J627" t="s">
        <v>4</v>
      </c>
      <c r="K627">
        <v>0.99892979860305697</v>
      </c>
      <c r="L627" s="26">
        <v>3.11831614612707E-5</v>
      </c>
      <c r="M627">
        <v>-1.14831352830222E-2</v>
      </c>
      <c r="N627">
        <v>2.7267253830703799</v>
      </c>
    </row>
    <row r="628" spans="1:14">
      <c r="A628" s="1">
        <v>627</v>
      </c>
      <c r="B628" t="s">
        <v>1720</v>
      </c>
      <c r="C628" t="s">
        <v>1721</v>
      </c>
      <c r="D628" t="s">
        <v>227</v>
      </c>
      <c r="E628" t="s">
        <v>1720</v>
      </c>
      <c r="F628">
        <v>4</v>
      </c>
      <c r="G628">
        <v>3</v>
      </c>
      <c r="H628" t="s">
        <v>8</v>
      </c>
      <c r="I628" t="s">
        <v>8</v>
      </c>
      <c r="J628" t="s">
        <v>4</v>
      </c>
      <c r="K628">
        <v>0.39495381712913502</v>
      </c>
      <c r="L628" s="26">
        <v>5.24486172162046E-6</v>
      </c>
      <c r="M628">
        <v>2.01297542534177E-2</v>
      </c>
      <c r="N628">
        <v>3.3347405895650799</v>
      </c>
    </row>
    <row r="629" spans="1:14">
      <c r="A629" s="1">
        <v>628</v>
      </c>
      <c r="B629" t="s">
        <v>1722</v>
      </c>
      <c r="C629" t="s">
        <v>1723</v>
      </c>
      <c r="D629" t="s">
        <v>1724</v>
      </c>
      <c r="E629" t="s">
        <v>1722</v>
      </c>
      <c r="F629">
        <v>4</v>
      </c>
      <c r="G629">
        <v>4</v>
      </c>
      <c r="H629" t="s">
        <v>8</v>
      </c>
      <c r="I629" t="s">
        <v>8</v>
      </c>
      <c r="J629" t="s">
        <v>4</v>
      </c>
      <c r="K629">
        <v>0.74831414222717196</v>
      </c>
      <c r="L629" s="26">
        <v>1.7883876335549E-5</v>
      </c>
      <c r="M629">
        <v>4.1686711004906797E-3</v>
      </c>
      <c r="N629">
        <v>3.6595175130396198</v>
      </c>
    </row>
    <row r="630" spans="1:14">
      <c r="A630" s="1">
        <v>629</v>
      </c>
      <c r="B630" t="s">
        <v>1725</v>
      </c>
      <c r="C630" t="s">
        <v>1726</v>
      </c>
      <c r="D630" t="s">
        <v>1727</v>
      </c>
      <c r="E630" t="s">
        <v>1725</v>
      </c>
      <c r="F630">
        <v>4</v>
      </c>
      <c r="G630">
        <v>5</v>
      </c>
      <c r="H630" t="s">
        <v>8</v>
      </c>
      <c r="I630" t="s">
        <v>8</v>
      </c>
      <c r="J630" t="s">
        <v>4</v>
      </c>
      <c r="K630">
        <v>0.98293775320053101</v>
      </c>
      <c r="L630" s="26">
        <v>3.0192945010500701E-5</v>
      </c>
      <c r="M630">
        <v>2.69031590642363E-2</v>
      </c>
      <c r="N630">
        <v>3.28109421182352</v>
      </c>
    </row>
    <row r="631" spans="1:14">
      <c r="A631" s="1">
        <v>630</v>
      </c>
      <c r="B631" t="s">
        <v>1728</v>
      </c>
      <c r="C631" t="s">
        <v>1729</v>
      </c>
      <c r="D631" t="s">
        <v>47</v>
      </c>
      <c r="E631" t="s">
        <v>1728</v>
      </c>
      <c r="F631">
        <v>5</v>
      </c>
      <c r="G631">
        <v>2</v>
      </c>
      <c r="H631" t="s">
        <v>12</v>
      </c>
      <c r="I631" t="s">
        <v>12</v>
      </c>
      <c r="J631" t="s">
        <v>4</v>
      </c>
      <c r="K631">
        <v>0.469481140375137</v>
      </c>
      <c r="L631" s="26">
        <v>8.2978631110616804E-6</v>
      </c>
      <c r="M631">
        <v>-1.7965278526631299E-2</v>
      </c>
      <c r="N631">
        <v>3.3817494409284099</v>
      </c>
    </row>
    <row r="632" spans="1:14">
      <c r="A632" s="1">
        <v>631</v>
      </c>
      <c r="B632" t="s">
        <v>1730</v>
      </c>
      <c r="C632" t="s">
        <v>1731</v>
      </c>
      <c r="D632" t="s">
        <v>1732</v>
      </c>
      <c r="E632" t="s">
        <v>1730</v>
      </c>
      <c r="F632">
        <v>5</v>
      </c>
      <c r="G632">
        <v>5</v>
      </c>
      <c r="H632" t="s">
        <v>8</v>
      </c>
      <c r="I632" t="s">
        <v>8</v>
      </c>
      <c r="J632" t="s">
        <v>4</v>
      </c>
      <c r="K632">
        <v>0.60579675436019897</v>
      </c>
      <c r="L632" s="26">
        <v>1.32003133121193E-5</v>
      </c>
      <c r="M632">
        <v>1.23721509529053E-2</v>
      </c>
      <c r="N632">
        <v>3.3084733391759902</v>
      </c>
    </row>
    <row r="633" spans="1:14">
      <c r="A633" s="1">
        <v>632</v>
      </c>
      <c r="B633" t="s">
        <v>1733</v>
      </c>
      <c r="C633" t="s">
        <v>1734</v>
      </c>
      <c r="D633" t="s">
        <v>1735</v>
      </c>
      <c r="E633" t="s">
        <v>1733</v>
      </c>
      <c r="F633">
        <v>6</v>
      </c>
      <c r="G633">
        <v>7</v>
      </c>
      <c r="H633" t="s">
        <v>8</v>
      </c>
      <c r="I633" t="s">
        <v>8</v>
      </c>
      <c r="J633" t="s">
        <v>4</v>
      </c>
      <c r="K633">
        <v>0.99851197004318204</v>
      </c>
      <c r="L633" s="26">
        <v>3.1157111429285497E-5</v>
      </c>
      <c r="M633">
        <v>-1.4502578408439599E-3</v>
      </c>
      <c r="N633">
        <v>2.2742006563201498</v>
      </c>
    </row>
    <row r="634" spans="1:14">
      <c r="A634" s="1">
        <v>633</v>
      </c>
      <c r="B634" t="s">
        <v>1736</v>
      </c>
      <c r="C634" t="s">
        <v>1737</v>
      </c>
      <c r="D634" t="s">
        <v>1471</v>
      </c>
      <c r="E634" t="s">
        <v>1736</v>
      </c>
      <c r="F634">
        <v>4</v>
      </c>
      <c r="G634">
        <v>5</v>
      </c>
      <c r="H634" t="s">
        <v>8</v>
      </c>
      <c r="I634" t="s">
        <v>8</v>
      </c>
      <c r="J634" t="s">
        <v>4</v>
      </c>
      <c r="K634">
        <v>0.97993260622024503</v>
      </c>
      <c r="L634" s="26">
        <v>3.0012934104138901E-5</v>
      </c>
      <c r="M634">
        <v>-8.7073028931072805E-4</v>
      </c>
      <c r="N634">
        <v>2.9814421016867798</v>
      </c>
    </row>
    <row r="635" spans="1:14">
      <c r="A635" s="1">
        <v>634</v>
      </c>
      <c r="B635" t="s">
        <v>1738</v>
      </c>
      <c r="C635" t="s">
        <v>1739</v>
      </c>
      <c r="D635" t="s">
        <v>677</v>
      </c>
      <c r="E635" t="s">
        <v>1738</v>
      </c>
      <c r="F635">
        <v>4</v>
      </c>
      <c r="G635">
        <v>2</v>
      </c>
      <c r="H635" t="s">
        <v>12</v>
      </c>
      <c r="I635" t="s">
        <v>12</v>
      </c>
      <c r="J635" t="s">
        <v>4</v>
      </c>
      <c r="K635">
        <v>0.59229212999343805</v>
      </c>
      <c r="L635" s="26">
        <v>1.30149228781735E-5</v>
      </c>
      <c r="M635">
        <v>-7.1702322106403905E-4</v>
      </c>
      <c r="N635">
        <v>3.6817312545987502</v>
      </c>
    </row>
    <row r="636" spans="1:14">
      <c r="A636" s="1">
        <v>635</v>
      </c>
      <c r="B636" t="s">
        <v>1740</v>
      </c>
      <c r="C636" t="s">
        <v>1741</v>
      </c>
      <c r="D636" t="s">
        <v>475</v>
      </c>
      <c r="E636" t="s">
        <v>2370</v>
      </c>
      <c r="F636">
        <v>4</v>
      </c>
      <c r="G636">
        <v>5</v>
      </c>
      <c r="H636" t="s">
        <v>8</v>
      </c>
      <c r="I636" t="s">
        <v>8</v>
      </c>
      <c r="J636" t="s">
        <v>180</v>
      </c>
      <c r="K636">
        <v>0.33732938766479398</v>
      </c>
      <c r="L636" s="26">
        <v>5.0316641383702904E-6</v>
      </c>
      <c r="M636">
        <v>7.1768233721272098E-3</v>
      </c>
      <c r="N636">
        <v>3.8306583144303401</v>
      </c>
    </row>
    <row r="637" spans="1:14">
      <c r="A637" s="1">
        <v>636</v>
      </c>
      <c r="B637" t="s">
        <v>1742</v>
      </c>
      <c r="C637" t="s">
        <v>1743</v>
      </c>
      <c r="D637" t="s">
        <v>1744</v>
      </c>
      <c r="E637" t="s">
        <v>1742</v>
      </c>
      <c r="F637">
        <v>5</v>
      </c>
      <c r="G637">
        <v>7</v>
      </c>
      <c r="H637" t="s">
        <v>22</v>
      </c>
      <c r="I637" t="s">
        <v>22</v>
      </c>
      <c r="J637" t="s">
        <v>4</v>
      </c>
      <c r="K637">
        <v>0.94731092453002896</v>
      </c>
      <c r="L637" s="26">
        <v>2.8052570140667901E-5</v>
      </c>
      <c r="M637">
        <v>1.2913838429327001E-3</v>
      </c>
      <c r="N637">
        <v>3.7739726874442598</v>
      </c>
    </row>
    <row r="638" spans="1:14">
      <c r="A638" s="1">
        <v>637</v>
      </c>
      <c r="B638" t="s">
        <v>1745</v>
      </c>
      <c r="C638" t="s">
        <v>1746</v>
      </c>
      <c r="D638" t="s">
        <v>1747</v>
      </c>
      <c r="E638" t="s">
        <v>1745</v>
      </c>
      <c r="F638">
        <v>4</v>
      </c>
      <c r="G638">
        <v>5</v>
      </c>
      <c r="H638" t="s">
        <v>8</v>
      </c>
      <c r="I638" t="s">
        <v>8</v>
      </c>
      <c r="J638" t="s">
        <v>4</v>
      </c>
      <c r="K638">
        <v>0.45048576593398998</v>
      </c>
      <c r="L638" s="26">
        <v>6.3933150669524797E-6</v>
      </c>
      <c r="M638">
        <v>2.1667833292900299E-2</v>
      </c>
      <c r="N638">
        <v>3.1965837957163301</v>
      </c>
    </row>
    <row r="639" spans="1:14">
      <c r="A639" s="1">
        <v>638</v>
      </c>
      <c r="B639" t="s">
        <v>1748</v>
      </c>
      <c r="C639" t="s">
        <v>1749</v>
      </c>
      <c r="D639" t="s">
        <v>674</v>
      </c>
      <c r="E639" t="s">
        <v>1748</v>
      </c>
      <c r="F639">
        <v>4</v>
      </c>
      <c r="G639">
        <v>3</v>
      </c>
      <c r="H639" t="s">
        <v>8</v>
      </c>
      <c r="I639" t="s">
        <v>8</v>
      </c>
      <c r="J639" t="s">
        <v>4</v>
      </c>
      <c r="K639">
        <v>0.32931032776832497</v>
      </c>
      <c r="L639" s="26">
        <v>3.6401370301241602E-6</v>
      </c>
      <c r="M639">
        <v>1.4631973085879E-2</v>
      </c>
      <c r="N639">
        <v>3.1235287003035199</v>
      </c>
    </row>
    <row r="640" spans="1:14">
      <c r="A640" s="1">
        <v>639</v>
      </c>
      <c r="B640" t="s">
        <v>1750</v>
      </c>
      <c r="C640" t="s">
        <v>1751</v>
      </c>
      <c r="D640" t="s">
        <v>1752</v>
      </c>
      <c r="E640" t="s">
        <v>1750</v>
      </c>
      <c r="F640">
        <v>4</v>
      </c>
      <c r="G640">
        <v>5</v>
      </c>
      <c r="H640" t="s">
        <v>8</v>
      </c>
      <c r="I640" t="s">
        <v>8</v>
      </c>
      <c r="J640" t="s">
        <v>4</v>
      </c>
      <c r="K640">
        <v>0.99771332740783603</v>
      </c>
      <c r="L640" s="26">
        <v>3.1107251446073E-5</v>
      </c>
      <c r="M640">
        <v>1.22843525111058E-2</v>
      </c>
      <c r="N640">
        <v>2.4724421872590199</v>
      </c>
    </row>
    <row r="641" spans="1:14">
      <c r="A641" s="1">
        <v>640</v>
      </c>
      <c r="B641" t="s">
        <v>1753</v>
      </c>
      <c r="C641" t="s">
        <v>1754</v>
      </c>
      <c r="D641" t="s">
        <v>356</v>
      </c>
      <c r="E641" t="s">
        <v>1753</v>
      </c>
      <c r="F641">
        <v>5</v>
      </c>
      <c r="G641">
        <v>3</v>
      </c>
      <c r="H641" t="s">
        <v>8</v>
      </c>
      <c r="I641" t="s">
        <v>8</v>
      </c>
      <c r="J641" t="s">
        <v>4</v>
      </c>
      <c r="K641">
        <v>0.59637671709060602</v>
      </c>
      <c r="L641" s="26">
        <v>1.3419892950023E-5</v>
      </c>
      <c r="M641">
        <v>1.7374860408466399E-2</v>
      </c>
      <c r="N641">
        <v>3.5728898362748098</v>
      </c>
    </row>
    <row r="642" spans="1:14">
      <c r="A642" s="1">
        <v>641</v>
      </c>
      <c r="B642" t="s">
        <v>1755</v>
      </c>
      <c r="C642" t="s">
        <v>1756</v>
      </c>
      <c r="D642" t="s">
        <v>61</v>
      </c>
      <c r="E642" t="s">
        <v>1757</v>
      </c>
      <c r="F642">
        <v>5</v>
      </c>
      <c r="G642">
        <v>2</v>
      </c>
      <c r="H642" t="s">
        <v>22</v>
      </c>
      <c r="I642" t="s">
        <v>8</v>
      </c>
      <c r="J642" t="s">
        <v>180</v>
      </c>
      <c r="K642">
        <v>5.5309809744358E-2</v>
      </c>
      <c r="L642" s="26">
        <v>2.4590341253070901E-7</v>
      </c>
      <c r="M642">
        <v>3.0234333594847802E-2</v>
      </c>
      <c r="N642">
        <v>3.2453587542353799</v>
      </c>
    </row>
    <row r="643" spans="1:14">
      <c r="A643" s="1">
        <v>642</v>
      </c>
      <c r="B643" t="s">
        <v>1758</v>
      </c>
      <c r="C643" t="s">
        <v>1759</v>
      </c>
      <c r="D643" t="s">
        <v>1760</v>
      </c>
      <c r="E643" t="s">
        <v>1758</v>
      </c>
      <c r="F643">
        <v>4</v>
      </c>
      <c r="G643">
        <v>5</v>
      </c>
      <c r="H643" t="s">
        <v>8</v>
      </c>
      <c r="I643" t="s">
        <v>8</v>
      </c>
      <c r="J643" t="s">
        <v>4</v>
      </c>
      <c r="K643">
        <v>0.99293631315231301</v>
      </c>
      <c r="L643" s="26">
        <v>3.0810732846230103E-5</v>
      </c>
      <c r="M643">
        <v>1.33723427171617E-3</v>
      </c>
      <c r="N643">
        <v>2.4172046013394799</v>
      </c>
    </row>
    <row r="644" spans="1:14">
      <c r="A644" s="1">
        <v>643</v>
      </c>
      <c r="B644" t="s">
        <v>568</v>
      </c>
      <c r="C644" t="s">
        <v>566</v>
      </c>
      <c r="D644" t="s">
        <v>1452</v>
      </c>
      <c r="E644" t="s">
        <v>568</v>
      </c>
      <c r="F644">
        <v>4</v>
      </c>
      <c r="G644">
        <v>3</v>
      </c>
      <c r="H644" t="s">
        <v>8</v>
      </c>
      <c r="I644" t="s">
        <v>8</v>
      </c>
      <c r="J644" t="s">
        <v>4</v>
      </c>
      <c r="K644">
        <v>0.72179174423217696</v>
      </c>
      <c r="L644" s="26">
        <v>1.6720260159793101E-5</v>
      </c>
      <c r="M644">
        <v>-2.15537338719968E-2</v>
      </c>
      <c r="N644">
        <v>3.4479264077039802</v>
      </c>
    </row>
    <row r="645" spans="1:14">
      <c r="A645" s="1">
        <v>644</v>
      </c>
      <c r="B645" t="s">
        <v>1761</v>
      </c>
      <c r="C645" t="s">
        <v>1762</v>
      </c>
      <c r="D645" t="s">
        <v>580</v>
      </c>
      <c r="E645" t="s">
        <v>1761</v>
      </c>
      <c r="F645">
        <v>5</v>
      </c>
      <c r="G645">
        <v>4</v>
      </c>
      <c r="H645" t="s">
        <v>8</v>
      </c>
      <c r="I645" t="s">
        <v>8</v>
      </c>
      <c r="J645" t="s">
        <v>4</v>
      </c>
      <c r="K645">
        <v>0.65824019908904996</v>
      </c>
      <c r="L645" s="26">
        <v>1.3752718493941201E-5</v>
      </c>
      <c r="M645">
        <v>6.9679429952884597E-3</v>
      </c>
      <c r="N645">
        <v>2.8559788756578901</v>
      </c>
    </row>
    <row r="646" spans="1:14">
      <c r="A646" s="1">
        <v>645</v>
      </c>
      <c r="B646" t="s">
        <v>1763</v>
      </c>
      <c r="C646" t="s">
        <v>1764</v>
      </c>
      <c r="D646" t="s">
        <v>1765</v>
      </c>
      <c r="E646" t="s">
        <v>1763</v>
      </c>
      <c r="F646">
        <v>4</v>
      </c>
      <c r="G646">
        <v>6</v>
      </c>
      <c r="H646" t="s">
        <v>8</v>
      </c>
      <c r="I646" t="s">
        <v>8</v>
      </c>
      <c r="J646" t="s">
        <v>4</v>
      </c>
      <c r="K646">
        <v>0.67077994346618597</v>
      </c>
      <c r="L646" s="26">
        <v>1.41424854600141E-5</v>
      </c>
      <c r="M646">
        <v>3.86865260505064E-3</v>
      </c>
      <c r="N646">
        <v>3.3812988846530301</v>
      </c>
    </row>
    <row r="647" spans="1:14">
      <c r="A647" s="1">
        <v>646</v>
      </c>
      <c r="B647" t="s">
        <v>1766</v>
      </c>
      <c r="C647" t="s">
        <v>1767</v>
      </c>
      <c r="D647" t="s">
        <v>1768</v>
      </c>
      <c r="E647" t="s">
        <v>1766</v>
      </c>
      <c r="F647">
        <v>4</v>
      </c>
      <c r="G647">
        <v>4</v>
      </c>
      <c r="H647" t="s">
        <v>98</v>
      </c>
      <c r="I647" t="s">
        <v>98</v>
      </c>
      <c r="J647" t="s">
        <v>4</v>
      </c>
      <c r="K647">
        <v>0.52299720048904397</v>
      </c>
      <c r="L647" s="26">
        <v>8.6416350045404603E-6</v>
      </c>
      <c r="M647">
        <v>-2.4950983803620298E-2</v>
      </c>
      <c r="N647">
        <v>3.3852465992273899</v>
      </c>
    </row>
    <row r="648" spans="1:14">
      <c r="A648" s="1">
        <v>647</v>
      </c>
      <c r="B648" t="s">
        <v>1769</v>
      </c>
      <c r="C648" t="s">
        <v>1770</v>
      </c>
      <c r="D648" t="s">
        <v>580</v>
      </c>
      <c r="E648" t="s">
        <v>1769</v>
      </c>
      <c r="F648">
        <v>4</v>
      </c>
      <c r="G648">
        <v>4</v>
      </c>
      <c r="H648" t="s">
        <v>8</v>
      </c>
      <c r="I648" t="s">
        <v>8</v>
      </c>
      <c r="J648" t="s">
        <v>4</v>
      </c>
      <c r="K648">
        <v>0.84388768672943104</v>
      </c>
      <c r="L648" s="26">
        <v>2.2271056560622899E-5</v>
      </c>
      <c r="M648">
        <v>2.1320327825968301E-2</v>
      </c>
      <c r="N648">
        <v>3.34098977271243</v>
      </c>
    </row>
    <row r="649" spans="1:14">
      <c r="A649" s="1">
        <v>648</v>
      </c>
      <c r="B649" t="s">
        <v>1771</v>
      </c>
      <c r="C649" t="s">
        <v>1772</v>
      </c>
      <c r="D649" t="s">
        <v>1773</v>
      </c>
      <c r="E649" t="s">
        <v>1771</v>
      </c>
      <c r="F649">
        <v>5</v>
      </c>
      <c r="G649">
        <v>6</v>
      </c>
      <c r="H649" t="s">
        <v>8</v>
      </c>
      <c r="I649" t="s">
        <v>8</v>
      </c>
      <c r="J649" t="s">
        <v>4</v>
      </c>
      <c r="K649">
        <v>0.99363422393798795</v>
      </c>
      <c r="L649" s="26">
        <v>3.08535113306517E-5</v>
      </c>
      <c r="M649">
        <v>-2.2302435223266099E-2</v>
      </c>
      <c r="N649">
        <v>2.4081259205239198</v>
      </c>
    </row>
    <row r="650" spans="1:14">
      <c r="A650" s="1">
        <v>649</v>
      </c>
      <c r="B650" t="s">
        <v>1774</v>
      </c>
      <c r="C650" t="s">
        <v>1775</v>
      </c>
      <c r="D650" t="s">
        <v>1776</v>
      </c>
      <c r="E650" t="s">
        <v>1774</v>
      </c>
      <c r="F650">
        <v>4</v>
      </c>
      <c r="G650">
        <v>7</v>
      </c>
      <c r="H650" t="s">
        <v>8</v>
      </c>
      <c r="I650" t="s">
        <v>8</v>
      </c>
      <c r="J650" t="s">
        <v>4</v>
      </c>
      <c r="K650">
        <v>0.98953503370285001</v>
      </c>
      <c r="L650" s="26">
        <v>3.0600096919173803E-5</v>
      </c>
      <c r="M650">
        <v>-6.2238282657887103E-3</v>
      </c>
      <c r="N650">
        <v>2.7875086284181698</v>
      </c>
    </row>
    <row r="651" spans="1:14">
      <c r="A651" s="1">
        <v>650</v>
      </c>
      <c r="B651" t="s">
        <v>1777</v>
      </c>
      <c r="C651" t="s">
        <v>1778</v>
      </c>
      <c r="D651" t="s">
        <v>1779</v>
      </c>
      <c r="E651" t="s">
        <v>1777</v>
      </c>
      <c r="F651">
        <v>5</v>
      </c>
      <c r="G651">
        <v>4</v>
      </c>
      <c r="H651" t="s">
        <v>8</v>
      </c>
      <c r="I651" t="s">
        <v>8</v>
      </c>
      <c r="J651" t="s">
        <v>4</v>
      </c>
      <c r="K651">
        <v>0.99863153696060103</v>
      </c>
      <c r="L651" s="26">
        <v>3.1164548236426399E-5</v>
      </c>
      <c r="M651">
        <v>-1.12042595605856E-2</v>
      </c>
      <c r="N651">
        <v>2.9982957704011901</v>
      </c>
    </row>
    <row r="652" spans="1:14">
      <c r="A652" s="1">
        <v>651</v>
      </c>
      <c r="B652" t="s">
        <v>1780</v>
      </c>
      <c r="C652" t="s">
        <v>1781</v>
      </c>
      <c r="D652" t="s">
        <v>800</v>
      </c>
      <c r="E652" t="s">
        <v>1780</v>
      </c>
      <c r="F652">
        <v>5</v>
      </c>
      <c r="G652">
        <v>6</v>
      </c>
      <c r="H652" t="s">
        <v>8</v>
      </c>
      <c r="I652" t="s">
        <v>8</v>
      </c>
      <c r="J652" t="s">
        <v>4</v>
      </c>
      <c r="K652">
        <v>0.49706757068634</v>
      </c>
      <c r="L652" s="26">
        <v>1.0747147882538599E-5</v>
      </c>
      <c r="M652">
        <v>1.4014247957170701E-2</v>
      </c>
      <c r="N652">
        <v>3.2442735690500202</v>
      </c>
    </row>
    <row r="653" spans="1:14">
      <c r="A653" s="1">
        <v>652</v>
      </c>
      <c r="B653" t="s">
        <v>1782</v>
      </c>
      <c r="C653" t="s">
        <v>1783</v>
      </c>
      <c r="D653" t="s">
        <v>1452</v>
      </c>
      <c r="E653" t="s">
        <v>1782</v>
      </c>
      <c r="F653">
        <v>6</v>
      </c>
      <c r="G653">
        <v>3</v>
      </c>
      <c r="H653" t="s">
        <v>8</v>
      </c>
      <c r="I653" t="s">
        <v>8</v>
      </c>
      <c r="J653" t="s">
        <v>4</v>
      </c>
      <c r="K653">
        <v>0.51176059246063199</v>
      </c>
      <c r="L653" s="26">
        <v>9.8597462333917706E-6</v>
      </c>
      <c r="M653">
        <v>4.1779434561703896E-3</v>
      </c>
      <c r="N653">
        <v>3.4071027570214998</v>
      </c>
    </row>
    <row r="654" spans="1:14">
      <c r="A654" s="1">
        <v>653</v>
      </c>
      <c r="B654" t="s">
        <v>1784</v>
      </c>
      <c r="C654" t="s">
        <v>1785</v>
      </c>
      <c r="D654" t="s">
        <v>855</v>
      </c>
      <c r="E654" t="s">
        <v>1784</v>
      </c>
      <c r="F654">
        <v>5</v>
      </c>
      <c r="G654">
        <v>8</v>
      </c>
      <c r="H654" t="s">
        <v>3</v>
      </c>
      <c r="I654" t="s">
        <v>3</v>
      </c>
      <c r="J654" t="s">
        <v>4</v>
      </c>
      <c r="K654">
        <v>0.92034411430358798</v>
      </c>
      <c r="L654" s="26">
        <v>2.6477385746555399E-5</v>
      </c>
      <c r="M654">
        <v>-2.4546662289111499E-2</v>
      </c>
      <c r="N654">
        <v>3.5753153888465898</v>
      </c>
    </row>
    <row r="655" spans="1:14">
      <c r="A655" s="1">
        <v>654</v>
      </c>
      <c r="B655" t="s">
        <v>1786</v>
      </c>
      <c r="C655" t="s">
        <v>1787</v>
      </c>
      <c r="D655" t="s">
        <v>1788</v>
      </c>
      <c r="E655" t="s">
        <v>1786</v>
      </c>
      <c r="F655">
        <v>4</v>
      </c>
      <c r="G655">
        <v>6</v>
      </c>
      <c r="H655" t="s">
        <v>8</v>
      </c>
      <c r="I655" t="s">
        <v>8</v>
      </c>
      <c r="J655" t="s">
        <v>4</v>
      </c>
      <c r="K655">
        <v>0.240974515676498</v>
      </c>
      <c r="L655" s="26">
        <v>3.0293690781715801E-6</v>
      </c>
      <c r="M655">
        <v>-8.1915627083404205E-3</v>
      </c>
      <c r="N655">
        <v>3.2318585011271699</v>
      </c>
    </row>
    <row r="656" spans="1:14">
      <c r="A656" s="1">
        <v>655</v>
      </c>
      <c r="B656" t="s">
        <v>1789</v>
      </c>
      <c r="C656" t="s">
        <v>1790</v>
      </c>
      <c r="D656" t="s">
        <v>1791</v>
      </c>
      <c r="E656" t="s">
        <v>1789</v>
      </c>
      <c r="F656">
        <v>5</v>
      </c>
      <c r="G656">
        <v>4</v>
      </c>
      <c r="H656" t="s">
        <v>8</v>
      </c>
      <c r="I656" t="s">
        <v>8</v>
      </c>
      <c r="J656" t="s">
        <v>4</v>
      </c>
      <c r="K656">
        <v>0.39885050058364802</v>
      </c>
      <c r="L656" s="26">
        <v>6.4585469978764701E-6</v>
      </c>
      <c r="M656">
        <v>2.81421504716412E-2</v>
      </c>
      <c r="N656">
        <v>3.0414170924634898</v>
      </c>
    </row>
    <row r="657" spans="1:14">
      <c r="A657" s="1">
        <v>656</v>
      </c>
      <c r="B657" t="s">
        <v>1792</v>
      </c>
      <c r="C657" t="s">
        <v>1793</v>
      </c>
      <c r="D657" t="s">
        <v>1794</v>
      </c>
      <c r="E657" t="s">
        <v>1792</v>
      </c>
      <c r="F657">
        <v>7</v>
      </c>
      <c r="G657">
        <v>3</v>
      </c>
      <c r="H657" t="s">
        <v>8</v>
      </c>
      <c r="I657" t="s">
        <v>8</v>
      </c>
      <c r="J657" t="s">
        <v>4</v>
      </c>
      <c r="K657">
        <v>0.93138653039932195</v>
      </c>
      <c r="L657" s="26">
        <v>2.71161992615369E-5</v>
      </c>
      <c r="M657">
        <v>-3.5008921617020398E-2</v>
      </c>
      <c r="N657">
        <v>3.5925016592491601</v>
      </c>
    </row>
    <row r="658" spans="1:14">
      <c r="A658" s="1">
        <v>657</v>
      </c>
      <c r="B658" t="s">
        <v>1795</v>
      </c>
      <c r="C658" t="s">
        <v>1796</v>
      </c>
      <c r="D658" t="s">
        <v>1797</v>
      </c>
      <c r="E658" t="s">
        <v>1795</v>
      </c>
      <c r="F658">
        <v>5</v>
      </c>
      <c r="G658">
        <v>8</v>
      </c>
      <c r="H658" t="s">
        <v>8</v>
      </c>
      <c r="I658" t="s">
        <v>8</v>
      </c>
      <c r="J658" t="s">
        <v>4</v>
      </c>
      <c r="K658">
        <v>0.78715568780899003</v>
      </c>
      <c r="L658" s="26">
        <v>1.93845888839503E-5</v>
      </c>
      <c r="M658">
        <v>1.2838532327791001E-2</v>
      </c>
      <c r="N658">
        <v>3.16921360748958</v>
      </c>
    </row>
    <row r="659" spans="1:14">
      <c r="A659" s="1">
        <v>658</v>
      </c>
      <c r="B659" t="s">
        <v>1798</v>
      </c>
      <c r="C659" t="s">
        <v>1799</v>
      </c>
      <c r="D659" t="s">
        <v>1800</v>
      </c>
      <c r="E659" t="s">
        <v>2371</v>
      </c>
      <c r="F659">
        <v>5</v>
      </c>
      <c r="G659">
        <v>4</v>
      </c>
      <c r="H659" t="s">
        <v>8</v>
      </c>
      <c r="I659" t="s">
        <v>8</v>
      </c>
      <c r="J659" t="s">
        <v>180</v>
      </c>
      <c r="K659">
        <v>0.36704418063163702</v>
      </c>
      <c r="L659" s="26">
        <v>4.8839640171318199E-6</v>
      </c>
      <c r="M659" s="26">
        <v>-4.8001181644607901E-5</v>
      </c>
      <c r="N659">
        <v>3.8539338900403401</v>
      </c>
    </row>
    <row r="660" spans="1:14">
      <c r="A660" s="1">
        <v>659</v>
      </c>
      <c r="B660" t="s">
        <v>1801</v>
      </c>
      <c r="C660" t="s">
        <v>1802</v>
      </c>
      <c r="D660" t="s">
        <v>988</v>
      </c>
      <c r="E660" t="s">
        <v>1801</v>
      </c>
      <c r="F660">
        <v>5</v>
      </c>
      <c r="G660">
        <v>3</v>
      </c>
      <c r="H660" t="s">
        <v>98</v>
      </c>
      <c r="I660" t="s">
        <v>98</v>
      </c>
      <c r="J660" t="s">
        <v>4</v>
      </c>
      <c r="K660">
        <v>0.99805861711501997</v>
      </c>
      <c r="L660" s="26">
        <v>3.1128787585278201E-5</v>
      </c>
      <c r="M660">
        <v>-2.0472814664415698E-2</v>
      </c>
      <c r="N660">
        <v>2.8280027531698799</v>
      </c>
    </row>
    <row r="661" spans="1:14">
      <c r="A661" s="1">
        <v>660</v>
      </c>
      <c r="B661" t="s">
        <v>1803</v>
      </c>
      <c r="C661" t="s">
        <v>1804</v>
      </c>
      <c r="D661" t="s">
        <v>1805</v>
      </c>
      <c r="E661" t="s">
        <v>1803</v>
      </c>
      <c r="F661">
        <v>4</v>
      </c>
      <c r="G661">
        <v>9</v>
      </c>
      <c r="H661" t="s">
        <v>8</v>
      </c>
      <c r="I661" t="s">
        <v>8</v>
      </c>
      <c r="J661" t="s">
        <v>4</v>
      </c>
      <c r="K661">
        <v>0.99916052818298295</v>
      </c>
      <c r="L661" s="26">
        <v>3.1197555952391003E-5</v>
      </c>
      <c r="M661">
        <v>7.5842848919727103E-3</v>
      </c>
      <c r="N661">
        <v>2.60838172957722</v>
      </c>
    </row>
    <row r="662" spans="1:14">
      <c r="A662" s="1">
        <v>661</v>
      </c>
      <c r="B662" t="s">
        <v>1806</v>
      </c>
      <c r="C662" t="s">
        <v>1807</v>
      </c>
      <c r="D662" t="s">
        <v>1808</v>
      </c>
      <c r="E662" t="s">
        <v>1806</v>
      </c>
      <c r="F662">
        <v>4</v>
      </c>
      <c r="G662">
        <v>6</v>
      </c>
      <c r="H662" t="s">
        <v>8</v>
      </c>
      <c r="I662" t="s">
        <v>8</v>
      </c>
      <c r="J662" t="s">
        <v>4</v>
      </c>
      <c r="K662">
        <v>0.77359122037887496</v>
      </c>
      <c r="L662" s="26">
        <v>1.8706045771238901E-5</v>
      </c>
      <c r="M662">
        <v>2.04560595536236E-2</v>
      </c>
      <c r="N662">
        <v>3.5483741529953998</v>
      </c>
    </row>
    <row r="663" spans="1:14">
      <c r="A663" s="1">
        <v>662</v>
      </c>
      <c r="B663" t="s">
        <v>1809</v>
      </c>
      <c r="C663" t="s">
        <v>1810</v>
      </c>
      <c r="D663" t="s">
        <v>1811</v>
      </c>
      <c r="E663" t="s">
        <v>1812</v>
      </c>
      <c r="F663">
        <v>4</v>
      </c>
      <c r="G663">
        <v>5</v>
      </c>
      <c r="H663" t="s">
        <v>8</v>
      </c>
      <c r="I663" t="s">
        <v>8</v>
      </c>
      <c r="J663" t="s">
        <v>180</v>
      </c>
      <c r="K663">
        <v>2.5273870676755902E-2</v>
      </c>
      <c r="L663" s="26">
        <v>7.8973609341356198E-8</v>
      </c>
      <c r="M663">
        <v>2.0996769966771401E-2</v>
      </c>
      <c r="N663">
        <v>3.42016355045312</v>
      </c>
    </row>
    <row r="664" spans="1:14">
      <c r="A664" s="1">
        <v>663</v>
      </c>
      <c r="B664" t="s">
        <v>1813</v>
      </c>
      <c r="C664" t="s">
        <v>1814</v>
      </c>
      <c r="D664" t="s">
        <v>1815</v>
      </c>
      <c r="E664" t="s">
        <v>1813</v>
      </c>
      <c r="F664">
        <v>4</v>
      </c>
      <c r="G664">
        <v>4</v>
      </c>
      <c r="H664" t="s">
        <v>8</v>
      </c>
      <c r="I664" t="s">
        <v>8</v>
      </c>
      <c r="J664" t="s">
        <v>4</v>
      </c>
      <c r="K664">
        <v>0.29932522773742598</v>
      </c>
      <c r="L664" s="26">
        <v>4.1698580948915203E-6</v>
      </c>
      <c r="M664">
        <v>1.4836026130726701E-2</v>
      </c>
      <c r="N664">
        <v>3.30485611444047</v>
      </c>
    </row>
    <row r="665" spans="1:14">
      <c r="A665" s="1">
        <v>664</v>
      </c>
      <c r="B665" t="s">
        <v>1816</v>
      </c>
      <c r="C665" t="s">
        <v>1817</v>
      </c>
      <c r="D665" t="s">
        <v>1818</v>
      </c>
      <c r="E665" t="s">
        <v>2372</v>
      </c>
      <c r="F665">
        <v>4</v>
      </c>
      <c r="G665">
        <v>5</v>
      </c>
      <c r="H665" t="s">
        <v>8</v>
      </c>
      <c r="I665" t="s">
        <v>8</v>
      </c>
      <c r="J665" t="s">
        <v>180</v>
      </c>
      <c r="K665">
        <v>8.2488626241683904E-2</v>
      </c>
      <c r="L665" s="26">
        <v>5.6962052164207895E-7</v>
      </c>
      <c r="M665">
        <v>2.4038227650038302E-3</v>
      </c>
      <c r="N665">
        <v>3.0150816265679401</v>
      </c>
    </row>
    <row r="666" spans="1:14">
      <c r="A666" s="1">
        <v>665</v>
      </c>
      <c r="B666" t="s">
        <v>1819</v>
      </c>
      <c r="C666" t="s">
        <v>1820</v>
      </c>
      <c r="D666" t="s">
        <v>1821</v>
      </c>
      <c r="E666" t="s">
        <v>1819</v>
      </c>
      <c r="F666">
        <v>4</v>
      </c>
      <c r="G666">
        <v>3</v>
      </c>
      <c r="H666" t="s">
        <v>8</v>
      </c>
      <c r="I666" t="s">
        <v>8</v>
      </c>
      <c r="J666" t="s">
        <v>4</v>
      </c>
      <c r="K666">
        <v>0.99296206235885598</v>
      </c>
      <c r="L666" s="26">
        <v>3.0811796735259697E-5</v>
      </c>
      <c r="M666">
        <v>-3.9526169187993697E-2</v>
      </c>
      <c r="N666">
        <v>2.6721146576572101</v>
      </c>
    </row>
    <row r="667" spans="1:14">
      <c r="A667" s="1">
        <v>666</v>
      </c>
      <c r="B667" t="s">
        <v>1822</v>
      </c>
      <c r="C667" t="s">
        <v>1823</v>
      </c>
      <c r="D667" t="s">
        <v>1079</v>
      </c>
      <c r="E667" t="s">
        <v>1822</v>
      </c>
      <c r="F667">
        <v>5</v>
      </c>
      <c r="G667">
        <v>3</v>
      </c>
      <c r="H667" t="s">
        <v>8</v>
      </c>
      <c r="I667" t="s">
        <v>8</v>
      </c>
      <c r="J667" t="s">
        <v>4</v>
      </c>
      <c r="K667">
        <v>0.908788442611694</v>
      </c>
      <c r="L667" s="26">
        <v>2.5815114396133499E-5</v>
      </c>
      <c r="M667">
        <v>-2.5839041582109701E-3</v>
      </c>
      <c r="N667">
        <v>3.37391066016695</v>
      </c>
    </row>
    <row r="668" spans="1:14">
      <c r="A668" s="1">
        <v>667</v>
      </c>
      <c r="B668" t="s">
        <v>1824</v>
      </c>
      <c r="C668" t="s">
        <v>1825</v>
      </c>
      <c r="D668" t="s">
        <v>47</v>
      </c>
      <c r="E668" t="s">
        <v>1824</v>
      </c>
      <c r="F668">
        <v>4</v>
      </c>
      <c r="G668">
        <v>2</v>
      </c>
      <c r="H668" t="s">
        <v>12</v>
      </c>
      <c r="I668" t="s">
        <v>12</v>
      </c>
      <c r="J668" t="s">
        <v>4</v>
      </c>
      <c r="K668">
        <v>0.55404812097549405</v>
      </c>
      <c r="L668" s="26">
        <v>9.9485907411189506E-6</v>
      </c>
      <c r="M668">
        <v>4.0274822456254303E-3</v>
      </c>
      <c r="N668">
        <v>3.5273544262584</v>
      </c>
    </row>
    <row r="669" spans="1:14">
      <c r="A669" s="1">
        <v>668</v>
      </c>
      <c r="B669" t="s">
        <v>1826</v>
      </c>
      <c r="C669" t="s">
        <v>1827</v>
      </c>
      <c r="D669" t="s">
        <v>1828</v>
      </c>
      <c r="E669" t="s">
        <v>1829</v>
      </c>
      <c r="F669">
        <v>4</v>
      </c>
      <c r="G669">
        <v>4</v>
      </c>
      <c r="H669" t="s">
        <v>123</v>
      </c>
      <c r="I669" t="s">
        <v>8</v>
      </c>
      <c r="J669" t="s">
        <v>180</v>
      </c>
      <c r="K669">
        <v>0.95450198650360096</v>
      </c>
      <c r="L669" s="26">
        <v>2.85016326742179E-5</v>
      </c>
      <c r="M669">
        <v>-3.6870177946077803E-2</v>
      </c>
      <c r="N669">
        <v>2.9109747215830399</v>
      </c>
    </row>
    <row r="670" spans="1:14">
      <c r="A670" s="1">
        <v>669</v>
      </c>
      <c r="B670" t="s">
        <v>1830</v>
      </c>
      <c r="C670" t="s">
        <v>1831</v>
      </c>
      <c r="D670" t="s">
        <v>292</v>
      </c>
      <c r="E670" t="s">
        <v>1830</v>
      </c>
      <c r="F670">
        <v>7</v>
      </c>
      <c r="G670">
        <v>4</v>
      </c>
      <c r="H670" t="s">
        <v>8</v>
      </c>
      <c r="I670" t="s">
        <v>8</v>
      </c>
      <c r="J670" t="s">
        <v>4</v>
      </c>
      <c r="K670">
        <v>0.78791314363479603</v>
      </c>
      <c r="L670" s="26">
        <v>1.95714127198699E-5</v>
      </c>
      <c r="M670">
        <v>5.71077554111809E-3</v>
      </c>
      <c r="N670">
        <v>3.36164413871164</v>
      </c>
    </row>
    <row r="671" spans="1:14">
      <c r="A671" s="1">
        <v>670</v>
      </c>
      <c r="B671" t="s">
        <v>1832</v>
      </c>
      <c r="C671" t="s">
        <v>1833</v>
      </c>
      <c r="D671" t="s">
        <v>1834</v>
      </c>
      <c r="E671" t="s">
        <v>1832</v>
      </c>
      <c r="F671">
        <v>4</v>
      </c>
      <c r="G671">
        <v>5</v>
      </c>
      <c r="H671" t="s">
        <v>8</v>
      </c>
      <c r="I671" t="s">
        <v>8</v>
      </c>
      <c r="J671" t="s">
        <v>4</v>
      </c>
      <c r="K671">
        <v>0.98314374685287398</v>
      </c>
      <c r="L671" s="26">
        <v>3.0210612180283602E-5</v>
      </c>
      <c r="M671">
        <v>-6.8317146190737203E-3</v>
      </c>
      <c r="N671">
        <v>3.99425472552648</v>
      </c>
    </row>
    <row r="672" spans="1:14">
      <c r="A672" s="1">
        <v>671</v>
      </c>
      <c r="B672" t="s">
        <v>1835</v>
      </c>
      <c r="C672" t="s">
        <v>1836</v>
      </c>
      <c r="D672" t="s">
        <v>1837</v>
      </c>
      <c r="E672" t="s">
        <v>1835</v>
      </c>
      <c r="F672">
        <v>4</v>
      </c>
      <c r="G672">
        <v>7</v>
      </c>
      <c r="H672" t="s">
        <v>8</v>
      </c>
      <c r="I672" t="s">
        <v>8</v>
      </c>
      <c r="J672" t="s">
        <v>4</v>
      </c>
      <c r="K672">
        <v>0.99445843696594205</v>
      </c>
      <c r="L672" s="26">
        <v>3.0905270369008299E-5</v>
      </c>
      <c r="M672">
        <v>2.5375829436212499E-2</v>
      </c>
      <c r="N672">
        <v>3.4917088285494899</v>
      </c>
    </row>
    <row r="673" spans="1:14">
      <c r="A673" s="1">
        <v>672</v>
      </c>
      <c r="B673" t="s">
        <v>1838</v>
      </c>
      <c r="C673" t="s">
        <v>1839</v>
      </c>
      <c r="D673" t="s">
        <v>1840</v>
      </c>
      <c r="E673" t="s">
        <v>2373</v>
      </c>
      <c r="F673">
        <v>4</v>
      </c>
      <c r="G673">
        <v>4</v>
      </c>
      <c r="H673" t="s">
        <v>8</v>
      </c>
      <c r="I673" t="s">
        <v>8</v>
      </c>
      <c r="J673" t="s">
        <v>180</v>
      </c>
      <c r="K673">
        <v>0.22756007313728299</v>
      </c>
      <c r="L673" s="26">
        <v>3.3148170772933999E-6</v>
      </c>
      <c r="M673">
        <v>-3.09390079083584E-2</v>
      </c>
      <c r="N673">
        <v>3.7668524865633</v>
      </c>
    </row>
    <row r="674" spans="1:14">
      <c r="A674" s="1">
        <v>673</v>
      </c>
      <c r="B674" t="s">
        <v>1841</v>
      </c>
      <c r="C674" t="s">
        <v>1842</v>
      </c>
      <c r="D674" t="s">
        <v>1843</v>
      </c>
      <c r="E674" t="s">
        <v>1841</v>
      </c>
      <c r="F674">
        <v>6</v>
      </c>
      <c r="G674">
        <v>8</v>
      </c>
      <c r="H674" t="s">
        <v>123</v>
      </c>
      <c r="I674" t="s">
        <v>123</v>
      </c>
      <c r="J674" t="s">
        <v>4</v>
      </c>
      <c r="K674">
        <v>0.89381992816925004</v>
      </c>
      <c r="L674" s="26">
        <v>2.4981319978065301E-5</v>
      </c>
      <c r="M674">
        <v>3.9974427300449998E-2</v>
      </c>
      <c r="N674">
        <v>3.26683091115276</v>
      </c>
    </row>
    <row r="675" spans="1:14">
      <c r="A675" s="1">
        <v>674</v>
      </c>
      <c r="B675" t="s">
        <v>1844</v>
      </c>
      <c r="C675" t="s">
        <v>1845</v>
      </c>
      <c r="D675" t="s">
        <v>900</v>
      </c>
      <c r="E675" t="s">
        <v>1846</v>
      </c>
      <c r="F675">
        <v>5</v>
      </c>
      <c r="G675">
        <v>5</v>
      </c>
      <c r="H675" t="s">
        <v>8</v>
      </c>
      <c r="I675" t="s">
        <v>12</v>
      </c>
      <c r="J675" t="s">
        <v>180</v>
      </c>
      <c r="K675">
        <v>0.62675446271896296</v>
      </c>
      <c r="L675" s="26">
        <v>1.29795811242884E-5</v>
      </c>
      <c r="M675">
        <v>8.6114559691949904E-3</v>
      </c>
      <c r="N675">
        <v>3.8160384141439798</v>
      </c>
    </row>
    <row r="676" spans="1:14">
      <c r="A676" s="1">
        <v>675</v>
      </c>
      <c r="B676" t="s">
        <v>1847</v>
      </c>
      <c r="C676" t="s">
        <v>1848</v>
      </c>
      <c r="D676" t="s">
        <v>1849</v>
      </c>
      <c r="E676" t="s">
        <v>2374</v>
      </c>
      <c r="F676">
        <v>4</v>
      </c>
      <c r="G676">
        <v>4</v>
      </c>
      <c r="H676" t="s">
        <v>8</v>
      </c>
      <c r="I676" t="s">
        <v>8</v>
      </c>
      <c r="J676" t="s">
        <v>180</v>
      </c>
      <c r="K676">
        <v>0.20294930040836301</v>
      </c>
      <c r="L676" s="26">
        <v>2.23071566067872E-6</v>
      </c>
      <c r="M676">
        <v>-4.2178762000091297E-3</v>
      </c>
      <c r="N676">
        <v>3.5177694376474902</v>
      </c>
    </row>
    <row r="677" spans="1:14">
      <c r="A677" s="1">
        <v>676</v>
      </c>
      <c r="B677" t="s">
        <v>1850</v>
      </c>
      <c r="C677" t="s">
        <v>1851</v>
      </c>
      <c r="D677" t="s">
        <v>1852</v>
      </c>
      <c r="E677" t="s">
        <v>1850</v>
      </c>
      <c r="F677">
        <v>4</v>
      </c>
      <c r="G677">
        <v>5</v>
      </c>
      <c r="H677" t="s">
        <v>8</v>
      </c>
      <c r="I677" t="s">
        <v>8</v>
      </c>
      <c r="J677" t="s">
        <v>4</v>
      </c>
      <c r="K677">
        <v>0.99524092674255304</v>
      </c>
      <c r="L677" s="26">
        <v>3.0953443763131202E-5</v>
      </c>
      <c r="M677">
        <v>-1.3307966155640101E-2</v>
      </c>
      <c r="N677">
        <v>2.6740749258213499</v>
      </c>
    </row>
    <row r="678" spans="1:14">
      <c r="A678" s="1">
        <v>677</v>
      </c>
      <c r="B678" t="s">
        <v>1853</v>
      </c>
      <c r="C678" t="s">
        <v>1854</v>
      </c>
      <c r="D678" t="s">
        <v>274</v>
      </c>
      <c r="E678" t="s">
        <v>1853</v>
      </c>
      <c r="F678">
        <v>7</v>
      </c>
      <c r="G678">
        <v>4</v>
      </c>
      <c r="H678" t="s">
        <v>8</v>
      </c>
      <c r="I678" t="s">
        <v>8</v>
      </c>
      <c r="J678" t="s">
        <v>4</v>
      </c>
      <c r="K678">
        <v>0.98873466253280595</v>
      </c>
      <c r="L678" s="26">
        <v>3.0550055190092897E-5</v>
      </c>
      <c r="M678">
        <v>-2.0739975575088099E-2</v>
      </c>
      <c r="N678">
        <v>3.4932947188397701</v>
      </c>
    </row>
    <row r="679" spans="1:14">
      <c r="A679" s="1">
        <v>678</v>
      </c>
      <c r="B679" t="s">
        <v>1855</v>
      </c>
      <c r="C679" t="s">
        <v>1856</v>
      </c>
      <c r="D679" t="s">
        <v>1857</v>
      </c>
      <c r="E679" t="s">
        <v>2375</v>
      </c>
      <c r="F679">
        <v>7</v>
      </c>
      <c r="G679">
        <v>6</v>
      </c>
      <c r="H679" t="s">
        <v>8</v>
      </c>
      <c r="I679" t="s">
        <v>8</v>
      </c>
      <c r="J679" t="s">
        <v>180</v>
      </c>
      <c r="K679">
        <v>0.177125543355941</v>
      </c>
      <c r="L679" s="26">
        <v>2.0616860719075201E-6</v>
      </c>
      <c r="M679">
        <v>-4.9032523474181701E-3</v>
      </c>
      <c r="N679">
        <v>3.58682829560883</v>
      </c>
    </row>
    <row r="680" spans="1:14">
      <c r="A680" s="1">
        <v>679</v>
      </c>
      <c r="B680" t="s">
        <v>1858</v>
      </c>
      <c r="C680" t="s">
        <v>1859</v>
      </c>
      <c r="D680" t="s">
        <v>1860</v>
      </c>
      <c r="E680" t="s">
        <v>1858</v>
      </c>
      <c r="F680">
        <v>5</v>
      </c>
      <c r="G680">
        <v>8</v>
      </c>
      <c r="H680" t="s">
        <v>8</v>
      </c>
      <c r="I680" t="s">
        <v>8</v>
      </c>
      <c r="J680" t="s">
        <v>4</v>
      </c>
      <c r="K680">
        <v>0.92101001739501898</v>
      </c>
      <c r="L680" s="26">
        <v>2.6646174830516501E-5</v>
      </c>
      <c r="M680">
        <v>1.48888752320344E-2</v>
      </c>
      <c r="N680">
        <v>3.66661404916014</v>
      </c>
    </row>
    <row r="681" spans="1:14">
      <c r="A681" s="1">
        <v>680</v>
      </c>
      <c r="B681" t="s">
        <v>1861</v>
      </c>
      <c r="C681" t="s">
        <v>1862</v>
      </c>
      <c r="D681" t="s">
        <v>1818</v>
      </c>
      <c r="E681" t="s">
        <v>1861</v>
      </c>
      <c r="F681">
        <v>7</v>
      </c>
      <c r="G681">
        <v>5</v>
      </c>
      <c r="H681" t="s">
        <v>8</v>
      </c>
      <c r="I681" t="s">
        <v>8</v>
      </c>
      <c r="J681" t="s">
        <v>4</v>
      </c>
      <c r="K681">
        <v>0.96341139078140203</v>
      </c>
      <c r="L681" s="26">
        <v>2.9011324805938399E-5</v>
      </c>
      <c r="M681">
        <v>3.3067248231937102E-2</v>
      </c>
      <c r="N681">
        <v>3.4687340149831098</v>
      </c>
    </row>
    <row r="682" spans="1:14">
      <c r="A682" s="1">
        <v>681</v>
      </c>
      <c r="B682" t="s">
        <v>1863</v>
      </c>
      <c r="C682" t="s">
        <v>1864</v>
      </c>
      <c r="D682" t="s">
        <v>1865</v>
      </c>
      <c r="E682" t="s">
        <v>1863</v>
      </c>
      <c r="F682">
        <v>4</v>
      </c>
      <c r="G682">
        <v>3</v>
      </c>
      <c r="H682" t="s">
        <v>8</v>
      </c>
      <c r="I682" t="s">
        <v>8</v>
      </c>
      <c r="J682" t="s">
        <v>4</v>
      </c>
      <c r="K682">
        <v>0.61605829000473</v>
      </c>
      <c r="L682" s="26">
        <v>1.2831234178851599E-5</v>
      </c>
      <c r="M682">
        <v>3.62243677395497E-2</v>
      </c>
      <c r="N682">
        <v>3.3118032024089499</v>
      </c>
    </row>
    <row r="683" spans="1:14">
      <c r="A683" s="1">
        <v>682</v>
      </c>
      <c r="B683" t="s">
        <v>1866</v>
      </c>
      <c r="C683" t="s">
        <v>1867</v>
      </c>
      <c r="D683" t="s">
        <v>1868</v>
      </c>
      <c r="E683" t="s">
        <v>1866</v>
      </c>
      <c r="F683">
        <v>4</v>
      </c>
      <c r="G683">
        <v>4</v>
      </c>
      <c r="H683" t="s">
        <v>8</v>
      </c>
      <c r="I683" t="s">
        <v>8</v>
      </c>
      <c r="J683" t="s">
        <v>4</v>
      </c>
      <c r="K683">
        <v>0.27587276697158802</v>
      </c>
      <c r="L683" s="26">
        <v>2.8830651509212601E-6</v>
      </c>
      <c r="M683">
        <v>1.36545369767304E-2</v>
      </c>
      <c r="N683">
        <v>3.0643527478171699</v>
      </c>
    </row>
    <row r="684" spans="1:14">
      <c r="A684" s="1">
        <v>683</v>
      </c>
      <c r="B684" t="s">
        <v>1869</v>
      </c>
      <c r="C684" t="s">
        <v>1870</v>
      </c>
      <c r="D684" t="s">
        <v>218</v>
      </c>
      <c r="E684" t="s">
        <v>1869</v>
      </c>
      <c r="F684">
        <v>4</v>
      </c>
      <c r="G684">
        <v>5</v>
      </c>
      <c r="H684" t="s">
        <v>8</v>
      </c>
      <c r="I684" t="s">
        <v>8</v>
      </c>
      <c r="J684" t="s">
        <v>4</v>
      </c>
      <c r="K684">
        <v>0.27549153566360401</v>
      </c>
      <c r="L684" s="26">
        <v>2.7328371167954201E-6</v>
      </c>
      <c r="M684">
        <v>-3.6297894663270798E-3</v>
      </c>
      <c r="N684">
        <v>2.4902583071000901</v>
      </c>
    </row>
    <row r="685" spans="1:14">
      <c r="A685" s="1">
        <v>684</v>
      </c>
      <c r="B685" t="s">
        <v>1871</v>
      </c>
      <c r="C685" t="s">
        <v>1872</v>
      </c>
      <c r="D685" t="s">
        <v>1873</v>
      </c>
      <c r="E685" t="s">
        <v>2376</v>
      </c>
      <c r="F685">
        <v>4</v>
      </c>
      <c r="G685">
        <v>5</v>
      </c>
      <c r="H685" t="s">
        <v>8</v>
      </c>
      <c r="I685" t="s">
        <v>8</v>
      </c>
      <c r="J685" t="s">
        <v>180</v>
      </c>
      <c r="K685">
        <v>0.283405572175979</v>
      </c>
      <c r="L685" s="26">
        <v>3.3016688113970498E-6</v>
      </c>
      <c r="M685">
        <v>-6.8723493607869496E-3</v>
      </c>
      <c r="N685">
        <v>3.70128012726533</v>
      </c>
    </row>
    <row r="686" spans="1:14">
      <c r="A686" s="1">
        <v>685</v>
      </c>
      <c r="B686" t="s">
        <v>1874</v>
      </c>
      <c r="C686" t="s">
        <v>1875</v>
      </c>
      <c r="D686" t="s">
        <v>1876</v>
      </c>
      <c r="E686" t="s">
        <v>1874</v>
      </c>
      <c r="F686">
        <v>4</v>
      </c>
      <c r="G686">
        <v>3</v>
      </c>
      <c r="H686" t="s">
        <v>8</v>
      </c>
      <c r="I686" t="s">
        <v>8</v>
      </c>
      <c r="J686" t="s">
        <v>4</v>
      </c>
      <c r="K686">
        <v>0.46931228041648798</v>
      </c>
      <c r="L686" s="26">
        <v>7.4546161170668204E-6</v>
      </c>
      <c r="M686">
        <v>1.11904820064943E-2</v>
      </c>
      <c r="N686">
        <v>3.3749107132051601</v>
      </c>
    </row>
    <row r="687" spans="1:14">
      <c r="A687" s="1">
        <v>686</v>
      </c>
      <c r="B687" t="s">
        <v>1877</v>
      </c>
      <c r="C687" t="s">
        <v>1878</v>
      </c>
      <c r="D687" t="s">
        <v>1879</v>
      </c>
      <c r="E687" t="s">
        <v>2377</v>
      </c>
      <c r="F687">
        <v>4</v>
      </c>
      <c r="G687">
        <v>3</v>
      </c>
      <c r="H687" t="s">
        <v>8</v>
      </c>
      <c r="I687" t="s">
        <v>22</v>
      </c>
      <c r="J687" t="s">
        <v>180</v>
      </c>
      <c r="K687">
        <v>6.3108310103416401E-2</v>
      </c>
      <c r="L687" s="26">
        <v>2.6735609213516999E-7</v>
      </c>
      <c r="M687">
        <v>5.9905899698822603E-2</v>
      </c>
      <c r="N687">
        <v>2.07516955293862</v>
      </c>
    </row>
    <row r="688" spans="1:14">
      <c r="A688" s="1">
        <v>687</v>
      </c>
      <c r="B688" t="s">
        <v>1880</v>
      </c>
      <c r="C688" t="s">
        <v>1881</v>
      </c>
      <c r="D688" t="s">
        <v>503</v>
      </c>
      <c r="E688" t="s">
        <v>1880</v>
      </c>
      <c r="F688">
        <v>4</v>
      </c>
      <c r="G688">
        <v>3</v>
      </c>
      <c r="H688" t="s">
        <v>12</v>
      </c>
      <c r="I688" t="s">
        <v>12</v>
      </c>
      <c r="J688" t="s">
        <v>4</v>
      </c>
      <c r="K688">
        <v>0.90665698051452603</v>
      </c>
      <c r="L688" s="26">
        <v>2.5705356970094701E-5</v>
      </c>
      <c r="M688">
        <v>1.44927147164253E-2</v>
      </c>
      <c r="N688">
        <v>3.7675946891342802</v>
      </c>
    </row>
    <row r="689" spans="1:14">
      <c r="A689" s="1">
        <v>688</v>
      </c>
      <c r="B689" t="s">
        <v>1882</v>
      </c>
      <c r="C689" t="s">
        <v>1883</v>
      </c>
      <c r="D689" t="s">
        <v>858</v>
      </c>
      <c r="E689" t="s">
        <v>2378</v>
      </c>
      <c r="F689">
        <v>4</v>
      </c>
      <c r="G689">
        <v>5</v>
      </c>
      <c r="H689" t="s">
        <v>8</v>
      </c>
      <c r="I689" t="s">
        <v>8</v>
      </c>
      <c r="J689" t="s">
        <v>180</v>
      </c>
      <c r="K689">
        <v>8.7997950613498604E-2</v>
      </c>
      <c r="L689" s="26">
        <v>8.1099826949487298E-7</v>
      </c>
      <c r="M689">
        <v>1.0912345544213E-2</v>
      </c>
      <c r="N689">
        <v>3.7443709260162201</v>
      </c>
    </row>
    <row r="690" spans="1:14">
      <c r="A690" s="1">
        <v>689</v>
      </c>
      <c r="B690" t="s">
        <v>1884</v>
      </c>
      <c r="C690" t="s">
        <v>1885</v>
      </c>
      <c r="D690" t="s">
        <v>274</v>
      </c>
      <c r="E690" t="s">
        <v>1884</v>
      </c>
      <c r="F690">
        <v>4</v>
      </c>
      <c r="G690">
        <v>4</v>
      </c>
      <c r="H690" t="s">
        <v>8</v>
      </c>
      <c r="I690" t="s">
        <v>8</v>
      </c>
      <c r="J690" t="s">
        <v>4</v>
      </c>
      <c r="K690">
        <v>0.74083042144775302</v>
      </c>
      <c r="L690" s="26">
        <v>1.7271185550199599E-5</v>
      </c>
      <c r="M690">
        <v>4.1844970352247601E-2</v>
      </c>
      <c r="N690">
        <v>3.4591274192761801</v>
      </c>
    </row>
    <row r="691" spans="1:14">
      <c r="A691" s="1">
        <v>690</v>
      </c>
      <c r="B691" t="s">
        <v>1886</v>
      </c>
      <c r="C691" t="s">
        <v>1887</v>
      </c>
      <c r="D691" t="s">
        <v>1888</v>
      </c>
      <c r="E691" t="s">
        <v>1886</v>
      </c>
      <c r="F691">
        <v>5</v>
      </c>
      <c r="G691">
        <v>7</v>
      </c>
      <c r="H691" t="s">
        <v>8</v>
      </c>
      <c r="I691" t="s">
        <v>8</v>
      </c>
      <c r="J691" t="s">
        <v>4</v>
      </c>
      <c r="K691">
        <v>0.99932134151458696</v>
      </c>
      <c r="L691" s="26">
        <v>3.1207601723465699E-5</v>
      </c>
      <c r="M691">
        <v>1.9520075184651299E-2</v>
      </c>
      <c r="N691">
        <v>3.1643622840347798</v>
      </c>
    </row>
    <row r="692" spans="1:14">
      <c r="A692" s="1">
        <v>691</v>
      </c>
      <c r="B692" t="s">
        <v>1889</v>
      </c>
      <c r="C692" t="s">
        <v>1890</v>
      </c>
      <c r="D692" t="s">
        <v>1891</v>
      </c>
      <c r="E692" t="s">
        <v>1889</v>
      </c>
      <c r="F692">
        <v>4</v>
      </c>
      <c r="G692">
        <v>6</v>
      </c>
      <c r="H692" t="s">
        <v>8</v>
      </c>
      <c r="I692" t="s">
        <v>8</v>
      </c>
      <c r="J692" t="s">
        <v>4</v>
      </c>
      <c r="K692">
        <v>0.95387893915176303</v>
      </c>
      <c r="L692" s="26">
        <v>2.8436762901135101E-5</v>
      </c>
      <c r="M692">
        <v>7.4623449250310597E-3</v>
      </c>
      <c r="N692">
        <v>3.6358293394382701</v>
      </c>
    </row>
    <row r="693" spans="1:14">
      <c r="A693" s="1">
        <v>692</v>
      </c>
      <c r="B693" t="s">
        <v>1892</v>
      </c>
      <c r="C693" t="s">
        <v>1893</v>
      </c>
      <c r="D693" t="s">
        <v>1894</v>
      </c>
      <c r="E693" t="s">
        <v>2379</v>
      </c>
      <c r="F693">
        <v>4</v>
      </c>
      <c r="G693">
        <v>6</v>
      </c>
      <c r="H693" t="s">
        <v>8</v>
      </c>
      <c r="I693" t="s">
        <v>8</v>
      </c>
      <c r="J693" t="s">
        <v>180</v>
      </c>
      <c r="K693">
        <v>0.32132005691528298</v>
      </c>
      <c r="L693" s="26">
        <v>4.7823851513336998E-6</v>
      </c>
      <c r="M693">
        <v>-2.70256109249815E-2</v>
      </c>
      <c r="N693">
        <v>3.6821266209686998</v>
      </c>
    </row>
    <row r="694" spans="1:14">
      <c r="A694" s="1">
        <v>693</v>
      </c>
      <c r="B694" t="s">
        <v>1895</v>
      </c>
      <c r="C694" t="s">
        <v>1896</v>
      </c>
      <c r="D694" t="s">
        <v>1897</v>
      </c>
      <c r="E694" t="s">
        <v>2380</v>
      </c>
      <c r="F694">
        <v>4</v>
      </c>
      <c r="G694">
        <v>6</v>
      </c>
      <c r="H694" t="s">
        <v>8</v>
      </c>
      <c r="I694" t="s">
        <v>8</v>
      </c>
      <c r="J694" t="s">
        <v>180</v>
      </c>
      <c r="K694">
        <v>0.21911388635635301</v>
      </c>
      <c r="L694" s="26">
        <v>2.6178906303677398E-6</v>
      </c>
      <c r="M694">
        <v>1.1940515333321801E-3</v>
      </c>
      <c r="N694">
        <v>3.5984096773308401</v>
      </c>
    </row>
    <row r="695" spans="1:14">
      <c r="A695" s="1">
        <v>694</v>
      </c>
      <c r="B695" t="s">
        <v>1898</v>
      </c>
      <c r="C695" t="s">
        <v>1899</v>
      </c>
      <c r="D695" t="s">
        <v>1818</v>
      </c>
      <c r="E695" t="s">
        <v>1898</v>
      </c>
      <c r="F695">
        <v>5</v>
      </c>
      <c r="G695">
        <v>5</v>
      </c>
      <c r="H695" t="s">
        <v>8</v>
      </c>
      <c r="I695" t="s">
        <v>8</v>
      </c>
      <c r="J695" t="s">
        <v>4</v>
      </c>
      <c r="K695">
        <v>0.83347189426422097</v>
      </c>
      <c r="L695" s="26">
        <v>2.1740004404695499E-5</v>
      </c>
      <c r="M695" s="26">
        <v>7.2941474911658493E-5</v>
      </c>
      <c r="N695">
        <v>3.4690469798491401</v>
      </c>
    </row>
    <row r="696" spans="1:14">
      <c r="A696" s="1">
        <v>695</v>
      </c>
      <c r="B696" t="s">
        <v>1900</v>
      </c>
      <c r="C696" t="s">
        <v>1901</v>
      </c>
      <c r="D696" t="s">
        <v>1902</v>
      </c>
      <c r="E696" t="s">
        <v>1903</v>
      </c>
      <c r="F696">
        <v>4</v>
      </c>
      <c r="G696">
        <v>5</v>
      </c>
      <c r="H696" t="s">
        <v>68</v>
      </c>
      <c r="I696" t="s">
        <v>22</v>
      </c>
      <c r="J696" t="s">
        <v>180</v>
      </c>
      <c r="K696">
        <v>0.200569182634353</v>
      </c>
      <c r="L696" s="26">
        <v>1.41100450245809E-6</v>
      </c>
      <c r="M696">
        <v>3.6707347535763497E-2</v>
      </c>
      <c r="N696">
        <v>3.2065801410499799</v>
      </c>
    </row>
    <row r="697" spans="1:14">
      <c r="A697" s="1">
        <v>696</v>
      </c>
      <c r="B697" t="s">
        <v>1904</v>
      </c>
      <c r="C697" t="s">
        <v>1905</v>
      </c>
      <c r="D697" t="s">
        <v>1455</v>
      </c>
      <c r="E697" t="s">
        <v>1904</v>
      </c>
      <c r="F697">
        <v>4</v>
      </c>
      <c r="G697">
        <v>4</v>
      </c>
      <c r="H697" t="s">
        <v>8</v>
      </c>
      <c r="I697" t="s">
        <v>8</v>
      </c>
      <c r="J697" t="s">
        <v>4</v>
      </c>
      <c r="K697">
        <v>0.99850034713745095</v>
      </c>
      <c r="L697" s="26">
        <v>3.1156357658124598E-5</v>
      </c>
      <c r="M697">
        <v>3.0318677430130898E-2</v>
      </c>
      <c r="N697">
        <v>2.7200039400207698</v>
      </c>
    </row>
    <row r="698" spans="1:14">
      <c r="A698" s="1">
        <v>697</v>
      </c>
      <c r="B698" t="s">
        <v>1906</v>
      </c>
      <c r="C698" t="s">
        <v>1907</v>
      </c>
      <c r="D698" t="s">
        <v>1908</v>
      </c>
      <c r="E698" t="s">
        <v>1906</v>
      </c>
      <c r="F698">
        <v>4</v>
      </c>
      <c r="G698">
        <v>3</v>
      </c>
      <c r="H698" t="s">
        <v>8</v>
      </c>
      <c r="I698" t="s">
        <v>8</v>
      </c>
      <c r="J698" t="s">
        <v>4</v>
      </c>
      <c r="K698">
        <v>0.83378571271896296</v>
      </c>
      <c r="L698" s="26">
        <v>2.1907502406732399E-5</v>
      </c>
      <c r="M698">
        <v>7.5423452006901899E-3</v>
      </c>
      <c r="N698">
        <v>3.5653648041946102</v>
      </c>
    </row>
    <row r="699" spans="1:14">
      <c r="A699" s="1">
        <v>698</v>
      </c>
      <c r="B699" t="s">
        <v>1909</v>
      </c>
      <c r="C699" t="s">
        <v>1910</v>
      </c>
      <c r="D699" t="s">
        <v>1911</v>
      </c>
      <c r="E699" t="s">
        <v>1909</v>
      </c>
      <c r="F699">
        <v>4</v>
      </c>
      <c r="G699">
        <v>4</v>
      </c>
      <c r="H699" t="s">
        <v>8</v>
      </c>
      <c r="I699" t="s">
        <v>8</v>
      </c>
      <c r="J699" t="s">
        <v>4</v>
      </c>
      <c r="K699">
        <v>0.161255583167076</v>
      </c>
      <c r="L699" s="26">
        <v>1.14014488378363E-6</v>
      </c>
      <c r="M699">
        <v>1.9260437213226501E-2</v>
      </c>
      <c r="N699">
        <v>3.3481148744706499</v>
      </c>
    </row>
    <row r="700" spans="1:14">
      <c r="A700" s="1">
        <v>699</v>
      </c>
      <c r="B700" t="s">
        <v>1912</v>
      </c>
      <c r="C700" t="s">
        <v>1913</v>
      </c>
      <c r="D700" t="s">
        <v>112</v>
      </c>
      <c r="E700" t="s">
        <v>1912</v>
      </c>
      <c r="F700">
        <v>4</v>
      </c>
      <c r="G700">
        <v>3</v>
      </c>
      <c r="H700" t="s">
        <v>113</v>
      </c>
      <c r="I700" t="s">
        <v>113</v>
      </c>
      <c r="J700" t="s">
        <v>4</v>
      </c>
      <c r="K700">
        <v>0.67294275760650601</v>
      </c>
      <c r="L700" s="26">
        <v>1.46968094935638E-5</v>
      </c>
      <c r="M700">
        <v>-1.21099410423397E-2</v>
      </c>
      <c r="N700">
        <v>2.7944358525232298</v>
      </c>
    </row>
    <row r="701" spans="1:14">
      <c r="A701" s="1">
        <v>700</v>
      </c>
      <c r="B701" t="s">
        <v>1914</v>
      </c>
      <c r="C701" t="s">
        <v>1915</v>
      </c>
      <c r="D701" t="s">
        <v>1916</v>
      </c>
      <c r="E701" t="s">
        <v>2381</v>
      </c>
      <c r="F701">
        <v>5</v>
      </c>
      <c r="G701">
        <v>4</v>
      </c>
      <c r="H701" t="s">
        <v>98</v>
      </c>
      <c r="I701" t="s">
        <v>123</v>
      </c>
      <c r="J701" t="s">
        <v>180</v>
      </c>
      <c r="K701">
        <v>0.27004224061965898</v>
      </c>
      <c r="L701" s="26">
        <v>3.7068885823751999E-6</v>
      </c>
      <c r="M701">
        <v>1.1230498077694001E-2</v>
      </c>
      <c r="N701">
        <v>3.5970656293513499</v>
      </c>
    </row>
    <row r="702" spans="1:14">
      <c r="A702" s="1">
        <v>701</v>
      </c>
      <c r="B702" t="s">
        <v>1917</v>
      </c>
      <c r="C702" t="s">
        <v>1918</v>
      </c>
      <c r="D702" t="s">
        <v>1919</v>
      </c>
      <c r="E702" t="s">
        <v>1917</v>
      </c>
      <c r="F702">
        <v>4</v>
      </c>
      <c r="G702">
        <v>4</v>
      </c>
      <c r="H702" t="s">
        <v>8</v>
      </c>
      <c r="I702" t="s">
        <v>8</v>
      </c>
      <c r="J702" t="s">
        <v>4</v>
      </c>
      <c r="K702">
        <v>0.99873071908950795</v>
      </c>
      <c r="L702" s="26">
        <v>3.1170724364084497E-5</v>
      </c>
      <c r="M702">
        <v>1.55766007446906E-2</v>
      </c>
      <c r="N702">
        <v>3.0836963867659799</v>
      </c>
    </row>
    <row r="703" spans="1:14">
      <c r="A703" s="1">
        <v>702</v>
      </c>
      <c r="B703" t="s">
        <v>1920</v>
      </c>
      <c r="C703" t="s">
        <v>1921</v>
      </c>
      <c r="D703" t="s">
        <v>1922</v>
      </c>
      <c r="E703" t="s">
        <v>1923</v>
      </c>
      <c r="F703">
        <v>6</v>
      </c>
      <c r="G703">
        <v>5</v>
      </c>
      <c r="H703" t="s">
        <v>8</v>
      </c>
      <c r="I703" t="s">
        <v>12</v>
      </c>
      <c r="J703" t="s">
        <v>180</v>
      </c>
      <c r="K703">
        <v>0.57539457082748402</v>
      </c>
      <c r="L703" s="26">
        <v>1.10927138883065E-5</v>
      </c>
      <c r="M703">
        <v>1.04085035997911E-2</v>
      </c>
      <c r="N703">
        <v>3.3947980037359899</v>
      </c>
    </row>
    <row r="704" spans="1:14">
      <c r="A704" s="1">
        <v>703</v>
      </c>
      <c r="B704" t="s">
        <v>1924</v>
      </c>
      <c r="C704" t="s">
        <v>1925</v>
      </c>
      <c r="D704" t="s">
        <v>1926</v>
      </c>
      <c r="E704" t="s">
        <v>1924</v>
      </c>
      <c r="F704">
        <v>4</v>
      </c>
      <c r="G704">
        <v>8</v>
      </c>
      <c r="H704" t="s">
        <v>8</v>
      </c>
      <c r="I704" t="s">
        <v>8</v>
      </c>
      <c r="J704" t="s">
        <v>4</v>
      </c>
      <c r="K704">
        <v>0.89688992500305098</v>
      </c>
      <c r="L704" s="26">
        <v>2.5247497184842999E-5</v>
      </c>
      <c r="M704">
        <v>8.7424834842408895E-4</v>
      </c>
      <c r="N704">
        <v>2.9281772421096499</v>
      </c>
    </row>
    <row r="705" spans="1:14">
      <c r="A705" s="1">
        <v>704</v>
      </c>
      <c r="B705" t="s">
        <v>1927</v>
      </c>
      <c r="C705" t="s">
        <v>1928</v>
      </c>
      <c r="D705" t="s">
        <v>1929</v>
      </c>
      <c r="E705" t="s">
        <v>2382</v>
      </c>
      <c r="F705">
        <v>4</v>
      </c>
      <c r="G705">
        <v>3</v>
      </c>
      <c r="H705" t="s">
        <v>8</v>
      </c>
      <c r="I705" t="s">
        <v>8</v>
      </c>
      <c r="J705" t="s">
        <v>180</v>
      </c>
      <c r="K705">
        <v>0.19556820392608601</v>
      </c>
      <c r="L705" s="26">
        <v>2.7010185664112699E-6</v>
      </c>
      <c r="M705">
        <v>-6.5952908938022798E-3</v>
      </c>
      <c r="N705">
        <v>3.7513893239988101</v>
      </c>
    </row>
    <row r="706" spans="1:14">
      <c r="A706" s="1">
        <v>705</v>
      </c>
      <c r="B706" t="s">
        <v>1930</v>
      </c>
      <c r="C706" t="s">
        <v>1931</v>
      </c>
      <c r="D706" t="s">
        <v>1639</v>
      </c>
      <c r="E706" t="s">
        <v>1930</v>
      </c>
      <c r="F706">
        <v>5</v>
      </c>
      <c r="G706">
        <v>4</v>
      </c>
      <c r="H706" t="s">
        <v>98</v>
      </c>
      <c r="I706" t="s">
        <v>98</v>
      </c>
      <c r="J706" t="s">
        <v>4</v>
      </c>
      <c r="K706">
        <v>0.84637600183486905</v>
      </c>
      <c r="L706" s="26">
        <v>2.2401375737519401E-5</v>
      </c>
      <c r="M706">
        <v>2.01440167201383E-2</v>
      </c>
      <c r="N706">
        <v>3.1882582090485299</v>
      </c>
    </row>
    <row r="707" spans="1:14">
      <c r="A707" s="1">
        <v>706</v>
      </c>
      <c r="B707" t="s">
        <v>1932</v>
      </c>
      <c r="C707" t="s">
        <v>1933</v>
      </c>
      <c r="D707" t="s">
        <v>1934</v>
      </c>
      <c r="E707" t="s">
        <v>1932</v>
      </c>
      <c r="F707">
        <v>4</v>
      </c>
      <c r="G707">
        <v>7</v>
      </c>
      <c r="H707" t="s">
        <v>98</v>
      </c>
      <c r="I707" t="s">
        <v>98</v>
      </c>
      <c r="J707" t="s">
        <v>4</v>
      </c>
      <c r="K707">
        <v>0.85523366928100497</v>
      </c>
      <c r="L707" s="26">
        <v>2.2882747589037901E-5</v>
      </c>
      <c r="M707">
        <v>-2.79695108872157E-2</v>
      </c>
      <c r="N707">
        <v>3.3736154314989002</v>
      </c>
    </row>
    <row r="708" spans="1:14">
      <c r="A708" s="1">
        <v>707</v>
      </c>
      <c r="B708" t="s">
        <v>1935</v>
      </c>
      <c r="C708" t="s">
        <v>1936</v>
      </c>
      <c r="D708" t="s">
        <v>829</v>
      </c>
      <c r="E708" t="s">
        <v>1935</v>
      </c>
      <c r="F708">
        <v>4</v>
      </c>
      <c r="G708">
        <v>5</v>
      </c>
      <c r="H708" t="s">
        <v>8</v>
      </c>
      <c r="I708" t="s">
        <v>8</v>
      </c>
      <c r="J708" t="s">
        <v>4</v>
      </c>
      <c r="K708">
        <v>0.868236184120178</v>
      </c>
      <c r="L708" s="26">
        <v>2.3563550008235199E-5</v>
      </c>
      <c r="M708">
        <v>1.7615877836142602E-2</v>
      </c>
      <c r="N708">
        <v>3.4419039553039701</v>
      </c>
    </row>
    <row r="709" spans="1:14">
      <c r="A709" s="1">
        <v>708</v>
      </c>
      <c r="B709" t="s">
        <v>1937</v>
      </c>
      <c r="C709" t="s">
        <v>1938</v>
      </c>
      <c r="D709" t="s">
        <v>1939</v>
      </c>
      <c r="E709" t="s">
        <v>1937</v>
      </c>
      <c r="F709">
        <v>5</v>
      </c>
      <c r="G709">
        <v>6</v>
      </c>
      <c r="H709" t="s">
        <v>8</v>
      </c>
      <c r="I709" t="s">
        <v>8</v>
      </c>
      <c r="J709" t="s">
        <v>4</v>
      </c>
      <c r="K709">
        <v>0.96097046136856001</v>
      </c>
      <c r="L709" s="26">
        <v>2.8862966052365401E-5</v>
      </c>
      <c r="M709">
        <v>2.36245971749156E-2</v>
      </c>
      <c r="N709">
        <v>3.2897445040007902</v>
      </c>
    </row>
    <row r="710" spans="1:14">
      <c r="A710" s="1">
        <v>709</v>
      </c>
      <c r="B710" t="s">
        <v>1940</v>
      </c>
      <c r="C710" t="s">
        <v>1941</v>
      </c>
      <c r="D710" t="s">
        <v>1942</v>
      </c>
      <c r="E710" t="s">
        <v>1940</v>
      </c>
      <c r="F710">
        <v>4</v>
      </c>
      <c r="G710">
        <v>5</v>
      </c>
      <c r="H710" t="s">
        <v>8</v>
      </c>
      <c r="I710" t="s">
        <v>8</v>
      </c>
      <c r="J710" t="s">
        <v>4</v>
      </c>
      <c r="K710">
        <v>0.84296339750289895</v>
      </c>
      <c r="L710" s="26">
        <v>2.22297121656218E-5</v>
      </c>
      <c r="M710">
        <v>1.3085231233731001E-2</v>
      </c>
      <c r="N710">
        <v>3.21975588054858</v>
      </c>
    </row>
    <row r="711" spans="1:14">
      <c r="A711" s="1">
        <v>710</v>
      </c>
      <c r="B711" t="s">
        <v>1943</v>
      </c>
      <c r="C711" t="s">
        <v>1944</v>
      </c>
      <c r="D711" t="s">
        <v>280</v>
      </c>
      <c r="E711" t="s">
        <v>1943</v>
      </c>
      <c r="F711">
        <v>4</v>
      </c>
      <c r="G711">
        <v>5</v>
      </c>
      <c r="H711" t="s">
        <v>8</v>
      </c>
      <c r="I711" t="s">
        <v>8</v>
      </c>
      <c r="J711" t="s">
        <v>4</v>
      </c>
      <c r="K711">
        <v>0.933843433856964</v>
      </c>
      <c r="L711" s="26">
        <v>2.72580702623648E-5</v>
      </c>
      <c r="M711">
        <v>-1.76064375709046E-2</v>
      </c>
      <c r="N711">
        <v>3.4344197847735201</v>
      </c>
    </row>
    <row r="712" spans="1:14">
      <c r="A712" s="1">
        <v>711</v>
      </c>
      <c r="B712" t="s">
        <v>1945</v>
      </c>
      <c r="C712" t="s">
        <v>1946</v>
      </c>
      <c r="D712" t="s">
        <v>460</v>
      </c>
      <c r="E712" t="s">
        <v>1945</v>
      </c>
      <c r="F712">
        <v>4</v>
      </c>
      <c r="G712">
        <v>4</v>
      </c>
      <c r="H712" t="s">
        <v>8</v>
      </c>
      <c r="I712" t="s">
        <v>8</v>
      </c>
      <c r="J712" t="s">
        <v>4</v>
      </c>
      <c r="K712">
        <v>0.71240806579589799</v>
      </c>
      <c r="L712" s="26">
        <v>1.6221132724220899E-5</v>
      </c>
      <c r="M712">
        <v>-1.79247262431694E-2</v>
      </c>
      <c r="N712">
        <v>3.2880974701192298</v>
      </c>
    </row>
    <row r="713" spans="1:14">
      <c r="A713" s="1">
        <v>712</v>
      </c>
      <c r="B713" t="s">
        <v>1947</v>
      </c>
      <c r="C713" t="s">
        <v>1948</v>
      </c>
      <c r="D713" t="s">
        <v>1949</v>
      </c>
      <c r="E713" t="s">
        <v>1947</v>
      </c>
      <c r="F713">
        <v>6</v>
      </c>
      <c r="G713">
        <v>6</v>
      </c>
      <c r="H713" t="s">
        <v>8</v>
      </c>
      <c r="I713" t="s">
        <v>8</v>
      </c>
      <c r="J713" t="s">
        <v>4</v>
      </c>
      <c r="K713">
        <v>0.85569280385971003</v>
      </c>
      <c r="L713" s="26">
        <v>2.2886592700212298E-5</v>
      </c>
      <c r="M713">
        <v>1.8501179967785199E-2</v>
      </c>
      <c r="N713">
        <v>3.0302196725591499</v>
      </c>
    </row>
    <row r="714" spans="1:14">
      <c r="A714" s="1">
        <v>713</v>
      </c>
      <c r="B714" t="s">
        <v>1950</v>
      </c>
      <c r="C714" t="s">
        <v>1951</v>
      </c>
      <c r="D714" t="s">
        <v>840</v>
      </c>
      <c r="E714" t="s">
        <v>1952</v>
      </c>
      <c r="F714">
        <v>4</v>
      </c>
      <c r="G714">
        <v>4</v>
      </c>
      <c r="H714" t="s">
        <v>8</v>
      </c>
      <c r="I714" t="s">
        <v>68</v>
      </c>
      <c r="J714" t="s">
        <v>180</v>
      </c>
      <c r="K714">
        <v>0.88368165493011397</v>
      </c>
      <c r="L714" s="26">
        <v>2.4418720175490599E-5</v>
      </c>
      <c r="M714">
        <v>-1.9828284911795799E-3</v>
      </c>
      <c r="N714">
        <v>3.4314368562547801</v>
      </c>
    </row>
    <row r="715" spans="1:14">
      <c r="A715" s="1">
        <v>714</v>
      </c>
      <c r="B715" t="s">
        <v>1953</v>
      </c>
      <c r="C715" t="s">
        <v>1954</v>
      </c>
      <c r="D715" t="s">
        <v>1955</v>
      </c>
      <c r="E715" t="s">
        <v>2383</v>
      </c>
      <c r="F715">
        <v>4</v>
      </c>
      <c r="G715">
        <v>6</v>
      </c>
      <c r="H715" t="s">
        <v>98</v>
      </c>
      <c r="I715" t="s">
        <v>8</v>
      </c>
      <c r="J715" t="s">
        <v>180</v>
      </c>
      <c r="K715">
        <v>0.139849454164505</v>
      </c>
      <c r="L715" s="26">
        <v>1.56228510468648E-6</v>
      </c>
      <c r="M715">
        <v>-2.3828724975771798E-3</v>
      </c>
      <c r="N715">
        <v>3.5434353729280299</v>
      </c>
    </row>
    <row r="716" spans="1:14">
      <c r="A716" s="1">
        <v>715</v>
      </c>
      <c r="B716" t="s">
        <v>1956</v>
      </c>
      <c r="C716" t="s">
        <v>1957</v>
      </c>
      <c r="D716" t="s">
        <v>370</v>
      </c>
      <c r="E716" t="s">
        <v>1956</v>
      </c>
      <c r="F716">
        <v>4</v>
      </c>
      <c r="G716">
        <v>5</v>
      </c>
      <c r="H716" t="s">
        <v>8</v>
      </c>
      <c r="I716" t="s">
        <v>8</v>
      </c>
      <c r="J716" t="s">
        <v>4</v>
      </c>
      <c r="K716">
        <v>0.99353832006454401</v>
      </c>
      <c r="L716" s="26">
        <v>3.0847515836919902E-5</v>
      </c>
      <c r="M716">
        <v>3.7485941976242998E-2</v>
      </c>
      <c r="N716">
        <v>3.2160883119527099</v>
      </c>
    </row>
    <row r="717" spans="1:14">
      <c r="A717" s="1">
        <v>716</v>
      </c>
      <c r="B717" t="s">
        <v>1958</v>
      </c>
      <c r="C717" t="s">
        <v>1959</v>
      </c>
      <c r="D717" t="s">
        <v>28</v>
      </c>
      <c r="E717" t="s">
        <v>1958</v>
      </c>
      <c r="F717">
        <v>5</v>
      </c>
      <c r="G717">
        <v>3</v>
      </c>
      <c r="H717" t="s">
        <v>8</v>
      </c>
      <c r="I717" t="s">
        <v>8</v>
      </c>
      <c r="J717" t="s">
        <v>4</v>
      </c>
      <c r="K717">
        <v>0.90423995256423895</v>
      </c>
      <c r="L717" s="26">
        <v>2.5568753305194099E-5</v>
      </c>
      <c r="M717">
        <v>3.0427218451121601E-2</v>
      </c>
      <c r="N717">
        <v>3.3471662749581599</v>
      </c>
    </row>
    <row r="718" spans="1:14">
      <c r="A718" s="1">
        <v>717</v>
      </c>
      <c r="B718" t="s">
        <v>1960</v>
      </c>
      <c r="C718" t="s">
        <v>1961</v>
      </c>
      <c r="D718" t="s">
        <v>439</v>
      </c>
      <c r="E718" t="s">
        <v>1962</v>
      </c>
      <c r="F718">
        <v>4</v>
      </c>
      <c r="G718">
        <v>4</v>
      </c>
      <c r="H718" t="s">
        <v>98</v>
      </c>
      <c r="I718" t="s">
        <v>12</v>
      </c>
      <c r="J718" t="s">
        <v>180</v>
      </c>
      <c r="K718">
        <v>0.92029070854187001</v>
      </c>
      <c r="L718" s="26">
        <v>2.6597900061209699E-5</v>
      </c>
      <c r="M718">
        <v>-2.35771853161281E-2</v>
      </c>
      <c r="N718">
        <v>3.41485628883478</v>
      </c>
    </row>
    <row r="719" spans="1:14">
      <c r="A719" s="1">
        <v>718</v>
      </c>
      <c r="B719" t="s">
        <v>1963</v>
      </c>
      <c r="C719" t="s">
        <v>1964</v>
      </c>
      <c r="D719" t="s">
        <v>574</v>
      </c>
      <c r="E719" t="s">
        <v>2384</v>
      </c>
      <c r="F719">
        <v>4</v>
      </c>
      <c r="G719">
        <v>4</v>
      </c>
      <c r="H719" t="s">
        <v>8</v>
      </c>
      <c r="I719" t="s">
        <v>8</v>
      </c>
      <c r="J719" t="s">
        <v>180</v>
      </c>
      <c r="K719">
        <v>0.115548834204673</v>
      </c>
      <c r="L719" s="26">
        <v>1.59507334671814E-6</v>
      </c>
      <c r="M719">
        <v>2.3039631754073701E-2</v>
      </c>
      <c r="N719">
        <v>3.7570067004687799</v>
      </c>
    </row>
    <row r="720" spans="1:14">
      <c r="A720" s="1">
        <v>719</v>
      </c>
      <c r="B720" t="s">
        <v>1965</v>
      </c>
      <c r="C720" t="s">
        <v>1966</v>
      </c>
      <c r="D720" t="s">
        <v>419</v>
      </c>
      <c r="E720" t="s">
        <v>2385</v>
      </c>
      <c r="F720">
        <v>4</v>
      </c>
      <c r="G720">
        <v>4</v>
      </c>
      <c r="H720" t="s">
        <v>8</v>
      </c>
      <c r="I720" t="s">
        <v>22</v>
      </c>
      <c r="J720" t="s">
        <v>180</v>
      </c>
      <c r="K720">
        <v>8.3312466740608201E-2</v>
      </c>
      <c r="L720" s="26">
        <v>3.81886379784784E-7</v>
      </c>
      <c r="M720">
        <v>4.04273254406462E-2</v>
      </c>
      <c r="N720">
        <v>2.8319275603613501</v>
      </c>
    </row>
    <row r="721" spans="1:14">
      <c r="A721" s="1">
        <v>720</v>
      </c>
      <c r="B721" t="s">
        <v>1967</v>
      </c>
      <c r="C721" t="s">
        <v>1968</v>
      </c>
      <c r="D721" t="s">
        <v>1969</v>
      </c>
      <c r="E721" t="s">
        <v>1967</v>
      </c>
      <c r="F721">
        <v>6</v>
      </c>
      <c r="G721">
        <v>4</v>
      </c>
      <c r="H721" t="s">
        <v>8</v>
      </c>
      <c r="I721" t="s">
        <v>8</v>
      </c>
      <c r="J721" t="s">
        <v>4</v>
      </c>
      <c r="K721">
        <v>0.97089934349060003</v>
      </c>
      <c r="L721" s="26">
        <v>2.9481279121196799E-5</v>
      </c>
      <c r="M721">
        <v>-2.4901245284354402E-3</v>
      </c>
      <c r="N721">
        <v>2.5072463422317099</v>
      </c>
    </row>
    <row r="722" spans="1:14">
      <c r="A722" s="1">
        <v>721</v>
      </c>
      <c r="B722" t="s">
        <v>1970</v>
      </c>
      <c r="C722" t="s">
        <v>1971</v>
      </c>
      <c r="D722" t="s">
        <v>1972</v>
      </c>
      <c r="E722" t="s">
        <v>1970</v>
      </c>
      <c r="F722">
        <v>5</v>
      </c>
      <c r="G722">
        <v>4</v>
      </c>
      <c r="H722" t="s">
        <v>123</v>
      </c>
      <c r="I722" t="s">
        <v>123</v>
      </c>
      <c r="J722" t="s">
        <v>4</v>
      </c>
      <c r="K722">
        <v>0.91356611251830999</v>
      </c>
      <c r="L722" s="26">
        <v>2.62299207552998E-5</v>
      </c>
      <c r="M722">
        <v>4.9783422277489102E-2</v>
      </c>
      <c r="N722">
        <v>3.4452899859083699</v>
      </c>
    </row>
    <row r="723" spans="1:14">
      <c r="A723" s="1">
        <v>722</v>
      </c>
      <c r="B723" t="s">
        <v>1973</v>
      </c>
      <c r="C723" t="s">
        <v>1974</v>
      </c>
      <c r="D723" t="s">
        <v>1975</v>
      </c>
      <c r="E723" t="s">
        <v>1973</v>
      </c>
      <c r="F723">
        <v>4</v>
      </c>
      <c r="G723">
        <v>4</v>
      </c>
      <c r="H723" t="s">
        <v>8</v>
      </c>
      <c r="I723" t="s">
        <v>8</v>
      </c>
      <c r="J723" t="s">
        <v>4</v>
      </c>
      <c r="K723">
        <v>0.30260378122329701</v>
      </c>
      <c r="L723" s="26">
        <v>3.5588175071480002E-6</v>
      </c>
      <c r="M723">
        <v>2.3769677290076102E-2</v>
      </c>
      <c r="N723">
        <v>3.18105865333141</v>
      </c>
    </row>
    <row r="724" spans="1:14">
      <c r="A724" s="1">
        <v>723</v>
      </c>
      <c r="B724" t="s">
        <v>1976</v>
      </c>
      <c r="C724" t="s">
        <v>1977</v>
      </c>
      <c r="D724" t="s">
        <v>1978</v>
      </c>
      <c r="E724" t="s">
        <v>1976</v>
      </c>
      <c r="F724">
        <v>4</v>
      </c>
      <c r="G724">
        <v>4</v>
      </c>
      <c r="H724" t="s">
        <v>8</v>
      </c>
      <c r="I724" t="s">
        <v>8</v>
      </c>
      <c r="J724" t="s">
        <v>4</v>
      </c>
      <c r="K724">
        <v>9.6379898488521507E-2</v>
      </c>
      <c r="L724" s="26">
        <v>7.9238332986093997E-7</v>
      </c>
      <c r="M724">
        <v>-2.8115888469670801E-3</v>
      </c>
      <c r="N724">
        <v>3.24316914393563</v>
      </c>
    </row>
    <row r="725" spans="1:14">
      <c r="A725" s="1">
        <v>724</v>
      </c>
      <c r="B725" t="s">
        <v>1979</v>
      </c>
      <c r="C725" t="s">
        <v>1980</v>
      </c>
      <c r="D725" t="s">
        <v>1981</v>
      </c>
      <c r="E725" t="s">
        <v>2386</v>
      </c>
      <c r="F725">
        <v>4</v>
      </c>
      <c r="G725">
        <v>4</v>
      </c>
      <c r="H725" t="s">
        <v>8</v>
      </c>
      <c r="I725" t="s">
        <v>8</v>
      </c>
      <c r="J725" t="s">
        <v>180</v>
      </c>
      <c r="K725">
        <v>0.27414003014564498</v>
      </c>
      <c r="L725" s="26">
        <v>4.6834365702381698E-6</v>
      </c>
      <c r="M725">
        <v>-2.3242046483417701E-2</v>
      </c>
      <c r="N725">
        <v>3.73891486899194</v>
      </c>
    </row>
    <row r="726" spans="1:14">
      <c r="A726" s="1">
        <v>725</v>
      </c>
      <c r="B726" t="s">
        <v>1982</v>
      </c>
      <c r="C726" t="s">
        <v>1983</v>
      </c>
      <c r="D726" t="s">
        <v>1984</v>
      </c>
      <c r="E726" t="s">
        <v>2387</v>
      </c>
      <c r="F726">
        <v>4</v>
      </c>
      <c r="G726">
        <v>9</v>
      </c>
      <c r="H726" t="s">
        <v>8</v>
      </c>
      <c r="I726" t="s">
        <v>22</v>
      </c>
      <c r="J726" t="s">
        <v>180</v>
      </c>
      <c r="K726">
        <v>3.6882787942886297E-2</v>
      </c>
      <c r="L726" s="26">
        <v>1.16590796403265E-7</v>
      </c>
      <c r="M726">
        <v>1.53921288100598E-2</v>
      </c>
      <c r="N726">
        <v>2.2699703520997199</v>
      </c>
    </row>
    <row r="727" spans="1:14">
      <c r="A727" s="1">
        <v>726</v>
      </c>
      <c r="B727" t="s">
        <v>1985</v>
      </c>
      <c r="C727" t="s">
        <v>1986</v>
      </c>
      <c r="D727" t="s">
        <v>1987</v>
      </c>
      <c r="E727" t="s">
        <v>1985</v>
      </c>
      <c r="F727">
        <v>5</v>
      </c>
      <c r="G727">
        <v>5</v>
      </c>
      <c r="H727" t="s">
        <v>8</v>
      </c>
      <c r="I727" t="s">
        <v>8</v>
      </c>
      <c r="J727" t="s">
        <v>4</v>
      </c>
      <c r="K727">
        <v>0.21212783455848599</v>
      </c>
      <c r="L727" s="26">
        <v>1.67144591569489E-6</v>
      </c>
      <c r="M727">
        <v>4.06308079916613E-2</v>
      </c>
      <c r="N727">
        <v>3.3598520277616002</v>
      </c>
    </row>
    <row r="728" spans="1:14">
      <c r="A728" s="1">
        <v>727</v>
      </c>
      <c r="B728" t="s">
        <v>1988</v>
      </c>
      <c r="C728" t="s">
        <v>1989</v>
      </c>
      <c r="D728" t="s">
        <v>1990</v>
      </c>
      <c r="E728" t="s">
        <v>1988</v>
      </c>
      <c r="F728">
        <v>5</v>
      </c>
      <c r="G728">
        <v>4</v>
      </c>
      <c r="H728" t="s">
        <v>44</v>
      </c>
      <c r="I728" t="s">
        <v>44</v>
      </c>
      <c r="J728" t="s">
        <v>4</v>
      </c>
      <c r="K728">
        <v>0.92057329416275002</v>
      </c>
      <c r="L728" s="26">
        <v>2.6487871632572501E-5</v>
      </c>
      <c r="M728">
        <v>-1.05698751145233E-3</v>
      </c>
      <c r="N728">
        <v>3.5714770954484201</v>
      </c>
    </row>
    <row r="729" spans="1:14">
      <c r="A729" s="1">
        <v>728</v>
      </c>
      <c r="B729" t="s">
        <v>1991</v>
      </c>
      <c r="C729" t="s">
        <v>1992</v>
      </c>
      <c r="D729" t="s">
        <v>1993</v>
      </c>
      <c r="E729" t="s">
        <v>1991</v>
      </c>
      <c r="F729">
        <v>6</v>
      </c>
      <c r="G729">
        <v>6</v>
      </c>
      <c r="H729" t="s">
        <v>8</v>
      </c>
      <c r="I729" t="s">
        <v>8</v>
      </c>
      <c r="J729" t="s">
        <v>4</v>
      </c>
      <c r="K729">
        <v>0.48604062199592502</v>
      </c>
      <c r="L729" s="26">
        <v>7.5567244215933402E-6</v>
      </c>
      <c r="M729">
        <v>-1.46501511254815E-2</v>
      </c>
      <c r="N729">
        <v>3.27014136233048</v>
      </c>
    </row>
    <row r="730" spans="1:14">
      <c r="A730" s="1">
        <v>729</v>
      </c>
      <c r="B730" t="s">
        <v>1994</v>
      </c>
      <c r="C730" t="s">
        <v>1995</v>
      </c>
      <c r="D730" t="s">
        <v>1996</v>
      </c>
      <c r="E730" t="s">
        <v>1994</v>
      </c>
      <c r="F730">
        <v>7</v>
      </c>
      <c r="G730">
        <v>3</v>
      </c>
      <c r="H730" t="s">
        <v>8</v>
      </c>
      <c r="I730" t="s">
        <v>8</v>
      </c>
      <c r="J730" t="s">
        <v>4</v>
      </c>
      <c r="K730">
        <v>0.81790286302566495</v>
      </c>
      <c r="L730" s="26">
        <v>2.12754939181667E-5</v>
      </c>
      <c r="M730">
        <v>-1.7889963870391701E-2</v>
      </c>
      <c r="N730">
        <v>3.5083199463017798</v>
      </c>
    </row>
    <row r="731" spans="1:14">
      <c r="A731" s="1">
        <v>730</v>
      </c>
      <c r="B731" t="s">
        <v>1997</v>
      </c>
      <c r="C731" t="s">
        <v>1998</v>
      </c>
      <c r="D731" t="s">
        <v>1999</v>
      </c>
      <c r="E731" t="s">
        <v>1997</v>
      </c>
      <c r="F731">
        <v>4</v>
      </c>
      <c r="G731">
        <v>7</v>
      </c>
      <c r="H731" t="s">
        <v>8</v>
      </c>
      <c r="I731" t="s">
        <v>8</v>
      </c>
      <c r="J731" t="s">
        <v>4</v>
      </c>
      <c r="K731">
        <v>0.91243767738342196</v>
      </c>
      <c r="L731" s="26">
        <v>2.6251336066095501E-5</v>
      </c>
      <c r="M731">
        <v>-1.63342265792145E-2</v>
      </c>
      <c r="N731">
        <v>3.4367768531555898</v>
      </c>
    </row>
    <row r="732" spans="1:14">
      <c r="A732" s="1">
        <v>731</v>
      </c>
      <c r="B732" t="s">
        <v>2000</v>
      </c>
      <c r="C732" t="s">
        <v>2001</v>
      </c>
      <c r="D732" t="s">
        <v>1583</v>
      </c>
      <c r="E732" t="s">
        <v>2000</v>
      </c>
      <c r="F732">
        <v>4</v>
      </c>
      <c r="G732">
        <v>3</v>
      </c>
      <c r="H732" t="s">
        <v>12</v>
      </c>
      <c r="I732" t="s">
        <v>12</v>
      </c>
      <c r="J732" t="s">
        <v>4</v>
      </c>
      <c r="K732">
        <v>0.71503627300262396</v>
      </c>
      <c r="L732" s="26">
        <v>1.6181825277640198E-5</v>
      </c>
      <c r="M732">
        <v>-1.0663138576887801E-2</v>
      </c>
      <c r="N732">
        <v>3.74484088203867</v>
      </c>
    </row>
    <row r="733" spans="1:14">
      <c r="A733" s="1">
        <v>732</v>
      </c>
      <c r="B733" t="s">
        <v>2002</v>
      </c>
      <c r="C733" t="s">
        <v>2003</v>
      </c>
      <c r="D733" t="s">
        <v>2004</v>
      </c>
      <c r="E733" t="s">
        <v>2002</v>
      </c>
      <c r="F733">
        <v>4</v>
      </c>
      <c r="G733">
        <v>3</v>
      </c>
      <c r="H733" t="s">
        <v>113</v>
      </c>
      <c r="I733" t="s">
        <v>113</v>
      </c>
      <c r="J733" t="s">
        <v>4</v>
      </c>
      <c r="K733">
        <v>0.170696511864662</v>
      </c>
      <c r="L733" s="26">
        <v>2.1035769365137198E-6</v>
      </c>
      <c r="M733">
        <v>4.6038079254841997E-2</v>
      </c>
      <c r="N733">
        <v>3.32186505970598</v>
      </c>
    </row>
    <row r="734" spans="1:14">
      <c r="A734" s="1">
        <v>733</v>
      </c>
      <c r="B734" t="s">
        <v>2005</v>
      </c>
      <c r="C734" t="s">
        <v>2006</v>
      </c>
      <c r="D734" t="s">
        <v>2007</v>
      </c>
      <c r="E734" t="s">
        <v>2388</v>
      </c>
      <c r="F734">
        <v>7</v>
      </c>
      <c r="G734">
        <v>7</v>
      </c>
      <c r="H734" t="s">
        <v>123</v>
      </c>
      <c r="I734" t="s">
        <v>8</v>
      </c>
      <c r="J734" t="s">
        <v>180</v>
      </c>
      <c r="K734">
        <v>0.128162145614624</v>
      </c>
      <c r="L734" s="26">
        <v>1.2102546483534299E-6</v>
      </c>
      <c r="M734">
        <v>-1.8446261676359599E-2</v>
      </c>
      <c r="N734">
        <v>3.4140101170771699</v>
      </c>
    </row>
    <row r="735" spans="1:14">
      <c r="A735" s="1">
        <v>734</v>
      </c>
      <c r="B735" t="s">
        <v>2008</v>
      </c>
      <c r="C735" t="s">
        <v>2009</v>
      </c>
      <c r="D735" t="s">
        <v>2010</v>
      </c>
      <c r="E735" t="s">
        <v>2008</v>
      </c>
      <c r="F735">
        <v>4</v>
      </c>
      <c r="G735">
        <v>5</v>
      </c>
      <c r="H735" t="s">
        <v>8</v>
      </c>
      <c r="I735" t="s">
        <v>8</v>
      </c>
      <c r="J735" t="s">
        <v>4</v>
      </c>
      <c r="K735">
        <v>0.98950535058975198</v>
      </c>
      <c r="L735" s="26">
        <v>3.05979987701324E-5</v>
      </c>
      <c r="M735">
        <v>1.0619863094643E-2</v>
      </c>
      <c r="N735">
        <v>3.2969685385410599</v>
      </c>
    </row>
    <row r="736" spans="1:14">
      <c r="A736" s="1">
        <v>735</v>
      </c>
      <c r="B736" t="s">
        <v>2011</v>
      </c>
      <c r="C736" t="s">
        <v>2012</v>
      </c>
      <c r="D736" t="s">
        <v>2013</v>
      </c>
      <c r="E736" t="s">
        <v>2011</v>
      </c>
      <c r="F736">
        <v>4</v>
      </c>
      <c r="G736">
        <v>7</v>
      </c>
      <c r="H736" t="s">
        <v>8</v>
      </c>
      <c r="I736" t="s">
        <v>8</v>
      </c>
      <c r="J736" t="s">
        <v>4</v>
      </c>
      <c r="K736">
        <v>0.89840114116668701</v>
      </c>
      <c r="L736" s="26">
        <v>2.5259934116759099E-5</v>
      </c>
      <c r="M736">
        <v>-9.42656855599466E-4</v>
      </c>
      <c r="N736">
        <v>3.5522388926211499</v>
      </c>
    </row>
    <row r="737" spans="1:14">
      <c r="A737" s="1">
        <v>736</v>
      </c>
      <c r="B737" t="s">
        <v>2014</v>
      </c>
      <c r="C737" t="s">
        <v>2015</v>
      </c>
      <c r="D737" t="s">
        <v>722</v>
      </c>
      <c r="E737" t="s">
        <v>2014</v>
      </c>
      <c r="F737">
        <v>6</v>
      </c>
      <c r="G737">
        <v>5</v>
      </c>
      <c r="H737" t="s">
        <v>8</v>
      </c>
      <c r="I737" t="s">
        <v>8</v>
      </c>
      <c r="J737" t="s">
        <v>4</v>
      </c>
      <c r="K737">
        <v>0.88377588987350397</v>
      </c>
      <c r="L737" s="26">
        <v>2.4431632067797499E-5</v>
      </c>
      <c r="M737">
        <v>-1.12190710712312E-2</v>
      </c>
      <c r="N737">
        <v>3.4693420882893999</v>
      </c>
    </row>
    <row r="738" spans="1:14">
      <c r="A738" s="1">
        <v>737</v>
      </c>
      <c r="B738" t="s">
        <v>2016</v>
      </c>
      <c r="C738" t="s">
        <v>2017</v>
      </c>
      <c r="D738" t="s">
        <v>2018</v>
      </c>
      <c r="E738" t="s">
        <v>2016</v>
      </c>
      <c r="F738">
        <v>5</v>
      </c>
      <c r="G738">
        <v>4</v>
      </c>
      <c r="H738" t="s">
        <v>8</v>
      </c>
      <c r="I738" t="s">
        <v>8</v>
      </c>
      <c r="J738" t="s">
        <v>4</v>
      </c>
      <c r="K738">
        <v>0.14541950821876501</v>
      </c>
      <c r="L738" s="26">
        <v>1.0028596577873199E-6</v>
      </c>
      <c r="M738">
        <v>-3.1534070309264801E-3</v>
      </c>
      <c r="N738">
        <v>2.6670866687743602</v>
      </c>
    </row>
    <row r="739" spans="1:14">
      <c r="A739" s="1">
        <v>738</v>
      </c>
      <c r="B739" t="s">
        <v>2019</v>
      </c>
      <c r="C739" t="s">
        <v>2020</v>
      </c>
      <c r="D739" t="s">
        <v>1655</v>
      </c>
      <c r="E739" t="s">
        <v>2389</v>
      </c>
      <c r="F739">
        <v>4</v>
      </c>
      <c r="G739">
        <v>4</v>
      </c>
      <c r="H739" t="s">
        <v>8</v>
      </c>
      <c r="I739" t="s">
        <v>8</v>
      </c>
      <c r="J739" t="s">
        <v>180</v>
      </c>
      <c r="K739">
        <v>0.106242060661315</v>
      </c>
      <c r="L739" s="26">
        <v>1.00767796770868E-6</v>
      </c>
      <c r="M739">
        <v>1.22353587544239E-2</v>
      </c>
      <c r="N739">
        <v>3.6071608734581302</v>
      </c>
    </row>
    <row r="740" spans="1:14">
      <c r="A740" s="1">
        <v>739</v>
      </c>
      <c r="B740" t="s">
        <v>2021</v>
      </c>
      <c r="C740" t="s">
        <v>2022</v>
      </c>
      <c r="D740" t="s">
        <v>1583</v>
      </c>
      <c r="E740" t="s">
        <v>2021</v>
      </c>
      <c r="F740">
        <v>4</v>
      </c>
      <c r="G740">
        <v>3</v>
      </c>
      <c r="H740" t="s">
        <v>12</v>
      </c>
      <c r="I740" t="s">
        <v>12</v>
      </c>
      <c r="J740" t="s">
        <v>4</v>
      </c>
      <c r="K740">
        <v>0.42049568891525202</v>
      </c>
      <c r="L740" s="26">
        <v>5.9176753341881097E-6</v>
      </c>
      <c r="M740">
        <v>6.35830874633258E-3</v>
      </c>
      <c r="N740">
        <v>3.7467550236253699</v>
      </c>
    </row>
    <row r="741" spans="1:14">
      <c r="A741" s="1">
        <v>740</v>
      </c>
      <c r="B741" t="s">
        <v>2023</v>
      </c>
      <c r="C741" t="s">
        <v>2024</v>
      </c>
      <c r="D741" t="s">
        <v>475</v>
      </c>
      <c r="E741" t="s">
        <v>2023</v>
      </c>
      <c r="F741">
        <v>4</v>
      </c>
      <c r="G741">
        <v>5</v>
      </c>
      <c r="H741" t="s">
        <v>8</v>
      </c>
      <c r="I741" t="s">
        <v>8</v>
      </c>
      <c r="J741" t="s">
        <v>4</v>
      </c>
      <c r="K741">
        <v>8.8064774870872498E-2</v>
      </c>
      <c r="L741" s="26">
        <v>5.4481415914565003E-7</v>
      </c>
      <c r="M741">
        <v>3.6052319936459298E-3</v>
      </c>
      <c r="N741">
        <v>2.7020669495266501</v>
      </c>
    </row>
    <row r="742" spans="1:14">
      <c r="A742" s="1">
        <v>741</v>
      </c>
      <c r="B742" t="s">
        <v>2025</v>
      </c>
      <c r="C742" t="s">
        <v>2026</v>
      </c>
      <c r="D742" t="s">
        <v>2027</v>
      </c>
      <c r="E742" t="s">
        <v>2025</v>
      </c>
      <c r="F742">
        <v>4</v>
      </c>
      <c r="G742">
        <v>7</v>
      </c>
      <c r="H742" t="s">
        <v>8</v>
      </c>
      <c r="I742" t="s">
        <v>8</v>
      </c>
      <c r="J742" t="s">
        <v>4</v>
      </c>
      <c r="K742">
        <v>0.95609843730926503</v>
      </c>
      <c r="L742" s="26">
        <v>2.8570215790171101E-5</v>
      </c>
      <c r="M742">
        <v>1.4385873765547701E-3</v>
      </c>
      <c r="N742">
        <v>3.7539161576664299</v>
      </c>
    </row>
    <row r="743" spans="1:14">
      <c r="A743" s="1">
        <v>742</v>
      </c>
      <c r="B743" t="s">
        <v>2028</v>
      </c>
      <c r="C743" t="s">
        <v>2029</v>
      </c>
      <c r="D743" t="s">
        <v>2030</v>
      </c>
      <c r="E743" t="s">
        <v>2031</v>
      </c>
      <c r="F743">
        <v>4</v>
      </c>
      <c r="G743">
        <v>5</v>
      </c>
      <c r="H743" t="s">
        <v>8</v>
      </c>
      <c r="I743" t="s">
        <v>8</v>
      </c>
      <c r="J743" t="s">
        <v>180</v>
      </c>
      <c r="K743">
        <v>5.8459598571061998E-2</v>
      </c>
      <c r="L743" s="26">
        <v>2.9301392045110898E-7</v>
      </c>
      <c r="M743">
        <v>2.8846117018353799E-2</v>
      </c>
      <c r="N743">
        <v>2.84635329493016</v>
      </c>
    </row>
    <row r="744" spans="1:14">
      <c r="A744" s="1">
        <v>743</v>
      </c>
      <c r="B744" t="s">
        <v>2032</v>
      </c>
      <c r="C744" t="s">
        <v>2033</v>
      </c>
      <c r="D744" t="s">
        <v>2034</v>
      </c>
      <c r="E744" t="s">
        <v>2032</v>
      </c>
      <c r="F744">
        <v>6</v>
      </c>
      <c r="G744">
        <v>3</v>
      </c>
      <c r="H744" t="s">
        <v>8</v>
      </c>
      <c r="I744" t="s">
        <v>8</v>
      </c>
      <c r="J744" t="s">
        <v>4</v>
      </c>
      <c r="K744">
        <v>0.89778637886047297</v>
      </c>
      <c r="L744" s="26">
        <v>2.54447601332492E-5</v>
      </c>
      <c r="M744">
        <v>2.5506400882534301E-2</v>
      </c>
      <c r="N744">
        <v>3.2978906640815602</v>
      </c>
    </row>
    <row r="745" spans="1:14">
      <c r="A745" s="1">
        <v>744</v>
      </c>
      <c r="B745" t="s">
        <v>2035</v>
      </c>
      <c r="C745" t="s">
        <v>2036</v>
      </c>
      <c r="D745" t="s">
        <v>712</v>
      </c>
      <c r="E745" t="s">
        <v>2035</v>
      </c>
      <c r="F745">
        <v>5</v>
      </c>
      <c r="G745">
        <v>6</v>
      </c>
      <c r="H745" t="s">
        <v>68</v>
      </c>
      <c r="I745" t="s">
        <v>68</v>
      </c>
      <c r="J745" t="s">
        <v>4</v>
      </c>
      <c r="K745">
        <v>0.99310594797134399</v>
      </c>
      <c r="L745" s="26">
        <v>3.0820743908271497E-5</v>
      </c>
      <c r="M745">
        <v>-1.1685188459523399E-2</v>
      </c>
      <c r="N745">
        <v>2.81936739425994</v>
      </c>
    </row>
    <row r="746" spans="1:14">
      <c r="A746" s="1">
        <v>745</v>
      </c>
      <c r="B746" t="s">
        <v>2037</v>
      </c>
      <c r="C746" t="s">
        <v>2038</v>
      </c>
      <c r="D746" t="s">
        <v>2039</v>
      </c>
      <c r="E746" t="s">
        <v>2037</v>
      </c>
      <c r="F746">
        <v>9</v>
      </c>
      <c r="G746">
        <v>6</v>
      </c>
      <c r="H746" t="s">
        <v>98</v>
      </c>
      <c r="I746" t="s">
        <v>98</v>
      </c>
      <c r="J746" t="s">
        <v>4</v>
      </c>
      <c r="K746">
        <v>0.99059718847274703</v>
      </c>
      <c r="L746" s="26">
        <v>3.0665256056014898E-5</v>
      </c>
      <c r="M746">
        <v>9.7922522935789402E-3</v>
      </c>
      <c r="N746">
        <v>2.63523205006108</v>
      </c>
    </row>
    <row r="747" spans="1:14">
      <c r="A747" s="1">
        <v>746</v>
      </c>
      <c r="B747" t="s">
        <v>2040</v>
      </c>
      <c r="C747" t="s">
        <v>2041</v>
      </c>
      <c r="D747" t="s">
        <v>2042</v>
      </c>
      <c r="E747" t="s">
        <v>2390</v>
      </c>
      <c r="F747">
        <v>4</v>
      </c>
      <c r="G747">
        <v>6</v>
      </c>
      <c r="H747" t="s">
        <v>3</v>
      </c>
      <c r="I747" t="s">
        <v>12</v>
      </c>
      <c r="J747" t="s">
        <v>180</v>
      </c>
      <c r="K747">
        <v>7.7553220093250205E-2</v>
      </c>
      <c r="L747" s="26">
        <v>5.4801210235933504E-7</v>
      </c>
      <c r="M747">
        <v>-4.7352700394554803E-2</v>
      </c>
      <c r="N747">
        <v>3.99543552891932</v>
      </c>
    </row>
    <row r="748" spans="1:14">
      <c r="A748" s="1">
        <v>747</v>
      </c>
      <c r="B748" t="s">
        <v>2043</v>
      </c>
      <c r="C748" t="s">
        <v>2044</v>
      </c>
      <c r="D748" t="s">
        <v>2045</v>
      </c>
      <c r="E748" t="s">
        <v>2043</v>
      </c>
      <c r="F748">
        <v>5</v>
      </c>
      <c r="G748">
        <v>8</v>
      </c>
      <c r="H748" t="s">
        <v>68</v>
      </c>
      <c r="I748" t="s">
        <v>68</v>
      </c>
      <c r="J748" t="s">
        <v>4</v>
      </c>
      <c r="K748">
        <v>0.99243211746215798</v>
      </c>
      <c r="L748" s="26">
        <v>3.0778900109622697E-5</v>
      </c>
      <c r="M748">
        <v>1.8931832357488E-2</v>
      </c>
      <c r="N748">
        <v>2.77222581157279</v>
      </c>
    </row>
    <row r="749" spans="1:14">
      <c r="A749" s="1">
        <v>748</v>
      </c>
      <c r="B749" t="s">
        <v>2046</v>
      </c>
      <c r="C749" t="s">
        <v>2047</v>
      </c>
      <c r="D749" t="s">
        <v>2048</v>
      </c>
      <c r="E749" t="s">
        <v>2046</v>
      </c>
      <c r="F749">
        <v>6</v>
      </c>
      <c r="G749">
        <v>5</v>
      </c>
      <c r="H749" t="s">
        <v>98</v>
      </c>
      <c r="I749" t="s">
        <v>98</v>
      </c>
      <c r="J749" t="s">
        <v>4</v>
      </c>
      <c r="K749">
        <v>0.99989604949951105</v>
      </c>
      <c r="L749" s="26">
        <v>3.12435032645141E-5</v>
      </c>
      <c r="M749">
        <v>3.0975895639748698E-3</v>
      </c>
      <c r="N749">
        <v>3.10727247640791</v>
      </c>
    </row>
    <row r="750" spans="1:14">
      <c r="A750" s="1">
        <v>749</v>
      </c>
      <c r="B750" t="s">
        <v>2049</v>
      </c>
      <c r="C750" t="s">
        <v>2050</v>
      </c>
      <c r="D750" t="s">
        <v>2051</v>
      </c>
      <c r="E750" t="s">
        <v>2049</v>
      </c>
      <c r="F750">
        <v>4</v>
      </c>
      <c r="G750">
        <v>7</v>
      </c>
      <c r="H750" t="s">
        <v>8</v>
      </c>
      <c r="I750" t="s">
        <v>8</v>
      </c>
      <c r="J750" t="s">
        <v>4</v>
      </c>
      <c r="K750">
        <v>0.98324996232986395</v>
      </c>
      <c r="L750" s="26">
        <v>3.0218960328553201E-5</v>
      </c>
      <c r="M750">
        <v>3.05408203810166E-2</v>
      </c>
      <c r="N750">
        <v>3.7033907991388002</v>
      </c>
    </row>
    <row r="751" spans="1:14">
      <c r="A751" s="1">
        <v>750</v>
      </c>
      <c r="B751" t="s">
        <v>2052</v>
      </c>
      <c r="C751" t="s">
        <v>2053</v>
      </c>
      <c r="D751" t="s">
        <v>2054</v>
      </c>
      <c r="E751" t="s">
        <v>2052</v>
      </c>
      <c r="F751">
        <v>4</v>
      </c>
      <c r="G751">
        <v>5</v>
      </c>
      <c r="H751" t="s">
        <v>98</v>
      </c>
      <c r="I751" t="s">
        <v>98</v>
      </c>
      <c r="J751" t="s">
        <v>4</v>
      </c>
      <c r="K751">
        <v>0.58581191301345803</v>
      </c>
      <c r="L751" s="26">
        <v>1.0796354426034301E-5</v>
      </c>
      <c r="M751">
        <v>3.7470062402498098E-3</v>
      </c>
      <c r="N751">
        <v>2.8376216468106601</v>
      </c>
    </row>
    <row r="752" spans="1:14">
      <c r="A752" s="1">
        <v>751</v>
      </c>
      <c r="B752" t="s">
        <v>2055</v>
      </c>
      <c r="C752" t="s">
        <v>2056</v>
      </c>
      <c r="D752" t="s">
        <v>2057</v>
      </c>
      <c r="E752" t="s">
        <v>2055</v>
      </c>
      <c r="F752">
        <v>7</v>
      </c>
      <c r="G752">
        <v>7</v>
      </c>
      <c r="H752" t="s">
        <v>8</v>
      </c>
      <c r="I752" t="s">
        <v>8</v>
      </c>
      <c r="J752" t="s">
        <v>4</v>
      </c>
      <c r="K752">
        <v>0.93103677034377996</v>
      </c>
      <c r="L752" s="26">
        <v>2.72188494830826E-5</v>
      </c>
      <c r="M752">
        <v>-9.8951548132184507E-3</v>
      </c>
      <c r="N752">
        <v>3.1902156802836799</v>
      </c>
    </row>
    <row r="753" spans="1:14">
      <c r="A753" s="1">
        <v>752</v>
      </c>
      <c r="B753" t="s">
        <v>2058</v>
      </c>
      <c r="C753" t="s">
        <v>2059</v>
      </c>
      <c r="D753" t="s">
        <v>2060</v>
      </c>
      <c r="E753" t="s">
        <v>2058</v>
      </c>
      <c r="F753">
        <v>6</v>
      </c>
      <c r="G753">
        <v>4</v>
      </c>
      <c r="H753" t="s">
        <v>8</v>
      </c>
      <c r="I753" t="s">
        <v>8</v>
      </c>
      <c r="J753" t="s">
        <v>4</v>
      </c>
      <c r="K753">
        <v>0.23649825155734999</v>
      </c>
      <c r="L753" s="26">
        <v>2.3961114436251001E-6</v>
      </c>
      <c r="M753">
        <v>2.4184558611537399E-2</v>
      </c>
      <c r="N753">
        <v>3.2656080827484399</v>
      </c>
    </row>
    <row r="754" spans="1:14">
      <c r="A754" s="1">
        <v>753</v>
      </c>
      <c r="B754" t="s">
        <v>2061</v>
      </c>
      <c r="C754" t="s">
        <v>2062</v>
      </c>
      <c r="D754" t="s">
        <v>257</v>
      </c>
      <c r="E754" t="s">
        <v>2061</v>
      </c>
      <c r="F754">
        <v>4</v>
      </c>
      <c r="G754">
        <v>3</v>
      </c>
      <c r="H754" t="s">
        <v>12</v>
      </c>
      <c r="I754" t="s">
        <v>12</v>
      </c>
      <c r="J754" t="s">
        <v>4</v>
      </c>
      <c r="K754">
        <v>0.95129424333572299</v>
      </c>
      <c r="L754" s="26">
        <v>2.8289007983781099E-5</v>
      </c>
      <c r="M754">
        <v>8.9422124013793704E-3</v>
      </c>
      <c r="N754">
        <v>3.6926979776195998</v>
      </c>
    </row>
    <row r="755" spans="1:14">
      <c r="A755" s="1">
        <v>754</v>
      </c>
      <c r="B755" t="s">
        <v>2063</v>
      </c>
      <c r="C755" t="s">
        <v>2064</v>
      </c>
      <c r="D755" t="s">
        <v>1732</v>
      </c>
      <c r="E755" t="s">
        <v>2063</v>
      </c>
      <c r="F755">
        <v>4</v>
      </c>
      <c r="G755">
        <v>5</v>
      </c>
      <c r="H755" t="s">
        <v>8</v>
      </c>
      <c r="I755" t="s">
        <v>8</v>
      </c>
      <c r="J755" t="s">
        <v>4</v>
      </c>
      <c r="K755">
        <v>0.17073032259941101</v>
      </c>
      <c r="L755" s="26">
        <v>1.31305657952783E-6</v>
      </c>
      <c r="M755">
        <v>-1.2066347169323401E-2</v>
      </c>
      <c r="N755">
        <v>2.4707315227322799</v>
      </c>
    </row>
    <row r="756" spans="1:14">
      <c r="A756" s="1">
        <v>755</v>
      </c>
      <c r="B756" t="s">
        <v>2065</v>
      </c>
      <c r="C756" t="s">
        <v>2066</v>
      </c>
      <c r="D756" t="s">
        <v>269</v>
      </c>
      <c r="E756" t="s">
        <v>2065</v>
      </c>
      <c r="F756">
        <v>4</v>
      </c>
      <c r="G756">
        <v>4</v>
      </c>
      <c r="H756" t="s">
        <v>68</v>
      </c>
      <c r="I756" t="s">
        <v>68</v>
      </c>
      <c r="J756" t="s">
        <v>4</v>
      </c>
      <c r="K756">
        <v>0.96244895458221402</v>
      </c>
      <c r="L756" s="26">
        <v>2.8949843685900799E-5</v>
      </c>
      <c r="M756">
        <v>1.62038399408857E-2</v>
      </c>
      <c r="N756">
        <v>3.5167916630685099</v>
      </c>
    </row>
    <row r="757" spans="1:14">
      <c r="A757" s="1">
        <v>756</v>
      </c>
      <c r="B757" t="s">
        <v>2067</v>
      </c>
      <c r="C757" t="s">
        <v>2068</v>
      </c>
      <c r="D757" t="s">
        <v>2069</v>
      </c>
      <c r="E757" t="s">
        <v>2067</v>
      </c>
      <c r="F757">
        <v>4</v>
      </c>
      <c r="G757">
        <v>6</v>
      </c>
      <c r="H757" t="s">
        <v>98</v>
      </c>
      <c r="I757" t="s">
        <v>98</v>
      </c>
      <c r="J757" t="s">
        <v>4</v>
      </c>
      <c r="K757">
        <v>0.98776477575302102</v>
      </c>
      <c r="L757" s="26">
        <v>3.0490296370046801E-5</v>
      </c>
      <c r="M757">
        <v>-1.7858924798023399E-2</v>
      </c>
      <c r="N757">
        <v>2.6538362943118501</v>
      </c>
    </row>
    <row r="758" spans="1:14">
      <c r="A758" s="1">
        <v>757</v>
      </c>
      <c r="B758" t="s">
        <v>2070</v>
      </c>
      <c r="C758" t="s">
        <v>2071</v>
      </c>
      <c r="D758" t="s">
        <v>913</v>
      </c>
      <c r="E758" t="s">
        <v>2070</v>
      </c>
      <c r="F758">
        <v>4</v>
      </c>
      <c r="G758">
        <v>4</v>
      </c>
      <c r="H758" t="s">
        <v>8</v>
      </c>
      <c r="I758" t="s">
        <v>8</v>
      </c>
      <c r="J758" t="s">
        <v>4</v>
      </c>
      <c r="K758">
        <v>0.465564966201782</v>
      </c>
      <c r="L758" s="26">
        <v>7.1032432804260596E-6</v>
      </c>
      <c r="M758">
        <v>2.6390517219326101E-2</v>
      </c>
      <c r="N758">
        <v>3.28647957898285</v>
      </c>
    </row>
    <row r="759" spans="1:14">
      <c r="A759" s="1">
        <v>758</v>
      </c>
      <c r="B759" t="s">
        <v>2072</v>
      </c>
      <c r="C759" t="s">
        <v>2073</v>
      </c>
      <c r="D759" t="s">
        <v>2074</v>
      </c>
      <c r="E759" t="s">
        <v>2072</v>
      </c>
      <c r="F759">
        <v>4</v>
      </c>
      <c r="G759">
        <v>8</v>
      </c>
      <c r="H759" t="s">
        <v>8</v>
      </c>
      <c r="I759" t="s">
        <v>8</v>
      </c>
      <c r="J759" t="s">
        <v>4</v>
      </c>
      <c r="K759">
        <v>0.99793612957000699</v>
      </c>
      <c r="L759" s="26">
        <v>3.1121150123634602E-5</v>
      </c>
      <c r="M759">
        <v>-2.2289501118848399E-3</v>
      </c>
      <c r="N759">
        <v>2.1987461192715099</v>
      </c>
    </row>
    <row r="760" spans="1:14">
      <c r="A760" s="1">
        <v>759</v>
      </c>
      <c r="B760" t="s">
        <v>2075</v>
      </c>
      <c r="C760" t="s">
        <v>2076</v>
      </c>
      <c r="D760" t="s">
        <v>936</v>
      </c>
      <c r="E760" t="s">
        <v>2075</v>
      </c>
      <c r="F760">
        <v>4</v>
      </c>
      <c r="G760">
        <v>4</v>
      </c>
      <c r="H760" t="s">
        <v>8</v>
      </c>
      <c r="I760" t="s">
        <v>8</v>
      </c>
      <c r="J760" t="s">
        <v>4</v>
      </c>
      <c r="K760">
        <v>0.88447874784469604</v>
      </c>
      <c r="L760" s="26">
        <v>2.4477791016354499E-5</v>
      </c>
      <c r="M760">
        <v>3.04634171813233E-2</v>
      </c>
      <c r="N760">
        <v>3.2721602074324898</v>
      </c>
    </row>
    <row r="761" spans="1:14">
      <c r="A761" s="1">
        <v>760</v>
      </c>
      <c r="B761" t="s">
        <v>2077</v>
      </c>
      <c r="C761" t="s">
        <v>2078</v>
      </c>
      <c r="D761" t="s">
        <v>28</v>
      </c>
      <c r="E761" t="s">
        <v>2077</v>
      </c>
      <c r="F761">
        <v>4</v>
      </c>
      <c r="G761">
        <v>3</v>
      </c>
      <c r="H761" t="s">
        <v>8</v>
      </c>
      <c r="I761" t="s">
        <v>8</v>
      </c>
      <c r="J761" t="s">
        <v>4</v>
      </c>
      <c r="K761">
        <v>0.13161446154117501</v>
      </c>
      <c r="L761" s="26">
        <v>6.2590297469664797E-7</v>
      </c>
      <c r="M761">
        <v>-1.02336117881378E-2</v>
      </c>
      <c r="N761">
        <v>3.41217058160312</v>
      </c>
    </row>
    <row r="762" spans="1:14">
      <c r="A762" s="1">
        <v>761</v>
      </c>
      <c r="B762" t="s">
        <v>2079</v>
      </c>
      <c r="C762" t="s">
        <v>2080</v>
      </c>
      <c r="D762" t="s">
        <v>2081</v>
      </c>
      <c r="E762" t="s">
        <v>2079</v>
      </c>
      <c r="F762">
        <v>4</v>
      </c>
      <c r="G762">
        <v>5</v>
      </c>
      <c r="H762" t="s">
        <v>8</v>
      </c>
      <c r="I762" t="s">
        <v>8</v>
      </c>
      <c r="J762" t="s">
        <v>4</v>
      </c>
      <c r="K762">
        <v>0.99912089109420699</v>
      </c>
      <c r="L762" s="26">
        <v>3.1195078939593003E-5</v>
      </c>
      <c r="M762">
        <v>1.0214607544597199E-2</v>
      </c>
      <c r="N762">
        <v>2.1381999845678301</v>
      </c>
    </row>
    <row r="763" spans="1:14">
      <c r="A763" s="1">
        <v>762</v>
      </c>
      <c r="B763" t="s">
        <v>2082</v>
      </c>
      <c r="C763" t="s">
        <v>2083</v>
      </c>
      <c r="D763" t="s">
        <v>94</v>
      </c>
      <c r="E763" t="s">
        <v>2391</v>
      </c>
      <c r="F763">
        <v>4</v>
      </c>
      <c r="G763">
        <v>4</v>
      </c>
      <c r="H763" t="s">
        <v>8</v>
      </c>
      <c r="I763" t="s">
        <v>8</v>
      </c>
      <c r="J763" t="s">
        <v>180</v>
      </c>
      <c r="K763">
        <v>0.21499410271644501</v>
      </c>
      <c r="L763" s="26">
        <v>2.0504356784289302E-6</v>
      </c>
      <c r="M763">
        <v>-2.6537495767229302E-3</v>
      </c>
      <c r="N763">
        <v>3.6275666915889202</v>
      </c>
    </row>
    <row r="764" spans="1:14">
      <c r="A764" s="1">
        <v>763</v>
      </c>
      <c r="B764" t="s">
        <v>2084</v>
      </c>
      <c r="C764" t="s">
        <v>2085</v>
      </c>
      <c r="D764" t="s">
        <v>2086</v>
      </c>
      <c r="E764" t="s">
        <v>2084</v>
      </c>
      <c r="F764">
        <v>6</v>
      </c>
      <c r="G764">
        <v>6</v>
      </c>
      <c r="H764" t="s">
        <v>8</v>
      </c>
      <c r="I764" t="s">
        <v>8</v>
      </c>
      <c r="J764" t="s">
        <v>4</v>
      </c>
      <c r="K764">
        <v>0.37752449512481601</v>
      </c>
      <c r="L764" s="26">
        <v>5.7790810021193399E-6</v>
      </c>
      <c r="M764">
        <v>4.3704012049630502E-2</v>
      </c>
      <c r="N764">
        <v>3.4231887679245498</v>
      </c>
    </row>
    <row r="765" spans="1:14">
      <c r="A765" s="1">
        <v>764</v>
      </c>
      <c r="B765" t="s">
        <v>2087</v>
      </c>
      <c r="C765" t="s">
        <v>2088</v>
      </c>
      <c r="D765" t="s">
        <v>370</v>
      </c>
      <c r="E765" t="s">
        <v>2392</v>
      </c>
      <c r="F765">
        <v>4</v>
      </c>
      <c r="G765">
        <v>5</v>
      </c>
      <c r="H765" t="s">
        <v>8</v>
      </c>
      <c r="I765" t="s">
        <v>22</v>
      </c>
      <c r="J765" t="s">
        <v>180</v>
      </c>
      <c r="K765">
        <v>0.25384604930877602</v>
      </c>
      <c r="L765" s="26">
        <v>2.3298970081997999E-6</v>
      </c>
      <c r="M765">
        <v>-2.4908863351118499E-2</v>
      </c>
      <c r="N765">
        <v>3.3752847003782498</v>
      </c>
    </row>
    <row r="766" spans="1:14">
      <c r="A766" s="1">
        <v>765</v>
      </c>
      <c r="B766" t="s">
        <v>2089</v>
      </c>
      <c r="C766" t="s">
        <v>2090</v>
      </c>
      <c r="D766" t="s">
        <v>2091</v>
      </c>
      <c r="E766" t="s">
        <v>2089</v>
      </c>
      <c r="F766">
        <v>6</v>
      </c>
      <c r="G766">
        <v>3</v>
      </c>
      <c r="H766" t="s">
        <v>8</v>
      </c>
      <c r="I766" t="s">
        <v>8</v>
      </c>
      <c r="J766" t="s">
        <v>4</v>
      </c>
      <c r="K766">
        <v>0.81515866518020597</v>
      </c>
      <c r="L766" s="26">
        <v>2.0831066356890602E-5</v>
      </c>
      <c r="M766">
        <v>-8.5918868684720096E-3</v>
      </c>
      <c r="N766">
        <v>3.4825676407717001</v>
      </c>
    </row>
    <row r="767" spans="1:14">
      <c r="A767" s="1">
        <v>766</v>
      </c>
      <c r="B767" t="s">
        <v>2092</v>
      </c>
      <c r="C767" t="s">
        <v>2093</v>
      </c>
      <c r="D767" t="s">
        <v>2094</v>
      </c>
      <c r="E767" t="s">
        <v>2393</v>
      </c>
      <c r="F767">
        <v>5</v>
      </c>
      <c r="G767">
        <v>9</v>
      </c>
      <c r="H767" t="s">
        <v>22</v>
      </c>
      <c r="I767" t="s">
        <v>22</v>
      </c>
      <c r="J767" t="s">
        <v>180</v>
      </c>
      <c r="K767">
        <v>0.28270047903060902</v>
      </c>
      <c r="L767" s="26">
        <v>3.7311007521862798E-6</v>
      </c>
      <c r="M767">
        <v>-1.1888117066334301E-3</v>
      </c>
      <c r="N767">
        <v>3.6940867222508298</v>
      </c>
    </row>
    <row r="768" spans="1:14">
      <c r="A768" s="1">
        <v>767</v>
      </c>
      <c r="B768" t="s">
        <v>2095</v>
      </c>
      <c r="C768" t="s">
        <v>2096</v>
      </c>
      <c r="D768" t="s">
        <v>1255</v>
      </c>
      <c r="E768" t="s">
        <v>2095</v>
      </c>
      <c r="F768">
        <v>5</v>
      </c>
      <c r="G768">
        <v>5</v>
      </c>
      <c r="H768" t="s">
        <v>3</v>
      </c>
      <c r="I768" t="s">
        <v>3</v>
      </c>
      <c r="J768" t="s">
        <v>4</v>
      </c>
      <c r="K768">
        <v>0.13188835978507901</v>
      </c>
      <c r="L768" s="26">
        <v>1.1874148280061E-6</v>
      </c>
      <c r="M768">
        <v>3.99918119382007E-2</v>
      </c>
      <c r="N768">
        <v>3.6474943620295002</v>
      </c>
    </row>
    <row r="769" spans="1:14">
      <c r="A769" s="1">
        <v>768</v>
      </c>
      <c r="B769" t="s">
        <v>2097</v>
      </c>
      <c r="C769" t="s">
        <v>2098</v>
      </c>
      <c r="D769" t="s">
        <v>1322</v>
      </c>
      <c r="E769" t="s">
        <v>2099</v>
      </c>
      <c r="F769">
        <v>4</v>
      </c>
      <c r="G769">
        <v>3</v>
      </c>
      <c r="H769" t="s">
        <v>8</v>
      </c>
      <c r="I769" t="s">
        <v>22</v>
      </c>
      <c r="J769" t="s">
        <v>180</v>
      </c>
      <c r="K769">
        <v>0.48824149370193398</v>
      </c>
      <c r="L769" s="26">
        <v>8.1787417369547094E-6</v>
      </c>
      <c r="M769">
        <v>-2.5521399520275798E-2</v>
      </c>
      <c r="N769">
        <v>3.5953476803433002</v>
      </c>
    </row>
    <row r="770" spans="1:14">
      <c r="A770" s="1">
        <v>769</v>
      </c>
      <c r="B770" t="s">
        <v>2100</v>
      </c>
      <c r="C770" t="s">
        <v>2101</v>
      </c>
      <c r="D770" t="s">
        <v>2102</v>
      </c>
      <c r="E770" t="s">
        <v>2103</v>
      </c>
      <c r="F770">
        <v>4</v>
      </c>
      <c r="G770">
        <v>6</v>
      </c>
      <c r="H770" t="s">
        <v>8</v>
      </c>
      <c r="I770" t="s">
        <v>8</v>
      </c>
      <c r="J770" t="s">
        <v>180</v>
      </c>
      <c r="K770">
        <v>3.5546608269214602E-2</v>
      </c>
      <c r="L770" s="26">
        <v>1.9389986123297801E-7</v>
      </c>
      <c r="M770">
        <v>-2.6070673974267301E-2</v>
      </c>
      <c r="N770">
        <v>3.19297029882931</v>
      </c>
    </row>
    <row r="771" spans="1:14">
      <c r="A771" s="1">
        <v>770</v>
      </c>
      <c r="B771" t="s">
        <v>2104</v>
      </c>
      <c r="C771" t="s">
        <v>2105</v>
      </c>
      <c r="D771" t="s">
        <v>2106</v>
      </c>
      <c r="E771" t="s">
        <v>2104</v>
      </c>
      <c r="F771">
        <v>6</v>
      </c>
      <c r="G771">
        <v>4</v>
      </c>
      <c r="H771" t="s">
        <v>113</v>
      </c>
      <c r="I771" t="s">
        <v>113</v>
      </c>
      <c r="J771" t="s">
        <v>4</v>
      </c>
      <c r="K771">
        <v>0.76062554121017401</v>
      </c>
      <c r="L771" s="26">
        <v>1.8135554628617201E-5</v>
      </c>
      <c r="M771">
        <v>1.1591253582182E-2</v>
      </c>
      <c r="N771">
        <v>3.3721548861563702</v>
      </c>
    </row>
    <row r="772" spans="1:14">
      <c r="A772" s="1">
        <v>771</v>
      </c>
      <c r="B772" t="s">
        <v>2107</v>
      </c>
      <c r="C772" t="s">
        <v>2108</v>
      </c>
      <c r="D772" t="s">
        <v>2109</v>
      </c>
      <c r="E772" t="s">
        <v>2107</v>
      </c>
      <c r="F772">
        <v>4</v>
      </c>
      <c r="G772">
        <v>4</v>
      </c>
      <c r="H772" t="s">
        <v>8</v>
      </c>
      <c r="I772" t="s">
        <v>8</v>
      </c>
      <c r="J772" t="s">
        <v>4</v>
      </c>
      <c r="K772">
        <v>0.42352324724197299</v>
      </c>
      <c r="L772" s="26">
        <v>6.0345345603272397E-6</v>
      </c>
      <c r="M772">
        <v>8.3140706989297507E-3</v>
      </c>
      <c r="N772">
        <v>3.3146665202819499</v>
      </c>
    </row>
    <row r="773" spans="1:14">
      <c r="A773" s="1">
        <v>772</v>
      </c>
      <c r="B773" t="s">
        <v>2110</v>
      </c>
      <c r="C773" t="s">
        <v>2111</v>
      </c>
      <c r="D773" t="s">
        <v>2112</v>
      </c>
      <c r="E773" t="s">
        <v>2110</v>
      </c>
      <c r="F773">
        <v>4</v>
      </c>
      <c r="G773">
        <v>4</v>
      </c>
      <c r="H773" t="s">
        <v>68</v>
      </c>
      <c r="I773" t="s">
        <v>68</v>
      </c>
      <c r="J773" t="s">
        <v>4</v>
      </c>
      <c r="K773">
        <v>0.901960790157318</v>
      </c>
      <c r="L773" s="26">
        <v>2.5426261826413002E-5</v>
      </c>
      <c r="M773">
        <v>1.6506257706788902E-2</v>
      </c>
      <c r="N773">
        <v>3.3762658920717201</v>
      </c>
    </row>
    <row r="774" spans="1:14">
      <c r="A774" s="1">
        <v>773</v>
      </c>
      <c r="B774" t="s">
        <v>2113</v>
      </c>
      <c r="C774" t="s">
        <v>2114</v>
      </c>
      <c r="D774" t="s">
        <v>2115</v>
      </c>
      <c r="E774" t="s">
        <v>2394</v>
      </c>
      <c r="F774">
        <v>4</v>
      </c>
      <c r="G774">
        <v>4</v>
      </c>
      <c r="H774" t="s">
        <v>68</v>
      </c>
      <c r="I774" t="s">
        <v>68</v>
      </c>
      <c r="J774" t="s">
        <v>180</v>
      </c>
      <c r="K774">
        <v>0.137043923139572</v>
      </c>
      <c r="L774" s="26">
        <v>1.29706551575828E-6</v>
      </c>
      <c r="M774">
        <v>6.5621118055378897E-3</v>
      </c>
      <c r="N774">
        <v>3.88809255680111</v>
      </c>
    </row>
    <row r="775" spans="1:14">
      <c r="A775" s="1">
        <v>774</v>
      </c>
      <c r="B775" t="s">
        <v>2116</v>
      </c>
      <c r="C775" t="s">
        <v>2117</v>
      </c>
      <c r="D775" t="s">
        <v>580</v>
      </c>
      <c r="E775" t="s">
        <v>2395</v>
      </c>
      <c r="F775">
        <v>4</v>
      </c>
      <c r="G775">
        <v>4</v>
      </c>
      <c r="H775" t="s">
        <v>8</v>
      </c>
      <c r="I775" t="s">
        <v>8</v>
      </c>
      <c r="J775" t="s">
        <v>180</v>
      </c>
      <c r="K775">
        <v>0.283058911561965</v>
      </c>
      <c r="L775" s="26">
        <v>4.9986756351109799E-6</v>
      </c>
      <c r="M775">
        <v>-5.6692229600088196E-3</v>
      </c>
      <c r="N775">
        <v>3.7131251792980402</v>
      </c>
    </row>
    <row r="776" spans="1:14">
      <c r="A776" s="1">
        <v>775</v>
      </c>
      <c r="B776" t="s">
        <v>2118</v>
      </c>
      <c r="C776" t="s">
        <v>2119</v>
      </c>
      <c r="D776" t="s">
        <v>2094</v>
      </c>
      <c r="E776" t="s">
        <v>2120</v>
      </c>
      <c r="F776">
        <v>4</v>
      </c>
      <c r="G776">
        <v>9</v>
      </c>
      <c r="H776" t="s">
        <v>22</v>
      </c>
      <c r="I776" t="s">
        <v>12</v>
      </c>
      <c r="J776" t="s">
        <v>180</v>
      </c>
      <c r="K776">
        <v>0.65879911184310902</v>
      </c>
      <c r="L776" s="26">
        <v>1.39718081920874E-5</v>
      </c>
      <c r="M776">
        <v>-1.19249412657467E-2</v>
      </c>
      <c r="N776">
        <v>3.1014643642735198</v>
      </c>
    </row>
    <row r="777" spans="1:14">
      <c r="A777" s="1">
        <v>776</v>
      </c>
      <c r="B777" t="s">
        <v>2121</v>
      </c>
      <c r="C777" t="s">
        <v>2122</v>
      </c>
      <c r="D777" t="s">
        <v>2123</v>
      </c>
      <c r="E777" t="s">
        <v>2124</v>
      </c>
      <c r="F777">
        <v>4</v>
      </c>
      <c r="G777">
        <v>6</v>
      </c>
      <c r="H777" t="s">
        <v>8</v>
      </c>
      <c r="I777" t="s">
        <v>8</v>
      </c>
      <c r="J777" t="s">
        <v>180</v>
      </c>
      <c r="K777">
        <v>5.6681971997022601E-2</v>
      </c>
      <c r="L777" s="26">
        <v>4.3011834379620198E-7</v>
      </c>
      <c r="M777">
        <v>4.0405578744444101E-2</v>
      </c>
      <c r="N777">
        <v>2.8075890705033602</v>
      </c>
    </row>
    <row r="778" spans="1:14">
      <c r="A778" s="1">
        <v>777</v>
      </c>
      <c r="B778" t="s">
        <v>2125</v>
      </c>
      <c r="C778" t="s">
        <v>2126</v>
      </c>
      <c r="D778" t="s">
        <v>1304</v>
      </c>
      <c r="E778" t="s">
        <v>2125</v>
      </c>
      <c r="F778">
        <v>7</v>
      </c>
      <c r="G778">
        <v>4</v>
      </c>
      <c r="H778" t="s">
        <v>8</v>
      </c>
      <c r="I778" t="s">
        <v>8</v>
      </c>
      <c r="J778" t="s">
        <v>4</v>
      </c>
      <c r="K778">
        <v>0.90786015987396196</v>
      </c>
      <c r="L778" s="26">
        <v>2.5770770373932498E-5</v>
      </c>
      <c r="M778">
        <v>2.0855826134109599E-3</v>
      </c>
      <c r="N778">
        <v>3.2837110183979901</v>
      </c>
    </row>
    <row r="779" spans="1:14">
      <c r="A779" s="1">
        <v>778</v>
      </c>
      <c r="B779" t="s">
        <v>2127</v>
      </c>
      <c r="C779" t="s">
        <v>2128</v>
      </c>
      <c r="D779" t="s">
        <v>1407</v>
      </c>
      <c r="E779" t="s">
        <v>2396</v>
      </c>
      <c r="F779">
        <v>5</v>
      </c>
      <c r="G779">
        <v>5</v>
      </c>
      <c r="H779" t="s">
        <v>8</v>
      </c>
      <c r="I779" t="s">
        <v>8</v>
      </c>
      <c r="J779" t="s">
        <v>180</v>
      </c>
      <c r="K779">
        <v>0.18148839473724299</v>
      </c>
      <c r="L779" s="26">
        <v>2.17238146334725E-6</v>
      </c>
      <c r="M779">
        <v>-1.8548533072511399E-2</v>
      </c>
      <c r="N779">
        <v>3.5351551886072201</v>
      </c>
    </row>
    <row r="780" spans="1:14">
      <c r="A780" s="1">
        <v>779</v>
      </c>
      <c r="B780" t="s">
        <v>2129</v>
      </c>
      <c r="C780" t="s">
        <v>2130</v>
      </c>
      <c r="D780" t="s">
        <v>2131</v>
      </c>
      <c r="E780" t="s">
        <v>2129</v>
      </c>
      <c r="F780">
        <v>9</v>
      </c>
      <c r="G780">
        <v>5</v>
      </c>
      <c r="H780" t="s">
        <v>8</v>
      </c>
      <c r="I780" t="s">
        <v>8</v>
      </c>
      <c r="J780" t="s">
        <v>4</v>
      </c>
      <c r="K780">
        <v>0.97514027357101396</v>
      </c>
      <c r="L780" s="26">
        <v>2.9718878808605899E-5</v>
      </c>
      <c r="M780">
        <v>-2.6163460492841999E-2</v>
      </c>
      <c r="N780">
        <v>3.5654011694494998</v>
      </c>
    </row>
    <row r="781" spans="1:14">
      <c r="A781" s="1">
        <v>780</v>
      </c>
      <c r="B781" t="s">
        <v>2132</v>
      </c>
      <c r="C781" t="s">
        <v>2133</v>
      </c>
      <c r="D781" t="s">
        <v>2134</v>
      </c>
      <c r="E781" t="s">
        <v>2397</v>
      </c>
      <c r="F781">
        <v>4</v>
      </c>
      <c r="G781">
        <v>7</v>
      </c>
      <c r="H781" t="s">
        <v>8</v>
      </c>
      <c r="I781" t="s">
        <v>8</v>
      </c>
      <c r="J781" t="s">
        <v>180</v>
      </c>
      <c r="K781">
        <v>0.16690260171890201</v>
      </c>
      <c r="L781" s="26">
        <v>1.9197788247036401E-6</v>
      </c>
      <c r="M781">
        <v>2.2728393200868099E-3</v>
      </c>
      <c r="N781">
        <v>3.3816692649444202</v>
      </c>
    </row>
    <row r="782" spans="1:14">
      <c r="A782" s="1">
        <v>781</v>
      </c>
      <c r="B782" t="s">
        <v>2135</v>
      </c>
      <c r="C782" t="s">
        <v>2136</v>
      </c>
      <c r="D782" t="s">
        <v>407</v>
      </c>
      <c r="E782" t="s">
        <v>2135</v>
      </c>
      <c r="F782">
        <v>9</v>
      </c>
      <c r="G782">
        <v>4</v>
      </c>
      <c r="H782" t="s">
        <v>8</v>
      </c>
      <c r="I782" t="s">
        <v>8</v>
      </c>
      <c r="J782" t="s">
        <v>4</v>
      </c>
      <c r="K782">
        <v>0.68209075927734297</v>
      </c>
      <c r="L782" s="26">
        <v>1.4579399020434299E-5</v>
      </c>
      <c r="M782">
        <v>1.25212862696102E-2</v>
      </c>
      <c r="N782">
        <v>2.6356428511880301</v>
      </c>
    </row>
    <row r="783" spans="1:14">
      <c r="A783" s="1">
        <v>782</v>
      </c>
      <c r="B783" t="s">
        <v>2137</v>
      </c>
      <c r="C783" t="s">
        <v>2138</v>
      </c>
      <c r="D783" t="s">
        <v>580</v>
      </c>
      <c r="E783" t="s">
        <v>2137</v>
      </c>
      <c r="F783">
        <v>4</v>
      </c>
      <c r="G783">
        <v>4</v>
      </c>
      <c r="H783" t="s">
        <v>8</v>
      </c>
      <c r="I783" t="s">
        <v>8</v>
      </c>
      <c r="J783" t="s">
        <v>4</v>
      </c>
      <c r="K783">
        <v>0.56041300296783403</v>
      </c>
      <c r="L783" s="26">
        <v>1.0778530416391701E-5</v>
      </c>
      <c r="M783">
        <v>8.4533401672869293E-3</v>
      </c>
      <c r="N783">
        <v>3.1233419016512598</v>
      </c>
    </row>
    <row r="784" spans="1:14">
      <c r="A784" s="1">
        <v>783</v>
      </c>
      <c r="B784" t="s">
        <v>2139</v>
      </c>
      <c r="C784" t="s">
        <v>2140</v>
      </c>
      <c r="D784" t="s">
        <v>242</v>
      </c>
      <c r="E784" t="s">
        <v>2139</v>
      </c>
      <c r="F784">
        <v>5</v>
      </c>
      <c r="G784">
        <v>4</v>
      </c>
      <c r="H784" t="s">
        <v>98</v>
      </c>
      <c r="I784" t="s">
        <v>98</v>
      </c>
      <c r="J784" t="s">
        <v>4</v>
      </c>
      <c r="K784">
        <v>0.89758551120758001</v>
      </c>
      <c r="L784" s="26">
        <v>2.5201495821989099E-5</v>
      </c>
      <c r="M784">
        <v>-4.1252994428049299E-2</v>
      </c>
      <c r="N784">
        <v>3.5477279696244799</v>
      </c>
    </row>
    <row r="785" spans="1:14">
      <c r="A785" s="1">
        <v>784</v>
      </c>
      <c r="B785" t="s">
        <v>2141</v>
      </c>
      <c r="C785" t="s">
        <v>2142</v>
      </c>
      <c r="D785" t="s">
        <v>594</v>
      </c>
      <c r="E785" t="s">
        <v>2398</v>
      </c>
      <c r="F785">
        <v>4</v>
      </c>
      <c r="G785">
        <v>6</v>
      </c>
      <c r="H785" t="s">
        <v>8</v>
      </c>
      <c r="I785" t="s">
        <v>8</v>
      </c>
      <c r="J785" t="s">
        <v>180</v>
      </c>
      <c r="K785">
        <v>0.15281139314174599</v>
      </c>
      <c r="L785" s="26">
        <v>1.5889511278681601E-6</v>
      </c>
      <c r="M785">
        <v>-1.6191457223904101E-3</v>
      </c>
      <c r="N785">
        <v>3.3649373954172099</v>
      </c>
    </row>
    <row r="786" spans="1:14">
      <c r="A786" s="1">
        <v>785</v>
      </c>
      <c r="B786" t="s">
        <v>2143</v>
      </c>
      <c r="C786" t="s">
        <v>2144</v>
      </c>
      <c r="D786" t="s">
        <v>1536</v>
      </c>
      <c r="E786" t="s">
        <v>2143</v>
      </c>
      <c r="F786">
        <v>4</v>
      </c>
      <c r="G786">
        <v>4</v>
      </c>
      <c r="H786" t="s">
        <v>8</v>
      </c>
      <c r="I786" t="s">
        <v>8</v>
      </c>
      <c r="J786" t="s">
        <v>4</v>
      </c>
      <c r="K786">
        <v>0.16411994397640201</v>
      </c>
      <c r="L786" s="26">
        <v>1.5467685260874601E-6</v>
      </c>
      <c r="M786">
        <v>1.91471762819048E-2</v>
      </c>
      <c r="N786">
        <v>2.9059612960468999</v>
      </c>
    </row>
    <row r="787" spans="1:14">
      <c r="A787" s="1">
        <v>786</v>
      </c>
      <c r="B787" t="s">
        <v>2145</v>
      </c>
      <c r="C787" t="s">
        <v>2146</v>
      </c>
      <c r="D787" t="s">
        <v>436</v>
      </c>
      <c r="E787" t="s">
        <v>2145</v>
      </c>
      <c r="F787">
        <v>4</v>
      </c>
      <c r="G787">
        <v>5</v>
      </c>
      <c r="H787" t="s">
        <v>8</v>
      </c>
      <c r="I787" t="s">
        <v>8</v>
      </c>
      <c r="J787" t="s">
        <v>4</v>
      </c>
      <c r="K787">
        <v>0.85416841506957997</v>
      </c>
      <c r="L787" s="26">
        <v>2.2861021114414999E-5</v>
      </c>
      <c r="M787">
        <v>3.1464889836108498E-2</v>
      </c>
      <c r="N787">
        <v>2.79652131902471</v>
      </c>
    </row>
    <row r="788" spans="1:14">
      <c r="A788" s="1">
        <v>787</v>
      </c>
      <c r="B788" t="s">
        <v>2147</v>
      </c>
      <c r="C788" t="s">
        <v>2148</v>
      </c>
      <c r="D788" t="s">
        <v>1146</v>
      </c>
      <c r="E788" t="s">
        <v>2147</v>
      </c>
      <c r="F788">
        <v>5</v>
      </c>
      <c r="G788">
        <v>6</v>
      </c>
      <c r="H788" t="s">
        <v>8</v>
      </c>
      <c r="I788" t="s">
        <v>8</v>
      </c>
      <c r="J788" t="s">
        <v>4</v>
      </c>
      <c r="K788">
        <v>0.13717371225357</v>
      </c>
      <c r="L788" s="26">
        <v>1.22797538175817E-6</v>
      </c>
      <c r="M788">
        <v>3.1522816378977497E-2</v>
      </c>
      <c r="N788">
        <v>3.2059221230633899</v>
      </c>
    </row>
    <row r="789" spans="1:14">
      <c r="A789" s="1">
        <v>788</v>
      </c>
      <c r="B789" t="s">
        <v>2149</v>
      </c>
      <c r="C789" t="s">
        <v>2150</v>
      </c>
      <c r="D789" t="s">
        <v>1129</v>
      </c>
      <c r="E789" t="s">
        <v>2399</v>
      </c>
      <c r="F789">
        <v>6</v>
      </c>
      <c r="G789">
        <v>3</v>
      </c>
      <c r="H789" t="s">
        <v>8</v>
      </c>
      <c r="I789" t="s">
        <v>8</v>
      </c>
      <c r="J789" t="s">
        <v>180</v>
      </c>
      <c r="K789">
        <v>0.22146093845367401</v>
      </c>
      <c r="L789" s="26">
        <v>3.4914056882066498E-6</v>
      </c>
      <c r="M789">
        <v>2.0734650834128799E-3</v>
      </c>
      <c r="N789">
        <v>3.6320762258285</v>
      </c>
    </row>
    <row r="790" spans="1:14">
      <c r="A790" s="1">
        <v>789</v>
      </c>
      <c r="B790" t="s">
        <v>2151</v>
      </c>
      <c r="C790" t="s">
        <v>2152</v>
      </c>
      <c r="D790" t="s">
        <v>1437</v>
      </c>
      <c r="E790" t="s">
        <v>2400</v>
      </c>
      <c r="F790">
        <v>4</v>
      </c>
      <c r="G790">
        <v>3</v>
      </c>
      <c r="H790" t="s">
        <v>8</v>
      </c>
      <c r="I790" t="s">
        <v>12</v>
      </c>
      <c r="J790" t="s">
        <v>180</v>
      </c>
      <c r="K790">
        <v>0.28676006197929299</v>
      </c>
      <c r="L790" s="26">
        <v>4.2148511090244196E-6</v>
      </c>
      <c r="M790">
        <v>3.3618110951895298E-2</v>
      </c>
      <c r="N790">
        <v>3.5117658269144698</v>
      </c>
    </row>
    <row r="791" spans="1:14">
      <c r="A791" s="1">
        <v>790</v>
      </c>
      <c r="B791" t="s">
        <v>2153</v>
      </c>
      <c r="C791" t="s">
        <v>2154</v>
      </c>
      <c r="D791" t="s">
        <v>1897</v>
      </c>
      <c r="E791" t="s">
        <v>2155</v>
      </c>
      <c r="F791">
        <v>4</v>
      </c>
      <c r="G791">
        <v>6</v>
      </c>
      <c r="H791" t="s">
        <v>8</v>
      </c>
      <c r="I791" t="s">
        <v>8</v>
      </c>
      <c r="J791" t="s">
        <v>180</v>
      </c>
      <c r="K791">
        <v>0.13922554254531799</v>
      </c>
      <c r="L791" s="26">
        <v>7.9423681008229102E-7</v>
      </c>
      <c r="M791">
        <v>5.7564496375761103E-2</v>
      </c>
      <c r="N791">
        <v>3.1228380306936199</v>
      </c>
    </row>
    <row r="792" spans="1:14">
      <c r="A792" s="1">
        <v>791</v>
      </c>
      <c r="B792" t="s">
        <v>2156</v>
      </c>
      <c r="C792" t="s">
        <v>2157</v>
      </c>
      <c r="D792" t="s">
        <v>1246</v>
      </c>
      <c r="E792" t="s">
        <v>2156</v>
      </c>
      <c r="F792">
        <v>4</v>
      </c>
      <c r="G792">
        <v>4</v>
      </c>
      <c r="H792" t="s">
        <v>8</v>
      </c>
      <c r="I792" t="s">
        <v>8</v>
      </c>
      <c r="J792" t="s">
        <v>4</v>
      </c>
      <c r="K792">
        <v>0.98684757947921697</v>
      </c>
      <c r="L792" s="26">
        <v>3.0436458364090899E-5</v>
      </c>
      <c r="M792">
        <v>7.2795887229517497E-3</v>
      </c>
      <c r="N792">
        <v>3.11448394346897</v>
      </c>
    </row>
    <row r="793" spans="1:14">
      <c r="A793" s="1">
        <v>792</v>
      </c>
      <c r="B793" t="s">
        <v>2158</v>
      </c>
      <c r="C793" t="s">
        <v>2159</v>
      </c>
      <c r="D793" t="s">
        <v>2160</v>
      </c>
      <c r="E793" t="s">
        <v>2401</v>
      </c>
      <c r="F793">
        <v>4</v>
      </c>
      <c r="G793">
        <v>5</v>
      </c>
      <c r="H793" t="s">
        <v>8</v>
      </c>
      <c r="I793" t="s">
        <v>8</v>
      </c>
      <c r="J793" t="s">
        <v>180</v>
      </c>
      <c r="K793">
        <v>0.10980452597141201</v>
      </c>
      <c r="L793" s="26">
        <v>1.0685333844869899E-6</v>
      </c>
      <c r="M793">
        <v>-3.3703134576867903E-2</v>
      </c>
      <c r="N793">
        <v>3.4476223070151502</v>
      </c>
    </row>
    <row r="794" spans="1:14">
      <c r="A794" s="1">
        <v>793</v>
      </c>
      <c r="B794" t="s">
        <v>2161</v>
      </c>
      <c r="C794" t="s">
        <v>2162</v>
      </c>
      <c r="D794" t="s">
        <v>2163</v>
      </c>
      <c r="E794" t="s">
        <v>2161</v>
      </c>
      <c r="F794">
        <v>4</v>
      </c>
      <c r="G794">
        <v>4</v>
      </c>
      <c r="H794" t="s">
        <v>8</v>
      </c>
      <c r="I794" t="s">
        <v>8</v>
      </c>
      <c r="J794" t="s">
        <v>4</v>
      </c>
      <c r="K794">
        <v>0.98318278789520197</v>
      </c>
      <c r="L794" s="26">
        <v>3.0209575221536098E-5</v>
      </c>
      <c r="M794">
        <v>-3.0528814180790599E-2</v>
      </c>
      <c r="N794">
        <v>2.5722473169968301</v>
      </c>
    </row>
    <row r="795" spans="1:14">
      <c r="A795" s="1">
        <v>794</v>
      </c>
      <c r="B795" t="s">
        <v>2164</v>
      </c>
      <c r="C795" t="s">
        <v>2165</v>
      </c>
      <c r="D795" t="s">
        <v>2166</v>
      </c>
      <c r="E795" t="s">
        <v>2164</v>
      </c>
      <c r="F795">
        <v>5</v>
      </c>
      <c r="G795">
        <v>4</v>
      </c>
      <c r="H795" t="s">
        <v>8</v>
      </c>
      <c r="I795" t="s">
        <v>8</v>
      </c>
      <c r="J795" t="s">
        <v>4</v>
      </c>
      <c r="K795">
        <v>0.59856957197189298</v>
      </c>
      <c r="L795" s="26">
        <v>1.4944504858528401E-5</v>
      </c>
      <c r="M795">
        <v>-4.8280230590194099E-3</v>
      </c>
      <c r="N795">
        <v>3.77269168633048</v>
      </c>
    </row>
    <row r="796" spans="1:14">
      <c r="A796" s="1">
        <v>795</v>
      </c>
      <c r="B796" t="s">
        <v>2167</v>
      </c>
      <c r="C796" t="s">
        <v>2168</v>
      </c>
      <c r="D796" t="s">
        <v>2169</v>
      </c>
      <c r="E796" t="s">
        <v>2170</v>
      </c>
      <c r="F796">
        <v>4</v>
      </c>
      <c r="G796">
        <v>3</v>
      </c>
      <c r="H796" t="s">
        <v>8</v>
      </c>
      <c r="I796" t="s">
        <v>22</v>
      </c>
      <c r="J796" t="s">
        <v>180</v>
      </c>
      <c r="K796">
        <v>0.461773872375488</v>
      </c>
      <c r="L796" s="26">
        <v>6.9198891007831602E-6</v>
      </c>
      <c r="M796">
        <v>4.0514418436600801E-2</v>
      </c>
      <c r="N796">
        <v>2.06294872633773</v>
      </c>
    </row>
    <row r="797" spans="1:14">
      <c r="A797" s="1">
        <v>796</v>
      </c>
      <c r="B797" t="s">
        <v>2171</v>
      </c>
      <c r="C797" t="s">
        <v>2172</v>
      </c>
      <c r="D797" t="s">
        <v>954</v>
      </c>
      <c r="E797" t="s">
        <v>2171</v>
      </c>
      <c r="F797">
        <v>5</v>
      </c>
      <c r="G797">
        <v>3</v>
      </c>
      <c r="H797" t="s">
        <v>8</v>
      </c>
      <c r="I797" t="s">
        <v>8</v>
      </c>
      <c r="J797" t="s">
        <v>4</v>
      </c>
      <c r="K797">
        <v>0.95327508449554399</v>
      </c>
      <c r="L797" s="26">
        <v>2.8398417829369399E-5</v>
      </c>
      <c r="M797">
        <v>-2.2117572001874902E-2</v>
      </c>
      <c r="N797">
        <v>3.5849907070415701</v>
      </c>
    </row>
    <row r="798" spans="1:14">
      <c r="A798" s="1">
        <v>797</v>
      </c>
      <c r="B798" t="s">
        <v>2173</v>
      </c>
      <c r="C798" t="s">
        <v>2174</v>
      </c>
      <c r="D798" t="s">
        <v>7</v>
      </c>
      <c r="E798" t="s">
        <v>2173</v>
      </c>
      <c r="F798">
        <v>5</v>
      </c>
      <c r="G798">
        <v>3</v>
      </c>
      <c r="H798" t="s">
        <v>8</v>
      </c>
      <c r="I798" t="s">
        <v>8</v>
      </c>
      <c r="J798" t="s">
        <v>4</v>
      </c>
      <c r="K798">
        <v>0.92452913522720304</v>
      </c>
      <c r="L798" s="26">
        <v>2.67224864866783E-5</v>
      </c>
      <c r="M798">
        <v>-1.6083044908125201E-2</v>
      </c>
      <c r="N798">
        <v>3.6239384883927901</v>
      </c>
    </row>
    <row r="799" spans="1:14">
      <c r="A799" s="1">
        <v>798</v>
      </c>
      <c r="B799" t="s">
        <v>2175</v>
      </c>
      <c r="C799" t="s">
        <v>2176</v>
      </c>
      <c r="D799" t="s">
        <v>1732</v>
      </c>
      <c r="E799" t="s">
        <v>2175</v>
      </c>
      <c r="F799">
        <v>6</v>
      </c>
      <c r="G799">
        <v>5</v>
      </c>
      <c r="H799" t="s">
        <v>8</v>
      </c>
      <c r="I799" t="s">
        <v>8</v>
      </c>
      <c r="J799" t="s">
        <v>4</v>
      </c>
      <c r="K799">
        <v>0.85493522882461503</v>
      </c>
      <c r="L799" s="26">
        <v>2.2990664913847501E-5</v>
      </c>
      <c r="M799">
        <v>-1.53690831900767E-2</v>
      </c>
      <c r="N799">
        <v>3.34252727137706</v>
      </c>
    </row>
    <row r="800" spans="1:14">
      <c r="A800" s="1">
        <v>799</v>
      </c>
      <c r="B800" t="s">
        <v>2177</v>
      </c>
      <c r="C800" t="s">
        <v>2178</v>
      </c>
      <c r="D800" t="s">
        <v>2179</v>
      </c>
      <c r="E800" t="s">
        <v>2177</v>
      </c>
      <c r="F800">
        <v>4</v>
      </c>
      <c r="G800">
        <v>5</v>
      </c>
      <c r="H800" t="s">
        <v>8</v>
      </c>
      <c r="I800" t="s">
        <v>8</v>
      </c>
      <c r="J800" t="s">
        <v>4</v>
      </c>
      <c r="K800">
        <v>0.201019942760467</v>
      </c>
      <c r="L800" s="26">
        <v>1.92168362784826E-6</v>
      </c>
      <c r="M800">
        <v>1.02851969607087E-2</v>
      </c>
      <c r="N800">
        <v>3.46816365252828</v>
      </c>
    </row>
    <row r="801" spans="1:14">
      <c r="A801" s="1">
        <v>800</v>
      </c>
      <c r="B801" t="s">
        <v>2180</v>
      </c>
      <c r="C801" t="s">
        <v>2181</v>
      </c>
      <c r="D801" t="s">
        <v>262</v>
      </c>
      <c r="E801" t="s">
        <v>2180</v>
      </c>
      <c r="F801">
        <v>4</v>
      </c>
      <c r="G801">
        <v>4</v>
      </c>
      <c r="H801" t="s">
        <v>8</v>
      </c>
      <c r="I801" t="s">
        <v>8</v>
      </c>
      <c r="J801" t="s">
        <v>4</v>
      </c>
      <c r="K801">
        <v>0.98819422721862704</v>
      </c>
      <c r="L801" s="26">
        <v>3.0517107286848899E-5</v>
      </c>
      <c r="M801">
        <v>-1.7924488188235398E-2</v>
      </c>
      <c r="N801">
        <v>2.3732192838942199</v>
      </c>
    </row>
    <row r="802" spans="1:14">
      <c r="A802" s="1">
        <v>801</v>
      </c>
      <c r="B802" t="s">
        <v>2182</v>
      </c>
      <c r="C802" t="s">
        <v>2183</v>
      </c>
      <c r="D802" t="s">
        <v>2184</v>
      </c>
      <c r="E802" t="s">
        <v>2185</v>
      </c>
      <c r="F802">
        <v>4</v>
      </c>
      <c r="G802">
        <v>8</v>
      </c>
      <c r="H802" t="s">
        <v>8</v>
      </c>
      <c r="I802" t="s">
        <v>8</v>
      </c>
      <c r="J802" t="s">
        <v>180</v>
      </c>
      <c r="K802">
        <v>0.35915133357048001</v>
      </c>
      <c r="L802" s="26">
        <v>4.8611002984876597E-6</v>
      </c>
      <c r="M802" s="26">
        <v>-6.5065037944123105E-5</v>
      </c>
      <c r="N802">
        <v>3.59741691380176</v>
      </c>
    </row>
    <row r="803" spans="1:14">
      <c r="A803" s="1">
        <v>802</v>
      </c>
      <c r="B803" t="s">
        <v>2186</v>
      </c>
      <c r="C803" t="s">
        <v>2187</v>
      </c>
      <c r="D803" t="s">
        <v>1975</v>
      </c>
      <c r="E803" t="s">
        <v>2188</v>
      </c>
      <c r="F803">
        <v>5</v>
      </c>
      <c r="G803">
        <v>4</v>
      </c>
      <c r="H803" t="s">
        <v>8</v>
      </c>
      <c r="I803" t="s">
        <v>8</v>
      </c>
      <c r="J803" t="s">
        <v>180</v>
      </c>
      <c r="K803">
        <v>0.42929938435554499</v>
      </c>
      <c r="L803" s="26">
        <v>6.7803106582322399E-6</v>
      </c>
      <c r="M803">
        <v>-5.9576371168077397E-3</v>
      </c>
      <c r="N803">
        <v>3.7351478763660801</v>
      </c>
    </row>
    <row r="804" spans="1:14">
      <c r="A804" s="1">
        <v>803</v>
      </c>
      <c r="B804" t="s">
        <v>2189</v>
      </c>
      <c r="C804" t="s">
        <v>2190</v>
      </c>
      <c r="D804" t="s">
        <v>2191</v>
      </c>
      <c r="E804" t="s">
        <v>2192</v>
      </c>
      <c r="F804">
        <v>4</v>
      </c>
      <c r="G804">
        <v>6</v>
      </c>
      <c r="H804" t="s">
        <v>98</v>
      </c>
      <c r="I804" t="s">
        <v>68</v>
      </c>
      <c r="J804" t="s">
        <v>180</v>
      </c>
      <c r="K804">
        <v>9.3791030347347204E-2</v>
      </c>
      <c r="L804" s="26">
        <v>4.1206804738299301E-7</v>
      </c>
      <c r="M804">
        <v>4.7267071933163103E-2</v>
      </c>
      <c r="N804">
        <v>2.4007382862539699</v>
      </c>
    </row>
    <row r="805" spans="1:14">
      <c r="A805" s="1">
        <v>804</v>
      </c>
      <c r="B805" t="s">
        <v>2193</v>
      </c>
      <c r="C805" t="s">
        <v>2194</v>
      </c>
      <c r="D805" t="s">
        <v>2195</v>
      </c>
      <c r="E805" t="s">
        <v>2193</v>
      </c>
      <c r="F805">
        <v>4</v>
      </c>
      <c r="G805">
        <v>6</v>
      </c>
      <c r="H805" t="s">
        <v>68</v>
      </c>
      <c r="I805" t="s">
        <v>68</v>
      </c>
      <c r="J805" t="s">
        <v>4</v>
      </c>
      <c r="K805">
        <v>0.42915084958076399</v>
      </c>
      <c r="L805" s="26">
        <v>8.2868587737457901E-6</v>
      </c>
      <c r="M805">
        <v>-3.5997753735458098E-2</v>
      </c>
      <c r="N805">
        <v>3.5389357966657902</v>
      </c>
    </row>
    <row r="806" spans="1:14">
      <c r="A806" s="1">
        <v>805</v>
      </c>
      <c r="B806" t="s">
        <v>2196</v>
      </c>
      <c r="C806" t="s">
        <v>2197</v>
      </c>
      <c r="D806" t="s">
        <v>2198</v>
      </c>
      <c r="E806" t="s">
        <v>2402</v>
      </c>
      <c r="F806">
        <v>4</v>
      </c>
      <c r="G806">
        <v>3</v>
      </c>
      <c r="H806" t="s">
        <v>8</v>
      </c>
      <c r="I806" t="s">
        <v>8</v>
      </c>
      <c r="J806" t="s">
        <v>180</v>
      </c>
      <c r="K806">
        <v>0.111288137733936</v>
      </c>
      <c r="L806" s="26">
        <v>1.0555630394397299E-6</v>
      </c>
      <c r="M806">
        <v>1.1834017786586701E-2</v>
      </c>
      <c r="N806">
        <v>3.6766817675450798</v>
      </c>
    </row>
    <row r="807" spans="1:14">
      <c r="A807" s="1">
        <v>806</v>
      </c>
      <c r="B807" t="s">
        <v>2199</v>
      </c>
      <c r="C807" t="s">
        <v>2200</v>
      </c>
      <c r="D807" t="s">
        <v>861</v>
      </c>
      <c r="E807" t="s">
        <v>2403</v>
      </c>
      <c r="F807">
        <v>5</v>
      </c>
      <c r="G807">
        <v>4</v>
      </c>
      <c r="H807" t="s">
        <v>8</v>
      </c>
      <c r="I807" t="s">
        <v>8</v>
      </c>
      <c r="J807" t="s">
        <v>180</v>
      </c>
      <c r="K807">
        <v>0.26368051767349199</v>
      </c>
      <c r="L807" s="26">
        <v>4.14192288376414E-6</v>
      </c>
      <c r="M807">
        <v>-9.1730451909484093E-3</v>
      </c>
      <c r="N807">
        <v>3.7280580745937901</v>
      </c>
    </row>
    <row r="808" spans="1:14">
      <c r="A808" s="1">
        <v>807</v>
      </c>
      <c r="B808" t="s">
        <v>2201</v>
      </c>
      <c r="C808" t="s">
        <v>2202</v>
      </c>
      <c r="D808" t="s">
        <v>1304</v>
      </c>
      <c r="E808" t="s">
        <v>2201</v>
      </c>
      <c r="F808">
        <v>7</v>
      </c>
      <c r="G808">
        <v>4</v>
      </c>
      <c r="H808" t="s">
        <v>8</v>
      </c>
      <c r="I808" t="s">
        <v>8</v>
      </c>
      <c r="J808" t="s">
        <v>4</v>
      </c>
      <c r="K808">
        <v>0.55390018224716098</v>
      </c>
      <c r="L808" s="26">
        <v>1.16592202911801E-5</v>
      </c>
      <c r="M808">
        <v>1.1387289185826399E-2</v>
      </c>
      <c r="N808">
        <v>3.45677454175327</v>
      </c>
    </row>
    <row r="809" spans="1:14">
      <c r="A809" s="1">
        <v>808</v>
      </c>
      <c r="B809" t="s">
        <v>2203</v>
      </c>
      <c r="C809" t="s">
        <v>2204</v>
      </c>
      <c r="D809" t="s">
        <v>2205</v>
      </c>
      <c r="E809" t="s">
        <v>2203</v>
      </c>
      <c r="F809">
        <v>4</v>
      </c>
      <c r="G809">
        <v>6</v>
      </c>
      <c r="H809" t="s">
        <v>123</v>
      </c>
      <c r="I809" t="s">
        <v>123</v>
      </c>
      <c r="J809" t="s">
        <v>4</v>
      </c>
      <c r="K809">
        <v>0.94889545440673795</v>
      </c>
      <c r="L809" s="26">
        <v>2.8143280912856099E-5</v>
      </c>
      <c r="M809">
        <v>1.98762262511849E-2</v>
      </c>
      <c r="N809">
        <v>3.2590130363450101</v>
      </c>
    </row>
    <row r="810" spans="1:14">
      <c r="A810" s="1">
        <v>809</v>
      </c>
      <c r="B810" t="s">
        <v>2206</v>
      </c>
      <c r="C810" t="s">
        <v>2207</v>
      </c>
      <c r="D810" t="s">
        <v>407</v>
      </c>
      <c r="E810" t="s">
        <v>2206</v>
      </c>
      <c r="F810">
        <v>7</v>
      </c>
      <c r="G810">
        <v>4</v>
      </c>
      <c r="H810" t="s">
        <v>8</v>
      </c>
      <c r="I810" t="s">
        <v>8</v>
      </c>
      <c r="J810" t="s">
        <v>4</v>
      </c>
      <c r="K810">
        <v>0.974795341491699</v>
      </c>
      <c r="L810" s="26">
        <v>2.96975533585363E-5</v>
      </c>
      <c r="M810">
        <v>-9.2168933276184292E-3</v>
      </c>
      <c r="N810">
        <v>3.40371846873524</v>
      </c>
    </row>
    <row r="811" spans="1:14">
      <c r="A811" s="1">
        <v>810</v>
      </c>
      <c r="B811" t="s">
        <v>2208</v>
      </c>
      <c r="C811" t="s">
        <v>2209</v>
      </c>
      <c r="D811" t="s">
        <v>2210</v>
      </c>
      <c r="E811" t="s">
        <v>2208</v>
      </c>
      <c r="F811">
        <v>4</v>
      </c>
      <c r="G811">
        <v>7</v>
      </c>
      <c r="H811" t="s">
        <v>8</v>
      </c>
      <c r="I811" t="s">
        <v>8</v>
      </c>
      <c r="J811" t="s">
        <v>4</v>
      </c>
      <c r="K811">
        <v>0.98875254392623901</v>
      </c>
      <c r="L811" s="26">
        <v>3.0552005090916297E-5</v>
      </c>
      <c r="M811">
        <v>2.51955654167197E-2</v>
      </c>
      <c r="N811">
        <v>2.2424366041080201</v>
      </c>
    </row>
    <row r="812" spans="1:14">
      <c r="A812" s="1">
        <v>811</v>
      </c>
      <c r="B812" t="s">
        <v>2211</v>
      </c>
      <c r="C812" t="s">
        <v>2212</v>
      </c>
      <c r="D812" t="s">
        <v>2213</v>
      </c>
      <c r="E812" t="s">
        <v>2404</v>
      </c>
      <c r="F812">
        <v>5</v>
      </c>
      <c r="G812">
        <v>7</v>
      </c>
      <c r="H812" t="s">
        <v>8</v>
      </c>
      <c r="I812" t="s">
        <v>8</v>
      </c>
      <c r="J812" t="s">
        <v>180</v>
      </c>
      <c r="K812">
        <v>0.20906537771224901</v>
      </c>
      <c r="L812" s="26">
        <v>2.5120405745385099E-6</v>
      </c>
      <c r="M812">
        <v>8.8309666792198895E-3</v>
      </c>
      <c r="N812">
        <v>3.74577710037059</v>
      </c>
    </row>
    <row r="813" spans="1:14">
      <c r="A813" s="1">
        <v>812</v>
      </c>
      <c r="B813" t="s">
        <v>2214</v>
      </c>
      <c r="C813" t="s">
        <v>2215</v>
      </c>
      <c r="D813" t="s">
        <v>2216</v>
      </c>
      <c r="E813" t="s">
        <v>2405</v>
      </c>
      <c r="F813">
        <v>6</v>
      </c>
      <c r="G813">
        <v>6</v>
      </c>
      <c r="H813" t="s">
        <v>98</v>
      </c>
      <c r="I813" t="s">
        <v>68</v>
      </c>
      <c r="J813" t="s">
        <v>180</v>
      </c>
      <c r="K813">
        <v>0.24291072785854301</v>
      </c>
      <c r="L813" s="26">
        <v>4.5832457688389696E-6</v>
      </c>
      <c r="M813">
        <v>-2.4415764644324101E-2</v>
      </c>
      <c r="N813">
        <v>3.7616439445438199</v>
      </c>
    </row>
    <row r="814" spans="1:14">
      <c r="A814" s="1">
        <v>813</v>
      </c>
      <c r="B814" t="s">
        <v>2217</v>
      </c>
      <c r="C814" t="s">
        <v>2218</v>
      </c>
      <c r="D814" t="s">
        <v>2219</v>
      </c>
      <c r="E814" t="s">
        <v>2217</v>
      </c>
      <c r="F814">
        <v>6</v>
      </c>
      <c r="G814">
        <v>6</v>
      </c>
      <c r="H814" t="s">
        <v>8</v>
      </c>
      <c r="I814" t="s">
        <v>8</v>
      </c>
      <c r="J814" t="s">
        <v>4</v>
      </c>
      <c r="K814">
        <v>0.96813207864761297</v>
      </c>
      <c r="L814" s="26">
        <v>2.9296669520518499E-5</v>
      </c>
      <c r="M814">
        <v>-2.8398899154016201E-2</v>
      </c>
      <c r="N814">
        <v>2.6136251650143998</v>
      </c>
    </row>
    <row r="815" spans="1:14">
      <c r="A815" s="1">
        <v>814</v>
      </c>
      <c r="B815" t="s">
        <v>2220</v>
      </c>
      <c r="C815" t="s">
        <v>2221</v>
      </c>
      <c r="D815" t="s">
        <v>209</v>
      </c>
      <c r="E815" t="s">
        <v>2406</v>
      </c>
      <c r="F815">
        <v>7</v>
      </c>
      <c r="G815">
        <v>4</v>
      </c>
      <c r="H815" t="s">
        <v>22</v>
      </c>
      <c r="I815" t="s">
        <v>22</v>
      </c>
      <c r="J815" t="s">
        <v>180</v>
      </c>
      <c r="K815">
        <v>0.36366945505142201</v>
      </c>
      <c r="L815" s="26">
        <v>5.5996603497717097E-6</v>
      </c>
      <c r="M815">
        <v>-1.2624504509885601E-2</v>
      </c>
      <c r="N815">
        <v>3.7124724520330501</v>
      </c>
    </row>
    <row r="816" spans="1:14">
      <c r="A816" s="1">
        <v>815</v>
      </c>
      <c r="B816" t="s">
        <v>2222</v>
      </c>
      <c r="C816" t="s">
        <v>2223</v>
      </c>
      <c r="D816" t="s">
        <v>531</v>
      </c>
      <c r="E816" t="s">
        <v>2222</v>
      </c>
      <c r="F816">
        <v>4</v>
      </c>
      <c r="G816">
        <v>4</v>
      </c>
      <c r="H816" t="s">
        <v>8</v>
      </c>
      <c r="I816" t="s">
        <v>8</v>
      </c>
      <c r="J816" t="s">
        <v>4</v>
      </c>
      <c r="K816">
        <v>0.158068001270294</v>
      </c>
      <c r="L816" s="26">
        <v>1.05848036808191E-6</v>
      </c>
      <c r="M816">
        <v>3.9397236266323903E-2</v>
      </c>
      <c r="N816">
        <v>2.4496359143353299</v>
      </c>
    </row>
    <row r="817" spans="1:14">
      <c r="A817" s="1">
        <v>816</v>
      </c>
      <c r="B817" t="s">
        <v>2224</v>
      </c>
      <c r="C817" t="s">
        <v>2225</v>
      </c>
      <c r="D817" t="s">
        <v>1188</v>
      </c>
      <c r="E817" t="s">
        <v>2407</v>
      </c>
      <c r="F817">
        <v>4</v>
      </c>
      <c r="G817">
        <v>4</v>
      </c>
      <c r="H817" t="s">
        <v>3</v>
      </c>
      <c r="I817" t="s">
        <v>8</v>
      </c>
      <c r="J817" t="s">
        <v>180</v>
      </c>
      <c r="K817">
        <v>0.11568672209978099</v>
      </c>
      <c r="L817" s="26">
        <v>1.0658846539781E-6</v>
      </c>
      <c r="M817">
        <v>-3.00552610540627E-4</v>
      </c>
      <c r="N817">
        <v>3.37319724495502</v>
      </c>
    </row>
    <row r="818" spans="1:14">
      <c r="A818" s="1">
        <v>817</v>
      </c>
      <c r="B818" t="s">
        <v>2226</v>
      </c>
      <c r="C818" t="s">
        <v>2227</v>
      </c>
      <c r="D818" t="s">
        <v>740</v>
      </c>
      <c r="E818" t="s">
        <v>2226</v>
      </c>
      <c r="F818">
        <v>4</v>
      </c>
      <c r="G818">
        <v>4</v>
      </c>
      <c r="H818" t="s">
        <v>8</v>
      </c>
      <c r="I818" t="s">
        <v>8</v>
      </c>
      <c r="J818" t="s">
        <v>4</v>
      </c>
      <c r="K818">
        <v>0.53958737850189198</v>
      </c>
      <c r="L818" s="26">
        <v>9.5946258831005093E-6</v>
      </c>
      <c r="M818">
        <v>-1.6127434586806499E-2</v>
      </c>
      <c r="N818">
        <v>3.3633222553824398</v>
      </c>
    </row>
    <row r="819" spans="1:14">
      <c r="A819" s="1">
        <v>818</v>
      </c>
      <c r="B819" t="s">
        <v>2228</v>
      </c>
      <c r="C819" t="s">
        <v>2229</v>
      </c>
      <c r="D819" t="s">
        <v>2230</v>
      </c>
      <c r="E819" t="s">
        <v>2231</v>
      </c>
      <c r="F819">
        <v>6</v>
      </c>
      <c r="G819">
        <v>8</v>
      </c>
      <c r="H819" t="s">
        <v>8</v>
      </c>
      <c r="I819" t="s">
        <v>8</v>
      </c>
      <c r="J819" t="s">
        <v>180</v>
      </c>
      <c r="K819">
        <v>0.16919729113578699</v>
      </c>
      <c r="L819" s="26">
        <v>9.9832537955665109E-7</v>
      </c>
      <c r="M819">
        <v>2.40715686623129E-2</v>
      </c>
      <c r="N819">
        <v>2.52729110468771</v>
      </c>
    </row>
    <row r="820" spans="1:14">
      <c r="A820" s="1">
        <v>819</v>
      </c>
      <c r="B820" t="s">
        <v>2232</v>
      </c>
      <c r="C820" t="s">
        <v>2233</v>
      </c>
      <c r="D820" t="s">
        <v>982</v>
      </c>
      <c r="E820" t="s">
        <v>2232</v>
      </c>
      <c r="F820">
        <v>4</v>
      </c>
      <c r="G820">
        <v>5</v>
      </c>
      <c r="H820" t="s">
        <v>8</v>
      </c>
      <c r="I820" t="s">
        <v>8</v>
      </c>
      <c r="J820" t="s">
        <v>4</v>
      </c>
      <c r="K820">
        <v>0.99134892225265503</v>
      </c>
      <c r="L820" s="26">
        <v>3.0711706100894298E-5</v>
      </c>
      <c r="M820">
        <v>1.5372254392099501E-2</v>
      </c>
      <c r="N820">
        <v>2.7424047633219</v>
      </c>
    </row>
    <row r="821" spans="1:14">
      <c r="A821" s="1">
        <v>820</v>
      </c>
      <c r="B821" t="s">
        <v>2234</v>
      </c>
      <c r="C821" t="s">
        <v>2235</v>
      </c>
      <c r="D821" t="s">
        <v>2236</v>
      </c>
      <c r="E821" t="s">
        <v>2234</v>
      </c>
      <c r="F821">
        <v>7</v>
      </c>
      <c r="G821">
        <v>6</v>
      </c>
      <c r="H821" t="s">
        <v>8</v>
      </c>
      <c r="I821" t="s">
        <v>8</v>
      </c>
      <c r="J821" t="s">
        <v>4</v>
      </c>
      <c r="K821">
        <v>0.99939453601837103</v>
      </c>
      <c r="L821" s="26">
        <v>3.1212170356626401E-5</v>
      </c>
      <c r="M821">
        <v>8.1715581608960905E-3</v>
      </c>
      <c r="N821">
        <v>2.7697564902032101</v>
      </c>
    </row>
    <row r="822" spans="1:14">
      <c r="A822" s="1">
        <v>821</v>
      </c>
      <c r="B822" t="s">
        <v>2237</v>
      </c>
      <c r="C822" t="s">
        <v>2238</v>
      </c>
      <c r="D822" t="s">
        <v>2239</v>
      </c>
      <c r="E822" t="s">
        <v>2237</v>
      </c>
      <c r="F822">
        <v>6</v>
      </c>
      <c r="G822">
        <v>4</v>
      </c>
      <c r="H822" t="s">
        <v>68</v>
      </c>
      <c r="I822" t="s">
        <v>68</v>
      </c>
      <c r="J822" t="s">
        <v>4</v>
      </c>
      <c r="K822">
        <v>0.78439813852310103</v>
      </c>
      <c r="L822" s="26">
        <v>2.03066314939173E-5</v>
      </c>
      <c r="M822">
        <v>1.50124197118231E-2</v>
      </c>
      <c r="N822">
        <v>3.4780031012726802</v>
      </c>
    </row>
    <row r="823" spans="1:14">
      <c r="A823" s="1">
        <v>822</v>
      </c>
      <c r="B823" t="s">
        <v>2240</v>
      </c>
      <c r="C823" t="s">
        <v>2241</v>
      </c>
      <c r="D823" t="s">
        <v>2242</v>
      </c>
      <c r="E823" t="s">
        <v>2240</v>
      </c>
      <c r="F823">
        <v>7</v>
      </c>
      <c r="G823">
        <v>6</v>
      </c>
      <c r="H823" t="s">
        <v>8</v>
      </c>
      <c r="I823" t="s">
        <v>8</v>
      </c>
      <c r="J823" t="s">
        <v>4</v>
      </c>
      <c r="K823">
        <v>0.91336566209793002</v>
      </c>
      <c r="L823" s="26">
        <v>2.60977312784634E-5</v>
      </c>
      <c r="M823">
        <v>1.2220423873372899E-2</v>
      </c>
      <c r="N823">
        <v>3.6745010155398701</v>
      </c>
    </row>
    <row r="824" spans="1:14">
      <c r="A824" s="1">
        <v>823</v>
      </c>
      <c r="B824" t="s">
        <v>2243</v>
      </c>
      <c r="C824" t="s">
        <v>2244</v>
      </c>
      <c r="D824" t="s">
        <v>954</v>
      </c>
      <c r="E824" t="s">
        <v>2243</v>
      </c>
      <c r="F824">
        <v>4</v>
      </c>
      <c r="G824">
        <v>3</v>
      </c>
      <c r="H824" t="s">
        <v>8</v>
      </c>
      <c r="I824" t="s">
        <v>8</v>
      </c>
      <c r="J824" t="s">
        <v>4</v>
      </c>
      <c r="K824">
        <v>0.94352912902831998</v>
      </c>
      <c r="L824" s="26">
        <v>2.7823450393859101E-5</v>
      </c>
      <c r="M824">
        <v>-2.3898066428273499E-2</v>
      </c>
      <c r="N824">
        <v>3.5703650501879398</v>
      </c>
    </row>
    <row r="825" spans="1:14">
      <c r="A825" s="1">
        <v>824</v>
      </c>
      <c r="B825" t="s">
        <v>2245</v>
      </c>
      <c r="C825" t="s">
        <v>2246</v>
      </c>
      <c r="D825" t="s">
        <v>1659</v>
      </c>
      <c r="E825" t="s">
        <v>2245</v>
      </c>
      <c r="F825">
        <v>5</v>
      </c>
      <c r="G825">
        <v>3</v>
      </c>
      <c r="H825" t="s">
        <v>98</v>
      </c>
      <c r="I825" t="s">
        <v>98</v>
      </c>
      <c r="J825" t="s">
        <v>4</v>
      </c>
      <c r="K825">
        <v>0.71728259325027399</v>
      </c>
      <c r="L825" s="26">
        <v>1.6362311351164201E-5</v>
      </c>
      <c r="M825">
        <v>1.14454548431395E-2</v>
      </c>
      <c r="N825">
        <v>3.5085207841715</v>
      </c>
    </row>
    <row r="826" spans="1:14">
      <c r="A826" s="1">
        <v>825</v>
      </c>
      <c r="B826" t="s">
        <v>2247</v>
      </c>
      <c r="C826" t="s">
        <v>2248</v>
      </c>
      <c r="D826" t="s">
        <v>2249</v>
      </c>
      <c r="E826" t="s">
        <v>2247</v>
      </c>
      <c r="F826">
        <v>5</v>
      </c>
      <c r="G826">
        <v>4</v>
      </c>
      <c r="H826" t="s">
        <v>8</v>
      </c>
      <c r="I826" t="s">
        <v>8</v>
      </c>
      <c r="J826" t="s">
        <v>4</v>
      </c>
      <c r="K826">
        <v>0.48479714989662098</v>
      </c>
      <c r="L826" s="26">
        <v>7.6322931979988208E-6</v>
      </c>
      <c r="M826">
        <v>1.4202598371475901E-2</v>
      </c>
      <c r="N826">
        <v>2.7361290881939802</v>
      </c>
    </row>
    <row r="827" spans="1:14">
      <c r="A827" s="1">
        <v>826</v>
      </c>
      <c r="B827" t="s">
        <v>2250</v>
      </c>
      <c r="C827" t="s">
        <v>2251</v>
      </c>
      <c r="D827" t="s">
        <v>2252</v>
      </c>
      <c r="E827" t="s">
        <v>2408</v>
      </c>
      <c r="F827">
        <v>4</v>
      </c>
      <c r="G827">
        <v>7</v>
      </c>
      <c r="H827" t="s">
        <v>8</v>
      </c>
      <c r="I827" t="s">
        <v>8</v>
      </c>
      <c r="J827" t="s">
        <v>180</v>
      </c>
      <c r="K827">
        <v>0.397606492042541</v>
      </c>
      <c r="L827" s="26">
        <v>5.2907311355501403E-6</v>
      </c>
      <c r="M827">
        <v>9.7412111066716902E-3</v>
      </c>
      <c r="N827">
        <v>4.0153546192133698</v>
      </c>
    </row>
    <row r="828" spans="1:14">
      <c r="A828" s="1">
        <v>827</v>
      </c>
      <c r="B828" t="s">
        <v>2253</v>
      </c>
      <c r="C828" t="s">
        <v>2254</v>
      </c>
      <c r="D828" t="s">
        <v>2255</v>
      </c>
      <c r="E828" t="s">
        <v>2253</v>
      </c>
      <c r="F828">
        <v>4</v>
      </c>
      <c r="G828">
        <v>6</v>
      </c>
      <c r="H828" t="s">
        <v>8</v>
      </c>
      <c r="I828" t="s">
        <v>8</v>
      </c>
      <c r="J828" t="s">
        <v>4</v>
      </c>
      <c r="K828">
        <v>0.70995748043060303</v>
      </c>
      <c r="L828" s="26">
        <v>1.5801601350190899E-5</v>
      </c>
      <c r="M828">
        <v>1.7672032031349202E-2</v>
      </c>
      <c r="N828">
        <v>3.5399550085956402</v>
      </c>
    </row>
    <row r="829" spans="1:14">
      <c r="A829" s="1">
        <v>828</v>
      </c>
      <c r="B829" t="s">
        <v>2256</v>
      </c>
      <c r="C829" t="s">
        <v>2257</v>
      </c>
      <c r="D829" t="s">
        <v>2258</v>
      </c>
      <c r="E829" t="s">
        <v>2256</v>
      </c>
      <c r="F829">
        <v>7</v>
      </c>
      <c r="G829">
        <v>2</v>
      </c>
      <c r="H829" t="s">
        <v>44</v>
      </c>
      <c r="I829" t="s">
        <v>44</v>
      </c>
      <c r="J829" t="s">
        <v>4</v>
      </c>
      <c r="K829">
        <v>0.852220058441162</v>
      </c>
      <c r="L829" s="26">
        <v>2.27642930221027E-5</v>
      </c>
      <c r="M829">
        <v>-1.05928324281769E-2</v>
      </c>
      <c r="N829">
        <v>3.7297543334530801</v>
      </c>
    </row>
    <row r="830" spans="1:14">
      <c r="A830" s="1">
        <v>829</v>
      </c>
      <c r="B830" t="s">
        <v>2259</v>
      </c>
      <c r="C830" t="s">
        <v>2260</v>
      </c>
      <c r="D830" t="s">
        <v>2261</v>
      </c>
      <c r="E830" t="s">
        <v>2259</v>
      </c>
      <c r="F830">
        <v>7</v>
      </c>
      <c r="G830">
        <v>4</v>
      </c>
      <c r="H830" t="s">
        <v>8</v>
      </c>
      <c r="I830" t="s">
        <v>8</v>
      </c>
      <c r="J830" t="s">
        <v>4</v>
      </c>
      <c r="K830">
        <v>0.88295865058898904</v>
      </c>
      <c r="L830" s="26">
        <v>2.4380291169880199E-5</v>
      </c>
      <c r="M830">
        <v>-1.5933657206772901E-2</v>
      </c>
      <c r="N830">
        <v>3.5267669088137601</v>
      </c>
    </row>
    <row r="831" spans="1:14">
      <c r="A831" s="1">
        <v>830</v>
      </c>
      <c r="B831" t="s">
        <v>2262</v>
      </c>
      <c r="C831" t="s">
        <v>2263</v>
      </c>
      <c r="D831" t="s">
        <v>2264</v>
      </c>
      <c r="E831" t="s">
        <v>2262</v>
      </c>
      <c r="F831">
        <v>4</v>
      </c>
      <c r="G831">
        <v>6</v>
      </c>
      <c r="H831" t="s">
        <v>8</v>
      </c>
      <c r="I831" t="s">
        <v>8</v>
      </c>
      <c r="J831" t="s">
        <v>4</v>
      </c>
      <c r="K831">
        <v>0.98627972602844205</v>
      </c>
      <c r="L831" s="26">
        <v>3.03987743591385E-5</v>
      </c>
      <c r="M831">
        <v>7.7308756949676597E-3</v>
      </c>
      <c r="N831">
        <v>2.63412614148121</v>
      </c>
    </row>
    <row r="832" spans="1:14">
      <c r="A832" s="1">
        <v>831</v>
      </c>
      <c r="B832" t="s">
        <v>2265</v>
      </c>
      <c r="C832" t="s">
        <v>2266</v>
      </c>
      <c r="D832" t="s">
        <v>500</v>
      </c>
      <c r="E832" t="s">
        <v>2409</v>
      </c>
      <c r="F832">
        <v>4</v>
      </c>
      <c r="G832">
        <v>4</v>
      </c>
      <c r="H832" t="s">
        <v>8</v>
      </c>
      <c r="I832" t="s">
        <v>8</v>
      </c>
      <c r="J832" t="s">
        <v>180</v>
      </c>
      <c r="K832">
        <v>0.177438333630561</v>
      </c>
      <c r="L832" s="26">
        <v>1.6130171662921E-6</v>
      </c>
      <c r="M832">
        <v>-2.2210593624910398E-2</v>
      </c>
      <c r="N832">
        <v>3.4298015564028601</v>
      </c>
    </row>
    <row r="833" spans="1:14">
      <c r="A833" s="1">
        <v>832</v>
      </c>
      <c r="B833" t="s">
        <v>2267</v>
      </c>
      <c r="C833" t="s">
        <v>2268</v>
      </c>
      <c r="D833" t="s">
        <v>2269</v>
      </c>
      <c r="E833" t="s">
        <v>2267</v>
      </c>
      <c r="F833">
        <v>5</v>
      </c>
      <c r="G833">
        <v>5</v>
      </c>
      <c r="H833" t="s">
        <v>8</v>
      </c>
      <c r="I833" t="s">
        <v>8</v>
      </c>
      <c r="J833" t="s">
        <v>4</v>
      </c>
      <c r="K833">
        <v>0.995017349720001</v>
      </c>
      <c r="L833" s="26">
        <v>3.0939762857121998E-5</v>
      </c>
      <c r="M833">
        <v>4.6305221575273899E-2</v>
      </c>
      <c r="N833">
        <v>2.98495677325025</v>
      </c>
    </row>
    <row r="834" spans="1:14">
      <c r="A834" s="1">
        <v>833</v>
      </c>
      <c r="B834" t="s">
        <v>2270</v>
      </c>
      <c r="C834" t="s">
        <v>2271</v>
      </c>
      <c r="D834" t="s">
        <v>1188</v>
      </c>
      <c r="E834" t="s">
        <v>2270</v>
      </c>
      <c r="F834">
        <v>7</v>
      </c>
      <c r="G834">
        <v>4</v>
      </c>
      <c r="H834" t="s">
        <v>3</v>
      </c>
      <c r="I834" t="s">
        <v>3</v>
      </c>
      <c r="J834" t="s">
        <v>4</v>
      </c>
      <c r="K834">
        <v>0.219232156872749</v>
      </c>
      <c r="L834" s="26">
        <v>1.7244515838818199E-6</v>
      </c>
      <c r="M834">
        <v>2.1100811394091999E-2</v>
      </c>
      <c r="N834">
        <v>3.6947414818414801</v>
      </c>
    </row>
    <row r="835" spans="1:14">
      <c r="A835" s="1">
        <v>834</v>
      </c>
      <c r="B835" t="s">
        <v>2272</v>
      </c>
      <c r="C835" t="s">
        <v>2273</v>
      </c>
      <c r="D835" t="s">
        <v>2274</v>
      </c>
      <c r="E835" t="s">
        <v>2275</v>
      </c>
      <c r="F835">
        <v>5</v>
      </c>
      <c r="G835">
        <v>7</v>
      </c>
      <c r="H835" t="s">
        <v>8</v>
      </c>
      <c r="I835" t="s">
        <v>8</v>
      </c>
      <c r="J835" t="s">
        <v>180</v>
      </c>
      <c r="K835">
        <v>0.18998347222805001</v>
      </c>
      <c r="L835" s="26">
        <v>1.61885296001093E-6</v>
      </c>
      <c r="M835">
        <v>1.606850729792E-2</v>
      </c>
      <c r="N835">
        <v>3.2965291853312801</v>
      </c>
    </row>
    <row r="836" spans="1:14">
      <c r="A836" s="1">
        <v>835</v>
      </c>
      <c r="B836" t="s">
        <v>2276</v>
      </c>
      <c r="C836" t="s">
        <v>2277</v>
      </c>
      <c r="D836" t="s">
        <v>2278</v>
      </c>
      <c r="E836" t="s">
        <v>2276</v>
      </c>
      <c r="F836">
        <v>5</v>
      </c>
      <c r="G836">
        <v>6</v>
      </c>
      <c r="H836" t="s">
        <v>8</v>
      </c>
      <c r="I836" t="s">
        <v>8</v>
      </c>
      <c r="J836" t="s">
        <v>4</v>
      </c>
      <c r="K836">
        <v>0.99785357713699296</v>
      </c>
      <c r="L836" s="26">
        <v>3.1115999983713398E-5</v>
      </c>
      <c r="M836">
        <v>-1.78403996372473E-2</v>
      </c>
      <c r="N836">
        <v>3.8440849141612499</v>
      </c>
    </row>
    <row r="837" spans="1:14">
      <c r="A837" s="1">
        <v>836</v>
      </c>
      <c r="B837" t="s">
        <v>2279</v>
      </c>
      <c r="C837" t="s">
        <v>2280</v>
      </c>
      <c r="D837" t="s">
        <v>61</v>
      </c>
      <c r="E837" t="s">
        <v>2281</v>
      </c>
      <c r="F837">
        <v>4</v>
      </c>
      <c r="G837">
        <v>2</v>
      </c>
      <c r="H837" t="s">
        <v>22</v>
      </c>
      <c r="I837" t="s">
        <v>8</v>
      </c>
      <c r="J837" t="s">
        <v>180</v>
      </c>
      <c r="K837">
        <v>0.97831624746322599</v>
      </c>
      <c r="L837" s="26">
        <v>2.99127437541246E-5</v>
      </c>
      <c r="M837">
        <v>1.9782348575233699E-2</v>
      </c>
      <c r="N837">
        <v>2.66727654468307</v>
      </c>
    </row>
    <row r="838" spans="1:14">
      <c r="A838" s="1">
        <v>837</v>
      </c>
      <c r="B838" t="s">
        <v>2282</v>
      </c>
      <c r="C838" t="s">
        <v>2283</v>
      </c>
      <c r="D838" t="s">
        <v>1797</v>
      </c>
      <c r="E838" t="s">
        <v>2282</v>
      </c>
      <c r="F838">
        <v>4</v>
      </c>
      <c r="G838">
        <v>8</v>
      </c>
      <c r="H838" t="s">
        <v>8</v>
      </c>
      <c r="I838" t="s">
        <v>8</v>
      </c>
      <c r="J838" t="s">
        <v>4</v>
      </c>
      <c r="K838">
        <v>0.79920494556427002</v>
      </c>
      <c r="L838" s="26">
        <v>2.00113570280952E-5</v>
      </c>
      <c r="M838">
        <v>1.43157172264665E-2</v>
      </c>
      <c r="N838">
        <v>3.0688727494443402</v>
      </c>
    </row>
    <row r="839" spans="1:14">
      <c r="A839" s="1">
        <v>838</v>
      </c>
      <c r="B839" t="s">
        <v>2284</v>
      </c>
      <c r="C839" t="s">
        <v>2285</v>
      </c>
      <c r="D839" t="s">
        <v>942</v>
      </c>
      <c r="E839" t="s">
        <v>2284</v>
      </c>
      <c r="F839">
        <v>5</v>
      </c>
      <c r="G839">
        <v>5</v>
      </c>
      <c r="H839" t="s">
        <v>8</v>
      </c>
      <c r="I839" t="s">
        <v>8</v>
      </c>
      <c r="J839" t="s">
        <v>4</v>
      </c>
      <c r="K839">
        <v>0.91089206933975198</v>
      </c>
      <c r="L839" s="26">
        <v>2.59349166694623E-5</v>
      </c>
      <c r="M839">
        <v>2.0933588938078101E-2</v>
      </c>
      <c r="N839">
        <v>3.44732680151334</v>
      </c>
    </row>
    <row r="840" spans="1:14">
      <c r="A840" s="1">
        <v>839</v>
      </c>
      <c r="B840" t="s">
        <v>2286</v>
      </c>
      <c r="C840" t="s">
        <v>2287</v>
      </c>
      <c r="D840" t="s">
        <v>1033</v>
      </c>
      <c r="E840" t="s">
        <v>2286</v>
      </c>
      <c r="F840">
        <v>4</v>
      </c>
      <c r="G840">
        <v>7</v>
      </c>
      <c r="H840" t="s">
        <v>8</v>
      </c>
      <c r="I840" t="s">
        <v>8</v>
      </c>
      <c r="J840" t="s">
        <v>4</v>
      </c>
      <c r="K840">
        <v>0.99593520164489702</v>
      </c>
      <c r="L840" s="26">
        <v>3.0996486823479897E-5</v>
      </c>
      <c r="M840">
        <v>-1.2919647941479401E-2</v>
      </c>
      <c r="N840">
        <v>3.5284677745908</v>
      </c>
    </row>
    <row r="841" spans="1:14">
      <c r="A841" s="1">
        <v>840</v>
      </c>
      <c r="B841" t="s">
        <v>2288</v>
      </c>
      <c r="C841" t="s">
        <v>2289</v>
      </c>
      <c r="D841" t="s">
        <v>2290</v>
      </c>
      <c r="E841" t="s">
        <v>2288</v>
      </c>
      <c r="F841">
        <v>6</v>
      </c>
      <c r="G841">
        <v>10</v>
      </c>
      <c r="H841" t="s">
        <v>8</v>
      </c>
      <c r="I841" t="s">
        <v>8</v>
      </c>
      <c r="J841" t="s">
        <v>4</v>
      </c>
      <c r="K841">
        <v>0.99702507257461503</v>
      </c>
      <c r="L841" s="26">
        <v>3.1064397282327803E-5</v>
      </c>
      <c r="M841">
        <v>2.2222147775025201E-2</v>
      </c>
      <c r="N841">
        <v>2.54251347672237</v>
      </c>
    </row>
    <row r="842" spans="1:14">
      <c r="A842" s="1">
        <v>841</v>
      </c>
      <c r="B842" t="s">
        <v>2291</v>
      </c>
      <c r="C842" t="s">
        <v>2292</v>
      </c>
      <c r="D842" t="s">
        <v>2293</v>
      </c>
      <c r="E842" t="s">
        <v>2294</v>
      </c>
      <c r="F842">
        <v>5</v>
      </c>
      <c r="G842">
        <v>5</v>
      </c>
      <c r="H842" t="s">
        <v>8</v>
      </c>
      <c r="I842" t="s">
        <v>68</v>
      </c>
      <c r="J842" t="s">
        <v>180</v>
      </c>
      <c r="K842">
        <v>9.6357233822345706E-2</v>
      </c>
      <c r="L842" s="26">
        <v>4.5433095637157101E-7</v>
      </c>
      <c r="M842">
        <v>4.5216414802883499E-2</v>
      </c>
      <c r="N842">
        <v>3.4994719503255798</v>
      </c>
    </row>
    <row r="843" spans="1:14">
      <c r="A843" s="1">
        <v>842</v>
      </c>
      <c r="B843" t="s">
        <v>2295</v>
      </c>
      <c r="C843" t="s">
        <v>2296</v>
      </c>
      <c r="D843" t="s">
        <v>1373</v>
      </c>
      <c r="E843" t="s">
        <v>2295</v>
      </c>
      <c r="F843">
        <v>5</v>
      </c>
      <c r="G843">
        <v>5</v>
      </c>
      <c r="H843" t="s">
        <v>8</v>
      </c>
      <c r="I843" t="s">
        <v>8</v>
      </c>
      <c r="J843" t="s">
        <v>4</v>
      </c>
      <c r="K843">
        <v>0.21242000162601399</v>
      </c>
      <c r="L843" s="26">
        <v>1.5997167440704099E-6</v>
      </c>
      <c r="M843">
        <v>4.3807681565929998E-2</v>
      </c>
      <c r="N843">
        <v>3.0105587693843501</v>
      </c>
    </row>
    <row r="844" spans="1:14">
      <c r="A844" s="1">
        <v>843</v>
      </c>
      <c r="B844" t="s">
        <v>2297</v>
      </c>
      <c r="C844" t="s">
        <v>2298</v>
      </c>
      <c r="D844" t="s">
        <v>1999</v>
      </c>
      <c r="E844" t="s">
        <v>2297</v>
      </c>
      <c r="F844">
        <v>4</v>
      </c>
      <c r="G844">
        <v>7</v>
      </c>
      <c r="H844" t="s">
        <v>8</v>
      </c>
      <c r="I844" t="s">
        <v>8</v>
      </c>
      <c r="J844" t="s">
        <v>4</v>
      </c>
      <c r="K844">
        <v>0.95936542749404896</v>
      </c>
      <c r="L844" s="26">
        <v>2.8811295772462599E-5</v>
      </c>
      <c r="M844">
        <v>-1.19191754028946E-2</v>
      </c>
      <c r="N844">
        <v>3.3274340907573898</v>
      </c>
    </row>
    <row r="845" spans="1:14">
      <c r="A845" s="1">
        <v>844</v>
      </c>
      <c r="B845" t="s">
        <v>2299</v>
      </c>
      <c r="C845" t="s">
        <v>2300</v>
      </c>
      <c r="D845" t="s">
        <v>2301</v>
      </c>
      <c r="E845" t="s">
        <v>2410</v>
      </c>
      <c r="F845">
        <v>6</v>
      </c>
      <c r="G845">
        <v>4</v>
      </c>
      <c r="H845" t="s">
        <v>3</v>
      </c>
      <c r="I845" t="s">
        <v>8</v>
      </c>
      <c r="J845" t="s">
        <v>180</v>
      </c>
      <c r="K845">
        <v>0.40594673156738198</v>
      </c>
      <c r="L845" s="26">
        <v>6.32013759708173E-6</v>
      </c>
      <c r="M845">
        <v>-6.4974825426062904E-3</v>
      </c>
      <c r="N845">
        <v>3.8582100078624499</v>
      </c>
    </row>
    <row r="846" spans="1:14">
      <c r="A846" s="1">
        <v>845</v>
      </c>
      <c r="B846" t="s">
        <v>2302</v>
      </c>
      <c r="C846" t="s">
        <v>2303</v>
      </c>
      <c r="D846" t="s">
        <v>2210</v>
      </c>
      <c r="E846" t="s">
        <v>2411</v>
      </c>
      <c r="F846">
        <v>8</v>
      </c>
      <c r="G846">
        <v>7</v>
      </c>
      <c r="H846" t="s">
        <v>8</v>
      </c>
      <c r="I846" t="s">
        <v>8</v>
      </c>
      <c r="J846" t="s">
        <v>180</v>
      </c>
      <c r="K846">
        <v>0.30564203858375499</v>
      </c>
      <c r="L846" s="26">
        <v>4.3735407379976697E-6</v>
      </c>
      <c r="M846">
        <v>-1.10842891259821E-2</v>
      </c>
      <c r="N846">
        <v>3.7399905908684801</v>
      </c>
    </row>
    <row r="847" spans="1:14">
      <c r="A847" s="1">
        <v>846</v>
      </c>
      <c r="B847" t="s">
        <v>2304</v>
      </c>
      <c r="C847" t="s">
        <v>2305</v>
      </c>
      <c r="D847" t="s">
        <v>2306</v>
      </c>
      <c r="E847" t="s">
        <v>2412</v>
      </c>
      <c r="F847">
        <v>4</v>
      </c>
      <c r="G847">
        <v>4</v>
      </c>
      <c r="H847" t="s">
        <v>8</v>
      </c>
      <c r="I847" t="s">
        <v>22</v>
      </c>
      <c r="J847" t="s">
        <v>180</v>
      </c>
      <c r="K847">
        <v>4.7433603554964003E-2</v>
      </c>
      <c r="L847" s="26">
        <v>2.7679705812592602E-7</v>
      </c>
      <c r="M847">
        <v>4.5811384494157802E-2</v>
      </c>
      <c r="N847">
        <v>2.6891088691587699</v>
      </c>
    </row>
    <row r="848" spans="1:14">
      <c r="A848" s="1">
        <v>847</v>
      </c>
      <c r="B848" t="s">
        <v>2307</v>
      </c>
      <c r="C848" t="s">
        <v>2308</v>
      </c>
      <c r="D848" t="s">
        <v>2309</v>
      </c>
      <c r="E848" t="s">
        <v>2307</v>
      </c>
      <c r="F848">
        <v>4</v>
      </c>
      <c r="G848">
        <v>4</v>
      </c>
      <c r="H848" t="s">
        <v>8</v>
      </c>
      <c r="I848" t="s">
        <v>8</v>
      </c>
      <c r="J848" t="s">
        <v>4</v>
      </c>
      <c r="K848">
        <v>0.99617445468902499</v>
      </c>
      <c r="L848" s="26">
        <v>3.10115404908184E-5</v>
      </c>
      <c r="M848">
        <v>-9.6443901315836893E-3</v>
      </c>
      <c r="N848">
        <v>2.2772698260270299</v>
      </c>
    </row>
    <row r="849" spans="1:14">
      <c r="A849" s="1">
        <v>848</v>
      </c>
      <c r="B849" t="s">
        <v>2310</v>
      </c>
      <c r="C849" t="s">
        <v>2311</v>
      </c>
      <c r="D849" t="s">
        <v>2312</v>
      </c>
      <c r="E849" t="s">
        <v>2310</v>
      </c>
      <c r="F849">
        <v>4</v>
      </c>
      <c r="G849">
        <v>4</v>
      </c>
      <c r="H849" t="s">
        <v>8</v>
      </c>
      <c r="I849" t="s">
        <v>8</v>
      </c>
      <c r="J849" t="s">
        <v>4</v>
      </c>
      <c r="K849">
        <v>0.35485395789146401</v>
      </c>
      <c r="L849" s="26">
        <v>4.4894465343965802E-6</v>
      </c>
      <c r="M849">
        <v>2.2865278991478201E-2</v>
      </c>
      <c r="N849">
        <v>3.0762027573601798</v>
      </c>
    </row>
    <row r="850" spans="1:14">
      <c r="A850" s="1">
        <v>849</v>
      </c>
      <c r="B850" t="s">
        <v>2313</v>
      </c>
      <c r="C850" t="s">
        <v>2314</v>
      </c>
      <c r="D850" t="s">
        <v>534</v>
      </c>
      <c r="E850" t="s">
        <v>2315</v>
      </c>
      <c r="F850">
        <v>5</v>
      </c>
      <c r="G850">
        <v>4</v>
      </c>
      <c r="H850" t="s">
        <v>8</v>
      </c>
      <c r="I850" t="s">
        <v>44</v>
      </c>
      <c r="J850" t="s">
        <v>180</v>
      </c>
      <c r="K850">
        <v>8.6933463811874306E-2</v>
      </c>
      <c r="L850" s="26">
        <v>9.3469423353955402E-7</v>
      </c>
      <c r="M850">
        <v>-1.8609304127473001E-2</v>
      </c>
      <c r="N850">
        <v>3.3174490794481901</v>
      </c>
    </row>
    <row r="851" spans="1:14">
      <c r="A851" s="1">
        <v>850</v>
      </c>
      <c r="B851" t="s">
        <v>2316</v>
      </c>
      <c r="C851" t="s">
        <v>2317</v>
      </c>
      <c r="D851" t="s">
        <v>2318</v>
      </c>
      <c r="E851" t="s">
        <v>2413</v>
      </c>
      <c r="F851">
        <v>5</v>
      </c>
      <c r="G851">
        <v>3</v>
      </c>
      <c r="H851" t="s">
        <v>98</v>
      </c>
      <c r="I851" t="s">
        <v>8</v>
      </c>
      <c r="J851" t="s">
        <v>180</v>
      </c>
      <c r="K851">
        <v>0.292866200208663</v>
      </c>
      <c r="L851" s="26">
        <v>3.9557010508916998E-6</v>
      </c>
      <c r="M851">
        <v>-5.8210913186229596E-4</v>
      </c>
      <c r="N851">
        <v>3.5807831517463899</v>
      </c>
    </row>
    <row r="852" spans="1:14">
      <c r="A852" s="1">
        <v>851</v>
      </c>
      <c r="B852" t="s">
        <v>2319</v>
      </c>
      <c r="C852" t="s">
        <v>2320</v>
      </c>
      <c r="D852" t="s">
        <v>425</v>
      </c>
      <c r="E852" t="s">
        <v>2319</v>
      </c>
      <c r="F852">
        <v>4</v>
      </c>
      <c r="G852">
        <v>4</v>
      </c>
      <c r="H852" t="s">
        <v>8</v>
      </c>
      <c r="I852" t="s">
        <v>8</v>
      </c>
      <c r="J852" t="s">
        <v>4</v>
      </c>
      <c r="K852">
        <v>0.31423971056938099</v>
      </c>
      <c r="L852" s="26">
        <v>4.3619086984606899E-6</v>
      </c>
      <c r="M852">
        <v>-3.6271601983308699E-3</v>
      </c>
      <c r="N852">
        <v>3.2778330319426798</v>
      </c>
    </row>
    <row r="853" spans="1:14">
      <c r="A853" s="1">
        <v>852</v>
      </c>
      <c r="B853" t="s">
        <v>2321</v>
      </c>
      <c r="C853" t="s">
        <v>2322</v>
      </c>
      <c r="D853" t="s">
        <v>2323</v>
      </c>
      <c r="E853" t="s">
        <v>2321</v>
      </c>
      <c r="F853">
        <v>5</v>
      </c>
      <c r="G853">
        <v>8</v>
      </c>
      <c r="H853" t="s">
        <v>8</v>
      </c>
      <c r="I853" t="s">
        <v>8</v>
      </c>
      <c r="J853" t="s">
        <v>4</v>
      </c>
      <c r="K853">
        <v>0.84026849269866899</v>
      </c>
      <c r="L853" s="26">
        <v>2.20737765758779E-5</v>
      </c>
      <c r="M853">
        <v>9.0312755127754905E-3</v>
      </c>
      <c r="N853">
        <v>3.4203543264446301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04AB-8732-434F-81AD-8CAB69B8BD50}">
  <dimension ref="A1:V853"/>
  <sheetViews>
    <sheetView topLeftCell="C26" workbookViewId="0">
      <selection activeCell="J29" sqref="J29:K29"/>
    </sheetView>
  </sheetViews>
  <sheetFormatPr baseColWidth="10" defaultRowHeight="16"/>
  <cols>
    <col min="1" max="1" width="6.83203125" bestFit="1" customWidth="1"/>
    <col min="2" max="2" width="35" customWidth="1"/>
    <col min="11" max="11" width="18.5" customWidth="1"/>
  </cols>
  <sheetData>
    <row r="1" spans="1:22">
      <c r="A1" s="3" t="s">
        <v>2334</v>
      </c>
      <c r="B1" s="3" t="s">
        <v>2458</v>
      </c>
      <c r="C1" s="3" t="s">
        <v>1727</v>
      </c>
      <c r="F1" s="3" t="s">
        <v>2422</v>
      </c>
      <c r="G1" s="3" t="s">
        <v>2423</v>
      </c>
    </row>
    <row r="2" spans="1:22">
      <c r="A2" s="1">
        <v>1</v>
      </c>
      <c r="B2" s="12">
        <v>0.94612634181976296</v>
      </c>
      <c r="C2" s="12" t="s">
        <v>4</v>
      </c>
      <c r="F2" s="12">
        <v>0.94612634181976296</v>
      </c>
      <c r="G2" s="12">
        <v>0.28005495667457497</v>
      </c>
    </row>
    <row r="3" spans="1:22">
      <c r="A3" s="1">
        <v>2</v>
      </c>
      <c r="B3" s="12">
        <v>0.95376831293106001</v>
      </c>
      <c r="C3" s="12" t="s">
        <v>4</v>
      </c>
      <c r="F3" s="12">
        <v>0.95376831293106001</v>
      </c>
      <c r="G3" s="12">
        <v>0.20598092675209001</v>
      </c>
    </row>
    <row r="4" spans="1:22">
      <c r="A4" s="1">
        <v>3</v>
      </c>
      <c r="B4" s="12">
        <v>0.81047523021697998</v>
      </c>
      <c r="C4" s="12" t="s">
        <v>4</v>
      </c>
      <c r="F4" s="12">
        <v>0.81047523021697998</v>
      </c>
      <c r="G4" s="12">
        <v>0.31531342864036499</v>
      </c>
    </row>
    <row r="5" spans="1:22">
      <c r="A5" s="1">
        <v>4</v>
      </c>
      <c r="B5" s="12">
        <v>0.76108717918395996</v>
      </c>
      <c r="C5" s="12" t="s">
        <v>4</v>
      </c>
      <c r="F5" s="12">
        <v>0.76108717918395996</v>
      </c>
      <c r="G5" s="12">
        <v>0.13540565967559801</v>
      </c>
      <c r="J5" t="s">
        <v>2422</v>
      </c>
      <c r="N5" t="s">
        <v>2437</v>
      </c>
      <c r="R5" t="s">
        <v>2423</v>
      </c>
      <c r="V5" t="s">
        <v>2437</v>
      </c>
    </row>
    <row r="6" spans="1:22">
      <c r="A6" s="1">
        <v>5</v>
      </c>
      <c r="B6" s="12">
        <v>0.998415827751159</v>
      </c>
      <c r="C6" s="12" t="s">
        <v>4</v>
      </c>
      <c r="F6" s="12">
        <v>0.998415827751159</v>
      </c>
      <c r="G6" s="12">
        <v>2.2531736642122199E-2</v>
      </c>
      <c r="J6" s="13" t="s">
        <v>2425</v>
      </c>
      <c r="K6" s="26">
        <f>MAX(F2:F721)</f>
        <v>0.99991714954376198</v>
      </c>
      <c r="M6">
        <v>1</v>
      </c>
      <c r="N6" s="26">
        <f>K7</f>
        <v>3.5558059811592102E-2</v>
      </c>
      <c r="R6" s="13" t="s">
        <v>2425</v>
      </c>
      <c r="S6" s="26">
        <f>MAX(G2:G133)</f>
        <v>0.99944061040878296</v>
      </c>
      <c r="U6">
        <v>1</v>
      </c>
      <c r="V6" s="26">
        <f>S7</f>
        <v>1.26592889428138E-2</v>
      </c>
    </row>
    <row r="7" spans="1:22">
      <c r="A7" s="1">
        <v>6</v>
      </c>
      <c r="B7" s="12">
        <v>0.92526888847350997</v>
      </c>
      <c r="C7" s="12" t="s">
        <v>4</v>
      </c>
      <c r="F7" s="12">
        <v>0.92526888847350997</v>
      </c>
      <c r="G7" s="12">
        <v>0.175199374556541</v>
      </c>
      <c r="J7" s="13" t="s">
        <v>2427</v>
      </c>
      <c r="K7" s="26">
        <f>MIN(F2:F721)</f>
        <v>3.5558059811592102E-2</v>
      </c>
      <c r="M7">
        <v>2</v>
      </c>
      <c r="N7" s="26">
        <f>N6+K$11</f>
        <v>8.631380137644315E-2</v>
      </c>
      <c r="R7" s="13" t="s">
        <v>2427</v>
      </c>
      <c r="S7" s="26">
        <f>MIN(G2:G133)</f>
        <v>1.26592889428138E-2</v>
      </c>
      <c r="U7">
        <v>2</v>
      </c>
      <c r="V7" s="26">
        <f>V6+S$11</f>
        <v>6.4595147967338493E-2</v>
      </c>
    </row>
    <row r="8" spans="1:22">
      <c r="A8" s="1">
        <v>7</v>
      </c>
      <c r="B8" s="12">
        <v>0.21653416752815199</v>
      </c>
      <c r="C8" s="12" t="s">
        <v>4</v>
      </c>
      <c r="F8" s="12">
        <v>0.21653416752815199</v>
      </c>
      <c r="G8" s="12">
        <v>0.59581339359283403</v>
      </c>
      <c r="J8" s="13" t="s">
        <v>2429</v>
      </c>
      <c r="K8" s="26">
        <f>AVERAGE(F2:F721)</f>
        <v>0.79996046461164938</v>
      </c>
      <c r="M8">
        <v>3</v>
      </c>
      <c r="N8" s="26">
        <f t="shared" ref="N8:N25" si="0">N7+K$11</f>
        <v>0.1370695429412942</v>
      </c>
      <c r="R8" s="13" t="s">
        <v>2429</v>
      </c>
      <c r="S8" s="26">
        <f>AVERAGE(G2:G133)</f>
        <v>0.2796045941808683</v>
      </c>
      <c r="U8">
        <v>3</v>
      </c>
      <c r="V8" s="26">
        <f t="shared" ref="V8:V25" si="1">V7+S$11</f>
        <v>0.1165310069918632</v>
      </c>
    </row>
    <row r="9" spans="1:22">
      <c r="A9" s="1">
        <v>8</v>
      </c>
      <c r="B9" s="12">
        <v>0.21579763293266199</v>
      </c>
      <c r="C9" s="12" t="s">
        <v>4</v>
      </c>
      <c r="F9" s="12">
        <v>0.21579763293266199</v>
      </c>
      <c r="G9" s="12">
        <v>0.10163015127182</v>
      </c>
      <c r="J9" s="13" t="s">
        <v>2431</v>
      </c>
      <c r="K9">
        <f>_xlfn.STDEV.S(F2:F721)</f>
        <v>0.23312813913033589</v>
      </c>
      <c r="M9">
        <v>4</v>
      </c>
      <c r="N9" s="26">
        <f t="shared" si="0"/>
        <v>0.18782528450614525</v>
      </c>
      <c r="R9" s="13" t="s">
        <v>2431</v>
      </c>
      <c r="S9">
        <f>_xlfn.STDEV.S(G2:G133)</f>
        <v>0.24131146023498912</v>
      </c>
      <c r="U9">
        <v>4</v>
      </c>
      <c r="V9" s="26">
        <f t="shared" si="1"/>
        <v>0.16846686601638788</v>
      </c>
    </row>
    <row r="10" spans="1:22">
      <c r="A10" s="1">
        <v>9</v>
      </c>
      <c r="B10" s="12">
        <v>0.52473461627960205</v>
      </c>
      <c r="C10" s="12" t="s">
        <v>4</v>
      </c>
      <c r="F10" s="12">
        <v>0.52473461627960205</v>
      </c>
      <c r="G10" s="12">
        <v>0.96430104970931996</v>
      </c>
      <c r="J10" s="13" t="s">
        <v>2435</v>
      </c>
      <c r="K10">
        <v>20</v>
      </c>
      <c r="M10">
        <v>5</v>
      </c>
      <c r="N10" s="26">
        <f t="shared" si="0"/>
        <v>0.23858102607099629</v>
      </c>
      <c r="R10" s="13" t="s">
        <v>2435</v>
      </c>
      <c r="S10">
        <v>20</v>
      </c>
      <c r="U10">
        <v>5</v>
      </c>
      <c r="V10" s="26">
        <f t="shared" si="1"/>
        <v>0.22040272504091257</v>
      </c>
    </row>
    <row r="11" spans="1:22">
      <c r="A11" s="1">
        <v>10</v>
      </c>
      <c r="B11" s="12">
        <v>0.72899508476257302</v>
      </c>
      <c r="C11" s="12" t="s">
        <v>4</v>
      </c>
      <c r="F11" s="12">
        <v>0.72899508476257302</v>
      </c>
      <c r="G11" s="12">
        <v>6.1472512781619998E-2</v>
      </c>
      <c r="J11" s="13" t="s">
        <v>2433</v>
      </c>
      <c r="K11" s="26">
        <f>(K6-K7)/19</f>
        <v>5.0755741564851048E-2</v>
      </c>
      <c r="M11">
        <v>6</v>
      </c>
      <c r="N11" s="26">
        <f t="shared" si="0"/>
        <v>0.28933676763584737</v>
      </c>
      <c r="R11" s="13" t="s">
        <v>2433</v>
      </c>
      <c r="S11" s="26">
        <f>(S6-S7)/19</f>
        <v>5.1935859024524696E-2</v>
      </c>
      <c r="U11">
        <v>6</v>
      </c>
      <c r="V11" s="26">
        <f t="shared" si="1"/>
        <v>0.27233858406543726</v>
      </c>
    </row>
    <row r="12" spans="1:22">
      <c r="A12" s="1">
        <v>11</v>
      </c>
      <c r="B12" s="12">
        <v>0.42412596940994202</v>
      </c>
      <c r="C12" s="12" t="s">
        <v>4</v>
      </c>
      <c r="F12" s="12">
        <v>0.42412596940994202</v>
      </c>
      <c r="G12" s="12">
        <v>0.23183599114417999</v>
      </c>
      <c r="M12">
        <v>7</v>
      </c>
      <c r="N12" s="26">
        <f t="shared" si="0"/>
        <v>0.34009250920069845</v>
      </c>
      <c r="U12">
        <v>7</v>
      </c>
      <c r="V12" s="26">
        <f t="shared" si="1"/>
        <v>0.32427444308996195</v>
      </c>
    </row>
    <row r="13" spans="1:22">
      <c r="A13" s="1">
        <v>12</v>
      </c>
      <c r="B13" s="12">
        <v>0.884255111217498</v>
      </c>
      <c r="C13" s="12" t="s">
        <v>4</v>
      </c>
      <c r="F13" s="12">
        <v>0.884255111217498</v>
      </c>
      <c r="G13" s="12">
        <v>0.40646061301231301</v>
      </c>
      <c r="M13">
        <v>8</v>
      </c>
      <c r="N13" s="26">
        <f t="shared" si="0"/>
        <v>0.39084825076554952</v>
      </c>
      <c r="U13">
        <v>8</v>
      </c>
      <c r="V13" s="26">
        <f t="shared" si="1"/>
        <v>0.37621030211448664</v>
      </c>
    </row>
    <row r="14" spans="1:22">
      <c r="A14" s="1">
        <v>13</v>
      </c>
      <c r="B14" s="12">
        <v>0.886244416236877</v>
      </c>
      <c r="C14" s="12" t="s">
        <v>4</v>
      </c>
      <c r="F14" s="12">
        <v>0.886244416236877</v>
      </c>
      <c r="G14" s="12">
        <v>0.248679354786872</v>
      </c>
      <c r="M14">
        <v>9</v>
      </c>
      <c r="N14" s="26">
        <f t="shared" si="0"/>
        <v>0.4416039923304006</v>
      </c>
      <c r="U14">
        <v>9</v>
      </c>
      <c r="V14" s="26">
        <f t="shared" si="1"/>
        <v>0.42814616113901133</v>
      </c>
    </row>
    <row r="15" spans="1:22">
      <c r="A15" s="1">
        <v>14</v>
      </c>
      <c r="B15" s="12">
        <v>0.84784150123596103</v>
      </c>
      <c r="C15" s="12" t="s">
        <v>4</v>
      </c>
      <c r="F15" s="12">
        <v>0.84784150123596103</v>
      </c>
      <c r="G15" s="12">
        <v>0.15426868200302099</v>
      </c>
      <c r="M15">
        <v>10</v>
      </c>
      <c r="N15" s="26">
        <f t="shared" si="0"/>
        <v>0.49235973389525167</v>
      </c>
      <c r="U15">
        <v>10</v>
      </c>
      <c r="V15" s="26">
        <f t="shared" si="1"/>
        <v>0.48008202016353602</v>
      </c>
    </row>
    <row r="16" spans="1:22">
      <c r="A16" s="1">
        <v>15</v>
      </c>
      <c r="B16" s="12">
        <v>0.96253168582916204</v>
      </c>
      <c r="C16" s="12" t="s">
        <v>4</v>
      </c>
      <c r="F16" s="12">
        <v>0.96253168582916204</v>
      </c>
      <c r="G16" s="12">
        <v>0.54786765575408902</v>
      </c>
      <c r="M16">
        <v>11</v>
      </c>
      <c r="N16" s="26">
        <f t="shared" si="0"/>
        <v>0.54311547546010275</v>
      </c>
      <c r="U16">
        <v>11</v>
      </c>
      <c r="V16" s="26">
        <f t="shared" si="1"/>
        <v>0.53201787918806076</v>
      </c>
    </row>
    <row r="17" spans="1:22">
      <c r="A17" s="1">
        <v>16</v>
      </c>
      <c r="B17" s="12">
        <v>0.63757228851318304</v>
      </c>
      <c r="C17" s="12" t="s">
        <v>4</v>
      </c>
      <c r="F17" s="12">
        <v>0.63757228851318304</v>
      </c>
      <c r="G17" s="12">
        <v>0.204872101545333</v>
      </c>
      <c r="M17">
        <v>12</v>
      </c>
      <c r="N17" s="26">
        <f t="shared" si="0"/>
        <v>0.59387121702495382</v>
      </c>
      <c r="U17">
        <v>12</v>
      </c>
      <c r="V17" s="26">
        <f t="shared" si="1"/>
        <v>0.58395373821258545</v>
      </c>
    </row>
    <row r="18" spans="1:22">
      <c r="A18" s="1">
        <v>17</v>
      </c>
      <c r="B18" s="12">
        <v>0.951255023479461</v>
      </c>
      <c r="C18" s="12" t="s">
        <v>4</v>
      </c>
      <c r="F18" s="12">
        <v>0.951255023479461</v>
      </c>
      <c r="G18" s="12">
        <v>0.99401086568832397</v>
      </c>
      <c r="M18">
        <v>13</v>
      </c>
      <c r="N18" s="26">
        <f t="shared" si="0"/>
        <v>0.6446269585898049</v>
      </c>
      <c r="U18">
        <v>13</v>
      </c>
      <c r="V18" s="26">
        <f t="shared" si="1"/>
        <v>0.63588959723711014</v>
      </c>
    </row>
    <row r="19" spans="1:22">
      <c r="A19" s="1">
        <v>18</v>
      </c>
      <c r="B19" s="12">
        <v>0.89450836181640603</v>
      </c>
      <c r="C19" s="12" t="s">
        <v>4</v>
      </c>
      <c r="F19" s="12">
        <v>0.89450836181640603</v>
      </c>
      <c r="G19" s="12">
        <v>0.185136884450912</v>
      </c>
      <c r="M19">
        <v>14</v>
      </c>
      <c r="N19" s="26">
        <f t="shared" si="0"/>
        <v>0.69538270015465597</v>
      </c>
      <c r="U19">
        <v>14</v>
      </c>
      <c r="V19" s="26">
        <f t="shared" si="1"/>
        <v>0.68782545626163483</v>
      </c>
    </row>
    <row r="20" spans="1:22">
      <c r="A20" s="1">
        <v>19</v>
      </c>
      <c r="B20" s="12">
        <v>0.74304491281509399</v>
      </c>
      <c r="C20" s="12" t="s">
        <v>4</v>
      </c>
      <c r="F20" s="12">
        <v>0.74304491281509399</v>
      </c>
      <c r="G20" s="12">
        <v>0.138463795185089</v>
      </c>
      <c r="M20">
        <v>15</v>
      </c>
      <c r="N20" s="26">
        <f t="shared" si="0"/>
        <v>0.74613844171950705</v>
      </c>
      <c r="U20">
        <v>15</v>
      </c>
      <c r="V20" s="26">
        <f t="shared" si="1"/>
        <v>0.73976131528615952</v>
      </c>
    </row>
    <row r="21" spans="1:22">
      <c r="A21" s="1">
        <v>20</v>
      </c>
      <c r="B21" s="12">
        <v>0.95761412382125799</v>
      </c>
      <c r="C21" s="12" t="s">
        <v>4</v>
      </c>
      <c r="F21" s="12">
        <v>0.95761412382125799</v>
      </c>
      <c r="G21" s="12">
        <v>6.9045804440975106E-2</v>
      </c>
      <c r="M21">
        <v>16</v>
      </c>
      <c r="N21" s="26">
        <f t="shared" si="0"/>
        <v>0.79689418328435813</v>
      </c>
      <c r="U21">
        <v>16</v>
      </c>
      <c r="V21" s="26">
        <f t="shared" si="1"/>
        <v>0.7916971743106842</v>
      </c>
    </row>
    <row r="22" spans="1:22">
      <c r="A22" s="1">
        <v>21</v>
      </c>
      <c r="B22" s="12">
        <v>0.99819594621658303</v>
      </c>
      <c r="C22" s="12" t="s">
        <v>4</v>
      </c>
      <c r="F22" s="12">
        <v>0.99819594621658303</v>
      </c>
      <c r="G22" s="12">
        <v>0.161070302128791</v>
      </c>
      <c r="M22">
        <v>17</v>
      </c>
      <c r="N22" s="26">
        <f t="shared" si="0"/>
        <v>0.8476499248492092</v>
      </c>
      <c r="U22">
        <v>17</v>
      </c>
      <c r="V22" s="26">
        <f t="shared" si="1"/>
        <v>0.84363303333520889</v>
      </c>
    </row>
    <row r="23" spans="1:22">
      <c r="A23" s="1">
        <v>22</v>
      </c>
      <c r="B23" s="12">
        <v>0.98494869470596302</v>
      </c>
      <c r="C23" s="12" t="s">
        <v>4</v>
      </c>
      <c r="F23" s="12">
        <v>0.98494869470596302</v>
      </c>
      <c r="G23" s="12">
        <v>0.33813968300819303</v>
      </c>
      <c r="M23">
        <v>18</v>
      </c>
      <c r="N23" s="26">
        <f t="shared" si="0"/>
        <v>0.89840566641406028</v>
      </c>
      <c r="U23">
        <v>18</v>
      </c>
      <c r="V23" s="26">
        <f t="shared" si="1"/>
        <v>0.89556889235973358</v>
      </c>
    </row>
    <row r="24" spans="1:22">
      <c r="A24" s="1">
        <v>23</v>
      </c>
      <c r="B24" s="12">
        <v>0.96878492832183805</v>
      </c>
      <c r="C24" s="12" t="s">
        <v>4</v>
      </c>
      <c r="F24" s="12">
        <v>0.96878492832183805</v>
      </c>
      <c r="G24" s="12">
        <v>0.27500161528587302</v>
      </c>
      <c r="M24">
        <v>19</v>
      </c>
      <c r="N24" s="26">
        <f t="shared" si="0"/>
        <v>0.94916140797891135</v>
      </c>
      <c r="U24">
        <v>19</v>
      </c>
      <c r="V24" s="26">
        <f t="shared" si="1"/>
        <v>0.94750475138425827</v>
      </c>
    </row>
    <row r="25" spans="1:22">
      <c r="A25" s="1">
        <v>24</v>
      </c>
      <c r="B25" s="12">
        <v>0.77342295646667403</v>
      </c>
      <c r="C25" s="12" t="s">
        <v>4</v>
      </c>
      <c r="F25" s="12">
        <v>0.77342295646667403</v>
      </c>
      <c r="G25" s="12">
        <v>0.64368820190429599</v>
      </c>
      <c r="M25">
        <v>20</v>
      </c>
      <c r="N25" s="26">
        <f t="shared" si="0"/>
        <v>0.99991714954376243</v>
      </c>
      <c r="U25">
        <v>20</v>
      </c>
      <c r="V25" s="26">
        <f t="shared" si="1"/>
        <v>0.99944061040878296</v>
      </c>
    </row>
    <row r="26" spans="1:22">
      <c r="A26" s="1">
        <v>25</v>
      </c>
      <c r="B26" s="12">
        <v>0.98773163557052601</v>
      </c>
      <c r="C26" s="12" t="s">
        <v>4</v>
      </c>
      <c r="F26" s="12">
        <v>0.98773163557052601</v>
      </c>
      <c r="G26" s="12">
        <v>1.9600138068199099E-2</v>
      </c>
    </row>
    <row r="27" spans="1:22" ht="17" thickBot="1">
      <c r="A27" s="1">
        <v>26</v>
      </c>
      <c r="B27" s="12">
        <v>0.55985850095748901</v>
      </c>
      <c r="C27" s="12" t="s">
        <v>4</v>
      </c>
      <c r="F27" s="12">
        <v>0.55985850095748901</v>
      </c>
      <c r="G27" s="12">
        <v>0.102458722889423</v>
      </c>
    </row>
    <row r="28" spans="1:22" ht="17" thickBot="1">
      <c r="A28" s="1">
        <v>27</v>
      </c>
      <c r="B28" s="12">
        <v>0.58529895544052102</v>
      </c>
      <c r="C28" s="12" t="s">
        <v>4</v>
      </c>
      <c r="F28" s="12">
        <v>0.58529895544052102</v>
      </c>
      <c r="G28" s="12">
        <v>0.47742319107055597</v>
      </c>
      <c r="S28" s="28" t="s">
        <v>2463</v>
      </c>
      <c r="T28" s="28" t="s">
        <v>2464</v>
      </c>
      <c r="U28" t="s">
        <v>2444</v>
      </c>
    </row>
    <row r="29" spans="1:22">
      <c r="A29" s="1">
        <v>28</v>
      </c>
      <c r="B29" s="12">
        <v>0.78013092279434204</v>
      </c>
      <c r="C29" s="12" t="s">
        <v>4</v>
      </c>
      <c r="F29" s="12">
        <v>0.78013092279434204</v>
      </c>
      <c r="G29" s="12">
        <v>0.12307758629322001</v>
      </c>
      <c r="J29" s="28" t="s">
        <v>2463</v>
      </c>
      <c r="K29" s="28" t="s">
        <v>2464</v>
      </c>
      <c r="L29" t="s">
        <v>2443</v>
      </c>
      <c r="S29" s="26">
        <v>1.26592889428138E-2</v>
      </c>
      <c r="T29">
        <v>1</v>
      </c>
      <c r="U29">
        <f>_xlfn.NORM.DIST(S29,S$8,S$9,0)</f>
        <v>0.89660394442157354</v>
      </c>
    </row>
    <row r="30" spans="1:22">
      <c r="A30" s="1">
        <v>29</v>
      </c>
      <c r="B30" s="12">
        <v>0.98144781589508001</v>
      </c>
      <c r="C30" s="12" t="s">
        <v>4</v>
      </c>
      <c r="F30" s="12">
        <v>0.98144781589508001</v>
      </c>
      <c r="G30" s="12">
        <v>0.36076658964157099</v>
      </c>
      <c r="J30" s="26">
        <v>3.5558059811592102E-2</v>
      </c>
      <c r="K30">
        <v>1</v>
      </c>
      <c r="L30">
        <f>_xlfn.NORM.DIST(J30,K$8,K$9,0)</f>
        <v>7.9201612566759255E-3</v>
      </c>
      <c r="S30" s="26">
        <v>6.4595147967338493E-2</v>
      </c>
      <c r="T30">
        <v>14</v>
      </c>
      <c r="U30">
        <f t="shared" ref="U30:U47" si="2">_xlfn.NORM.DIST(S30,S$8,S$9,0)</f>
        <v>1.1115821131707182</v>
      </c>
    </row>
    <row r="31" spans="1:22">
      <c r="A31" s="1">
        <v>30</v>
      </c>
      <c r="B31" s="12">
        <v>0.97245287895202603</v>
      </c>
      <c r="C31" s="12" t="s">
        <v>4</v>
      </c>
      <c r="F31" s="12">
        <v>0.97245287895202603</v>
      </c>
      <c r="G31" s="12">
        <v>0.21323138475417999</v>
      </c>
      <c r="J31" s="26">
        <v>8.631380137644315E-2</v>
      </c>
      <c r="K31">
        <v>2</v>
      </c>
      <c r="L31">
        <f t="shared" ref="L31:L49" si="3">_xlfn.NORM.DIST(J31,K$8,K$9,0)</f>
        <v>1.5793197050200797E-2</v>
      </c>
      <c r="S31" s="26">
        <v>0.1165310069918632</v>
      </c>
      <c r="T31">
        <v>17</v>
      </c>
      <c r="U31">
        <f t="shared" si="2"/>
        <v>1.3157260153953809</v>
      </c>
    </row>
    <row r="32" spans="1:22">
      <c r="A32" s="1">
        <v>31</v>
      </c>
      <c r="B32" s="12">
        <v>0.95871227979660001</v>
      </c>
      <c r="C32" s="12" t="s">
        <v>4</v>
      </c>
      <c r="F32" s="12">
        <v>0.95871227979660001</v>
      </c>
      <c r="G32" s="12">
        <v>0.65993022918701105</v>
      </c>
      <c r="J32" s="26">
        <v>0.1370695429412942</v>
      </c>
      <c r="K32">
        <v>9</v>
      </c>
      <c r="L32">
        <f t="shared" si="3"/>
        <v>3.0034499659654955E-2</v>
      </c>
      <c r="S32" s="26">
        <v>0.16846686601638788</v>
      </c>
      <c r="T32">
        <v>21</v>
      </c>
      <c r="U32">
        <f t="shared" si="2"/>
        <v>1.4868678862285998</v>
      </c>
    </row>
    <row r="33" spans="1:21">
      <c r="A33" s="1">
        <v>32</v>
      </c>
      <c r="B33" s="12">
        <v>0.79340606927871704</v>
      </c>
      <c r="C33" s="12" t="s">
        <v>4</v>
      </c>
      <c r="F33" s="12">
        <v>0.79340606927871704</v>
      </c>
      <c r="G33" s="12">
        <v>0.133671805262565</v>
      </c>
      <c r="J33" s="26">
        <v>0.18782528450614525</v>
      </c>
      <c r="K33">
        <v>9</v>
      </c>
      <c r="L33">
        <f t="shared" si="3"/>
        <v>5.4473473176030768E-2</v>
      </c>
      <c r="S33" s="26">
        <v>0.22040272504091257</v>
      </c>
      <c r="T33">
        <v>22</v>
      </c>
      <c r="U33">
        <f t="shared" si="2"/>
        <v>1.6042140241065199</v>
      </c>
    </row>
    <row r="34" spans="1:21">
      <c r="A34" s="1">
        <v>33</v>
      </c>
      <c r="B34" s="12">
        <v>0.93856209516525202</v>
      </c>
      <c r="C34" s="12" t="s">
        <v>4</v>
      </c>
      <c r="F34" s="12">
        <v>0.93856209516525202</v>
      </c>
      <c r="G34" s="12">
        <v>0.20811620354652399</v>
      </c>
      <c r="J34" s="26">
        <v>0.23858102607099629</v>
      </c>
      <c r="K34">
        <v>14</v>
      </c>
      <c r="L34">
        <f t="shared" si="3"/>
        <v>9.4224544926642936E-2</v>
      </c>
      <c r="S34" s="26">
        <v>0.27233858406543726</v>
      </c>
      <c r="T34">
        <v>10</v>
      </c>
      <c r="U34">
        <f t="shared" si="2"/>
        <v>1.6524763141110415</v>
      </c>
    </row>
    <row r="35" spans="1:21">
      <c r="A35" s="1">
        <v>34</v>
      </c>
      <c r="B35" s="12">
        <v>0.95909833908080999</v>
      </c>
      <c r="C35" s="12" t="s">
        <v>4</v>
      </c>
      <c r="F35" s="12">
        <v>0.95909833908080999</v>
      </c>
      <c r="G35" s="12">
        <v>0.158047676086425</v>
      </c>
      <c r="J35" s="26">
        <v>0.28933676763584737</v>
      </c>
      <c r="K35">
        <v>8</v>
      </c>
      <c r="L35">
        <f t="shared" si="3"/>
        <v>0.15543805322233387</v>
      </c>
      <c r="S35" s="26">
        <v>0.32427444308996195</v>
      </c>
      <c r="T35">
        <v>12</v>
      </c>
      <c r="U35">
        <f t="shared" si="2"/>
        <v>1.6251415170660317</v>
      </c>
    </row>
    <row r="36" spans="1:21">
      <c r="A36" s="1">
        <v>35</v>
      </c>
      <c r="B36" s="12">
        <v>0.94654899835586503</v>
      </c>
      <c r="C36" s="12" t="s">
        <v>4</v>
      </c>
      <c r="F36" s="12">
        <v>0.94654899835586503</v>
      </c>
      <c r="G36" s="12">
        <v>0.12679724395275099</v>
      </c>
      <c r="J36" s="26">
        <v>0.34009250920069845</v>
      </c>
      <c r="K36">
        <v>8</v>
      </c>
      <c r="L36">
        <f t="shared" si="3"/>
        <v>0.24454847867196541</v>
      </c>
      <c r="S36" s="26">
        <v>0.37621030211448664</v>
      </c>
      <c r="T36">
        <v>6</v>
      </c>
      <c r="U36">
        <f t="shared" si="2"/>
        <v>1.5259142711054792</v>
      </c>
    </row>
    <row r="37" spans="1:21">
      <c r="A37" s="1">
        <v>36</v>
      </c>
      <c r="B37" s="12">
        <v>0.84923958778381303</v>
      </c>
      <c r="C37" s="12" t="s">
        <v>4</v>
      </c>
      <c r="F37" s="12">
        <v>0.84923958778381303</v>
      </c>
      <c r="G37" s="12">
        <v>0.543015956878662</v>
      </c>
      <c r="J37" s="26">
        <v>0.39084825076554952</v>
      </c>
      <c r="K37">
        <v>9</v>
      </c>
      <c r="L37">
        <f t="shared" si="3"/>
        <v>0.36693310841602611</v>
      </c>
      <c r="S37" s="26">
        <v>0.42814616113901133</v>
      </c>
      <c r="T37">
        <v>5</v>
      </c>
      <c r="U37">
        <f t="shared" si="2"/>
        <v>1.3678928886869128</v>
      </c>
    </row>
    <row r="38" spans="1:21">
      <c r="A38" s="1">
        <v>37</v>
      </c>
      <c r="B38" s="12">
        <v>0.50041496753692605</v>
      </c>
      <c r="C38" s="12" t="s">
        <v>4</v>
      </c>
      <c r="F38" s="12">
        <v>0.50041496753692605</v>
      </c>
      <c r="G38" s="12">
        <v>0.10415032505989</v>
      </c>
      <c r="J38" s="26">
        <v>0.4416039923304006</v>
      </c>
      <c r="K38">
        <v>18</v>
      </c>
      <c r="L38">
        <f t="shared" si="3"/>
        <v>0.52507718939961834</v>
      </c>
      <c r="S38" s="26">
        <v>0.48008202016353602</v>
      </c>
      <c r="T38">
        <v>3</v>
      </c>
      <c r="U38">
        <f t="shared" si="2"/>
        <v>1.1707308328079424</v>
      </c>
    </row>
    <row r="39" spans="1:21">
      <c r="A39" s="1">
        <v>38</v>
      </c>
      <c r="B39" s="12">
        <v>0.93968683481216397</v>
      </c>
      <c r="C39" s="12" t="s">
        <v>4</v>
      </c>
      <c r="F39" s="12">
        <v>0.93968683481216397</v>
      </c>
      <c r="G39" s="12">
        <v>0.15860320627689301</v>
      </c>
      <c r="J39" s="26">
        <v>0.49235973389525167</v>
      </c>
      <c r="K39">
        <v>15</v>
      </c>
      <c r="L39">
        <f t="shared" si="3"/>
        <v>0.71659491370989314</v>
      </c>
      <c r="S39" s="26">
        <v>0.53201787918806076</v>
      </c>
      <c r="T39">
        <v>1</v>
      </c>
      <c r="U39">
        <f t="shared" si="2"/>
        <v>0.95663227306786236</v>
      </c>
    </row>
    <row r="40" spans="1:21">
      <c r="A40" s="1">
        <v>39</v>
      </c>
      <c r="B40" s="12">
        <v>0.99322915077209395</v>
      </c>
      <c r="C40" s="12" t="s">
        <v>4</v>
      </c>
      <c r="F40" s="12">
        <v>0.99322915077209395</v>
      </c>
      <c r="G40" s="12">
        <v>0.15705218911170901</v>
      </c>
      <c r="J40" s="26">
        <v>0.54311547546010275</v>
      </c>
      <c r="K40">
        <v>17</v>
      </c>
      <c r="L40">
        <f t="shared" si="3"/>
        <v>0.93269276534108037</v>
      </c>
      <c r="S40" s="26">
        <v>0.58395373821258545</v>
      </c>
      <c r="T40">
        <v>4</v>
      </c>
      <c r="U40">
        <f t="shared" si="2"/>
        <v>0.74630440947911325</v>
      </c>
    </row>
    <row r="41" spans="1:21">
      <c r="A41" s="1">
        <v>40</v>
      </c>
      <c r="B41" s="12">
        <v>0.95962816476821899</v>
      </c>
      <c r="C41" s="12" t="s">
        <v>4</v>
      </c>
      <c r="F41" s="12">
        <v>0.95962816476821899</v>
      </c>
      <c r="G41" s="12">
        <v>0.14687786996364499</v>
      </c>
      <c r="J41" s="26">
        <v>0.59387121702495382</v>
      </c>
      <c r="K41">
        <v>27</v>
      </c>
      <c r="L41">
        <f t="shared" si="3"/>
        <v>1.1577580577351971</v>
      </c>
      <c r="S41" s="26">
        <v>0.63588959723711014</v>
      </c>
      <c r="T41">
        <v>2</v>
      </c>
      <c r="U41">
        <f t="shared" si="2"/>
        <v>0.55586585108009978</v>
      </c>
    </row>
    <row r="42" spans="1:21">
      <c r="A42" s="1">
        <v>41</v>
      </c>
      <c r="B42" s="12">
        <v>0.94158697128295898</v>
      </c>
      <c r="C42" s="12" t="s">
        <v>4</v>
      </c>
      <c r="F42" s="12">
        <v>0.94158697128295898</v>
      </c>
      <c r="G42" s="12">
        <v>1.26592889428138E-2</v>
      </c>
      <c r="J42" s="26">
        <v>0.6446269585898049</v>
      </c>
      <c r="K42">
        <v>14</v>
      </c>
      <c r="L42">
        <f t="shared" si="3"/>
        <v>1.3706019137796126</v>
      </c>
      <c r="S42" s="26">
        <v>0.68782545626163483</v>
      </c>
      <c r="T42">
        <v>4</v>
      </c>
      <c r="U42">
        <f t="shared" si="2"/>
        <v>0.39528195505711106</v>
      </c>
    </row>
    <row r="43" spans="1:21">
      <c r="A43" s="1">
        <v>42</v>
      </c>
      <c r="B43" s="12">
        <v>0.99440068006515503</v>
      </c>
      <c r="C43" s="12" t="s">
        <v>4</v>
      </c>
      <c r="F43" s="12">
        <v>0.99440068006515503</v>
      </c>
      <c r="G43" s="12">
        <v>4.0781706571578903E-2</v>
      </c>
      <c r="J43" s="26">
        <v>0.69538270015465597</v>
      </c>
      <c r="K43">
        <v>24</v>
      </c>
      <c r="L43">
        <f t="shared" si="3"/>
        <v>1.5474590774560049</v>
      </c>
      <c r="S43" s="26">
        <v>0.73976131528615952</v>
      </c>
      <c r="T43">
        <v>0</v>
      </c>
      <c r="U43">
        <f t="shared" si="2"/>
        <v>0.26836568960412543</v>
      </c>
    </row>
    <row r="44" spans="1:21">
      <c r="A44" s="1">
        <v>43</v>
      </c>
      <c r="B44" s="12">
        <v>0.55144518613815297</v>
      </c>
      <c r="C44" s="12" t="s">
        <v>4</v>
      </c>
      <c r="F44" s="12">
        <v>0.55144518613815297</v>
      </c>
      <c r="G44" s="12">
        <v>0.236902400851249</v>
      </c>
      <c r="J44" s="26">
        <v>0.74613844171950705</v>
      </c>
      <c r="K44">
        <v>34</v>
      </c>
      <c r="L44">
        <f t="shared" si="3"/>
        <v>1.6662544772831398</v>
      </c>
      <c r="S44" s="26">
        <v>0.7916971743106842</v>
      </c>
      <c r="T44">
        <v>1</v>
      </c>
      <c r="U44">
        <f t="shared" si="2"/>
        <v>0.17395222978931027</v>
      </c>
    </row>
    <row r="45" spans="1:21">
      <c r="A45" s="1">
        <v>44</v>
      </c>
      <c r="B45" s="12">
        <v>0.65376371145248402</v>
      </c>
      <c r="C45" s="12" t="s">
        <v>4</v>
      </c>
      <c r="F45" s="12">
        <v>0.65376371145248402</v>
      </c>
      <c r="G45" s="12">
        <v>0.85900813341140703</v>
      </c>
      <c r="J45" s="26">
        <v>0.79689418328435813</v>
      </c>
      <c r="K45">
        <v>27</v>
      </c>
      <c r="L45">
        <f t="shared" si="3"/>
        <v>1.7111095030761125</v>
      </c>
      <c r="S45" s="26">
        <v>0.84363303333520889</v>
      </c>
      <c r="T45">
        <v>0</v>
      </c>
      <c r="U45">
        <f t="shared" si="2"/>
        <v>0.10765049146555615</v>
      </c>
    </row>
    <row r="46" spans="1:21">
      <c r="A46" s="1">
        <v>45</v>
      </c>
      <c r="B46" s="12">
        <v>0.711514592170715</v>
      </c>
      <c r="C46" s="12" t="s">
        <v>4</v>
      </c>
      <c r="F46" s="12">
        <v>0.711514592170715</v>
      </c>
      <c r="G46" s="12">
        <v>0.17947824299335399</v>
      </c>
      <c r="J46" s="26">
        <v>0.8476499248492092</v>
      </c>
      <c r="K46">
        <v>50</v>
      </c>
      <c r="L46">
        <f t="shared" si="3"/>
        <v>1.6758247283822905</v>
      </c>
      <c r="S46" s="26">
        <v>0.89556889235973358</v>
      </c>
      <c r="T46">
        <v>2</v>
      </c>
      <c r="U46">
        <f t="shared" si="2"/>
        <v>6.3604089667202754E-2</v>
      </c>
    </row>
    <row r="47" spans="1:21">
      <c r="A47" s="1">
        <v>46</v>
      </c>
      <c r="B47" s="12">
        <v>0.94055682420730502</v>
      </c>
      <c r="C47" s="12" t="s">
        <v>4</v>
      </c>
      <c r="F47" s="12">
        <v>0.94055682420730502</v>
      </c>
      <c r="G47" s="12">
        <v>0.14808084070682501</v>
      </c>
      <c r="J47" s="26">
        <v>0.89840566641406028</v>
      </c>
      <c r="K47">
        <v>89</v>
      </c>
      <c r="L47">
        <f t="shared" si="3"/>
        <v>1.5652860085211684</v>
      </c>
      <c r="S47" s="26">
        <v>0.94750475138425827</v>
      </c>
      <c r="T47">
        <v>1</v>
      </c>
      <c r="U47">
        <f t="shared" si="2"/>
        <v>3.5878730909155769E-2</v>
      </c>
    </row>
    <row r="48" spans="1:21">
      <c r="A48" s="1">
        <v>47</v>
      </c>
      <c r="B48" s="12">
        <v>0.81903141736984197</v>
      </c>
      <c r="C48" s="12" t="s">
        <v>4</v>
      </c>
      <c r="F48" s="12">
        <v>0.81903141736984197</v>
      </c>
      <c r="G48" s="12">
        <v>0.64303958415985096</v>
      </c>
      <c r="J48" s="26">
        <v>0.94916140797891135</v>
      </c>
      <c r="K48">
        <v>94</v>
      </c>
      <c r="L48">
        <f t="shared" si="3"/>
        <v>1.3943542649427547</v>
      </c>
      <c r="S48" s="26">
        <v>0.99944061040878296</v>
      </c>
      <c r="T48">
        <v>6</v>
      </c>
      <c r="U48">
        <f>_xlfn.NORM.DIST(S48,S$8,S$9,0)</f>
        <v>1.9322891361054785E-2</v>
      </c>
    </row>
    <row r="49" spans="1:20" ht="17" thickBot="1">
      <c r="A49" s="1">
        <v>48</v>
      </c>
      <c r="B49" s="12">
        <v>0.99585092067718495</v>
      </c>
      <c r="C49" s="12" t="s">
        <v>4</v>
      </c>
      <c r="F49" s="12">
        <v>0.99585092067718495</v>
      </c>
      <c r="G49" s="12">
        <v>0.26249068975448597</v>
      </c>
      <c r="J49" s="26">
        <v>0.99991714954376243</v>
      </c>
      <c r="K49">
        <v>251</v>
      </c>
      <c r="L49">
        <f t="shared" si="3"/>
        <v>1.1845867564079373</v>
      </c>
      <c r="S49" s="27" t="s">
        <v>2439</v>
      </c>
      <c r="T49" s="27">
        <v>0</v>
      </c>
    </row>
    <row r="50" spans="1:20" ht="17" thickBot="1">
      <c r="A50" s="1">
        <v>49</v>
      </c>
      <c r="B50" s="12">
        <v>0.92808359861373901</v>
      </c>
      <c r="C50" s="12" t="s">
        <v>4</v>
      </c>
      <c r="F50" s="12">
        <v>0.92808359861373901</v>
      </c>
      <c r="G50" s="12">
        <v>9.38882976770401E-2</v>
      </c>
      <c r="J50" s="27" t="s">
        <v>2439</v>
      </c>
      <c r="K50" s="27">
        <v>0</v>
      </c>
    </row>
    <row r="51" spans="1:20">
      <c r="A51" s="1">
        <v>50</v>
      </c>
      <c r="B51" s="12">
        <v>0.71149492263793901</v>
      </c>
      <c r="C51" s="12" t="s">
        <v>4</v>
      </c>
      <c r="F51" s="12">
        <v>0.71149492263793901</v>
      </c>
      <c r="G51" s="12">
        <v>0.99944061040878296</v>
      </c>
    </row>
    <row r="52" spans="1:20">
      <c r="A52" s="1">
        <v>51</v>
      </c>
      <c r="B52" s="12">
        <v>0.99837839603423995</v>
      </c>
      <c r="C52" s="12" t="s">
        <v>4</v>
      </c>
      <c r="F52" s="12">
        <v>0.99837839603423995</v>
      </c>
      <c r="G52" s="12">
        <v>0.20343661308288499</v>
      </c>
    </row>
    <row r="53" spans="1:20">
      <c r="A53" s="1">
        <v>52</v>
      </c>
      <c r="B53" s="12">
        <v>0.49005863070487898</v>
      </c>
      <c r="C53" s="12" t="s">
        <v>4</v>
      </c>
      <c r="F53" s="12">
        <v>0.49005863070487898</v>
      </c>
      <c r="G53" s="12">
        <v>0.14140444993972701</v>
      </c>
    </row>
    <row r="54" spans="1:20">
      <c r="A54" s="1">
        <v>53</v>
      </c>
      <c r="B54" s="12">
        <v>0.98769366741180398</v>
      </c>
      <c r="C54" s="12" t="s">
        <v>4</v>
      </c>
      <c r="F54" s="12">
        <v>0.98769366741180398</v>
      </c>
      <c r="G54" s="12">
        <v>0.175555109977722</v>
      </c>
    </row>
    <row r="55" spans="1:20">
      <c r="A55" s="1">
        <v>54</v>
      </c>
      <c r="B55" s="12">
        <v>0.96887558698654097</v>
      </c>
      <c r="C55" s="12" t="s">
        <v>4</v>
      </c>
      <c r="F55" s="12">
        <v>0.96887558698654097</v>
      </c>
      <c r="G55" s="12">
        <v>0.559825599193573</v>
      </c>
    </row>
    <row r="56" spans="1:20">
      <c r="A56" s="1">
        <v>55</v>
      </c>
      <c r="B56" s="12">
        <v>0.745205879211425</v>
      </c>
      <c r="C56" s="12" t="s">
        <v>4</v>
      </c>
      <c r="F56" s="12">
        <v>0.745205879211425</v>
      </c>
      <c r="G56" s="12">
        <v>0.13554473221301999</v>
      </c>
    </row>
    <row r="57" spans="1:20">
      <c r="A57" s="1">
        <v>56</v>
      </c>
      <c r="B57" s="12">
        <v>0.82672065496444702</v>
      </c>
      <c r="C57" s="12" t="s">
        <v>4</v>
      </c>
      <c r="F57" s="12">
        <v>0.82672065496444702</v>
      </c>
      <c r="G57" s="12">
        <v>0.27366679906844998</v>
      </c>
    </row>
    <row r="58" spans="1:20">
      <c r="A58" s="1">
        <v>57</v>
      </c>
      <c r="B58" s="12">
        <v>0.98155391216277998</v>
      </c>
      <c r="C58" s="12" t="s">
        <v>4</v>
      </c>
      <c r="F58" s="12">
        <v>0.98155391216277998</v>
      </c>
      <c r="G58" s="12">
        <v>0.39021286368370001</v>
      </c>
    </row>
    <row r="59" spans="1:20">
      <c r="A59" s="1">
        <v>58</v>
      </c>
      <c r="B59" s="12">
        <v>0.97597628831863403</v>
      </c>
      <c r="C59" s="12" t="s">
        <v>4</v>
      </c>
      <c r="F59" s="12">
        <v>0.97597628831863403</v>
      </c>
      <c r="G59" s="12">
        <v>0.79080736637115401</v>
      </c>
    </row>
    <row r="60" spans="1:20">
      <c r="A60" s="1">
        <v>59</v>
      </c>
      <c r="B60" s="12">
        <v>0.92902344465255704</v>
      </c>
      <c r="C60" s="12" t="s">
        <v>4</v>
      </c>
      <c r="F60" s="12">
        <v>0.92902344465255704</v>
      </c>
      <c r="G60" s="12">
        <v>0.39656776189803999</v>
      </c>
    </row>
    <row r="61" spans="1:20">
      <c r="A61" s="1">
        <v>60</v>
      </c>
      <c r="B61" s="12">
        <v>0.28005495667457497</v>
      </c>
      <c r="C61" s="12" t="s">
        <v>180</v>
      </c>
      <c r="F61" s="12">
        <v>0.45172765851020802</v>
      </c>
      <c r="G61" s="12">
        <v>6.2091790139675099E-2</v>
      </c>
    </row>
    <row r="62" spans="1:20">
      <c r="A62" s="1">
        <v>61</v>
      </c>
      <c r="B62" s="12">
        <v>0.45172765851020802</v>
      </c>
      <c r="C62" s="12" t="s">
        <v>4</v>
      </c>
      <c r="F62" s="12">
        <v>0.93946015834808305</v>
      </c>
      <c r="G62" s="12">
        <v>0.21434132754802701</v>
      </c>
    </row>
    <row r="63" spans="1:20">
      <c r="A63" s="1">
        <v>62</v>
      </c>
      <c r="B63" s="12">
        <v>0.93946015834808305</v>
      </c>
      <c r="C63" s="12" t="s">
        <v>4</v>
      </c>
      <c r="F63" s="12">
        <v>0.45958548784255898</v>
      </c>
      <c r="G63" s="12">
        <v>0.21365271508693601</v>
      </c>
    </row>
    <row r="64" spans="1:20">
      <c r="A64" s="1">
        <v>63</v>
      </c>
      <c r="B64" s="12">
        <v>0.45958548784255898</v>
      </c>
      <c r="C64" s="12" t="s">
        <v>4</v>
      </c>
      <c r="F64" s="12">
        <v>0.99663430452346802</v>
      </c>
      <c r="G64" s="12">
        <v>1.9451001659035599E-2</v>
      </c>
    </row>
    <row r="65" spans="1:12">
      <c r="A65" s="1">
        <v>64</v>
      </c>
      <c r="B65" s="12">
        <v>0.99663430452346802</v>
      </c>
      <c r="C65" s="12" t="s">
        <v>4</v>
      </c>
      <c r="F65" s="12">
        <v>0.98251765966415405</v>
      </c>
      <c r="G65" s="12">
        <v>0.15751740336418099</v>
      </c>
      <c r="J65" t="s">
        <v>2422</v>
      </c>
      <c r="K65" s="31">
        <v>3.5558059811592102E-2</v>
      </c>
      <c r="L65">
        <v>7.9201612566759255E-3</v>
      </c>
    </row>
    <row r="66" spans="1:12">
      <c r="A66" s="1">
        <v>65</v>
      </c>
      <c r="B66" s="12">
        <v>0.98251765966415405</v>
      </c>
      <c r="C66" s="12" t="s">
        <v>4</v>
      </c>
      <c r="F66" s="12">
        <v>0.32746335864067</v>
      </c>
      <c r="G66" s="12">
        <v>0.98451209068298295</v>
      </c>
      <c r="J66" t="s">
        <v>2422</v>
      </c>
      <c r="K66" s="31">
        <v>8.631380137644315E-2</v>
      </c>
      <c r="L66">
        <v>1.5793197050200797E-2</v>
      </c>
    </row>
    <row r="67" spans="1:12">
      <c r="A67" s="1">
        <v>66</v>
      </c>
      <c r="B67" s="12">
        <v>0.32746335864067</v>
      </c>
      <c r="C67" s="12" t="s">
        <v>4</v>
      </c>
      <c r="F67" s="12">
        <v>0.91761499643325795</v>
      </c>
      <c r="G67" s="12">
        <v>0.33732938766479398</v>
      </c>
      <c r="J67" t="s">
        <v>2422</v>
      </c>
      <c r="K67" s="31">
        <v>0.1370695429412942</v>
      </c>
      <c r="L67">
        <v>3.0034499659654955E-2</v>
      </c>
    </row>
    <row r="68" spans="1:12">
      <c r="A68" s="1">
        <v>67</v>
      </c>
      <c r="B68" s="12">
        <v>0.20598092675209001</v>
      </c>
      <c r="C68" s="12" t="s">
        <v>180</v>
      </c>
      <c r="F68" s="12">
        <v>0.9935884475708</v>
      </c>
      <c r="G68" s="12">
        <v>5.5309809744358E-2</v>
      </c>
      <c r="J68" t="s">
        <v>2422</v>
      </c>
      <c r="K68" s="31">
        <v>0.18782528450614525</v>
      </c>
      <c r="L68">
        <v>5.4473473176030768E-2</v>
      </c>
    </row>
    <row r="69" spans="1:12">
      <c r="A69" s="1">
        <v>68</v>
      </c>
      <c r="B69" s="12">
        <v>0.91761499643325795</v>
      </c>
      <c r="C69" s="12" t="s">
        <v>4</v>
      </c>
      <c r="F69" s="12">
        <v>0.95001482963562001</v>
      </c>
      <c r="G69" s="12">
        <v>0.36704418063163702</v>
      </c>
      <c r="J69" t="s">
        <v>2422</v>
      </c>
      <c r="K69" s="31">
        <v>0.23858102607099629</v>
      </c>
      <c r="L69">
        <v>9.4224544926642936E-2</v>
      </c>
    </row>
    <row r="70" spans="1:12">
      <c r="A70" s="1">
        <v>69</v>
      </c>
      <c r="B70" s="12">
        <v>0.9935884475708</v>
      </c>
      <c r="C70" s="12" t="s">
        <v>4</v>
      </c>
      <c r="F70" s="12">
        <v>0.39435249567031799</v>
      </c>
      <c r="G70" s="12">
        <v>2.5273870676755902E-2</v>
      </c>
      <c r="J70" t="s">
        <v>2422</v>
      </c>
      <c r="K70" s="31">
        <v>0.28933676763584737</v>
      </c>
      <c r="L70">
        <v>0.15543805322233387</v>
      </c>
    </row>
    <row r="71" spans="1:12">
      <c r="A71" s="1">
        <v>70</v>
      </c>
      <c r="B71" s="12">
        <v>0.95001482963562001</v>
      </c>
      <c r="C71" s="12" t="s">
        <v>4</v>
      </c>
      <c r="F71" s="12">
        <v>0.83469283580779996</v>
      </c>
      <c r="G71" s="12">
        <v>8.2488626241683904E-2</v>
      </c>
      <c r="J71" t="s">
        <v>2422</v>
      </c>
      <c r="K71" s="31">
        <v>0.34009250920069845</v>
      </c>
      <c r="L71">
        <v>0.24454847867196541</v>
      </c>
    </row>
    <row r="72" spans="1:12">
      <c r="A72" s="1">
        <v>71</v>
      </c>
      <c r="B72" s="12">
        <v>0.39435249567031799</v>
      </c>
      <c r="C72" s="12" t="s">
        <v>4</v>
      </c>
      <c r="F72" s="12">
        <v>0.83204883337020796</v>
      </c>
      <c r="G72" s="12">
        <v>0.95450198650360096</v>
      </c>
      <c r="J72" t="s">
        <v>2422</v>
      </c>
      <c r="K72" s="31">
        <v>0.39084825076554952</v>
      </c>
      <c r="L72">
        <v>0.36693310841602611</v>
      </c>
    </row>
    <row r="73" spans="1:12">
      <c r="A73" s="1">
        <v>72</v>
      </c>
      <c r="B73" s="12">
        <v>0.83469283580779996</v>
      </c>
      <c r="C73" s="12" t="s">
        <v>4</v>
      </c>
      <c r="F73" s="12">
        <v>0.92730593681335405</v>
      </c>
      <c r="G73" s="12">
        <v>0.22756007313728299</v>
      </c>
      <c r="J73" t="s">
        <v>2422</v>
      </c>
      <c r="K73" s="31">
        <v>0.4416039923304006</v>
      </c>
      <c r="L73">
        <v>0.52507718939961834</v>
      </c>
    </row>
    <row r="74" spans="1:12">
      <c r="A74" s="1">
        <v>73</v>
      </c>
      <c r="B74" s="12">
        <v>0.83204883337020796</v>
      </c>
      <c r="C74" s="12" t="s">
        <v>4</v>
      </c>
      <c r="F74" s="12">
        <v>0.91311621665954501</v>
      </c>
      <c r="G74" s="12">
        <v>0.62675446271896296</v>
      </c>
      <c r="J74" t="s">
        <v>2422</v>
      </c>
      <c r="K74" s="31">
        <v>0.49235973389525167</v>
      </c>
      <c r="L74">
        <v>0.71659491370989314</v>
      </c>
    </row>
    <row r="75" spans="1:12">
      <c r="A75" s="1">
        <v>74</v>
      </c>
      <c r="B75" s="12">
        <v>0.92730593681335405</v>
      </c>
      <c r="C75" s="12" t="s">
        <v>4</v>
      </c>
      <c r="F75" s="12">
        <v>0.81461113691329901</v>
      </c>
      <c r="G75" s="12">
        <v>0.20294930040836301</v>
      </c>
      <c r="J75" t="s">
        <v>2422</v>
      </c>
      <c r="K75" s="31">
        <v>0.54311547546010275</v>
      </c>
      <c r="L75">
        <v>0.93269276534108037</v>
      </c>
    </row>
    <row r="76" spans="1:12">
      <c r="A76" s="1">
        <v>75</v>
      </c>
      <c r="B76" s="12">
        <v>0.91311621665954501</v>
      </c>
      <c r="C76" s="12" t="s">
        <v>4</v>
      </c>
      <c r="F76" s="12">
        <v>0.75289803743362405</v>
      </c>
      <c r="G76" s="12">
        <v>0.177125543355941</v>
      </c>
      <c r="J76" t="s">
        <v>2422</v>
      </c>
      <c r="K76" s="31">
        <v>0.59387121702495382</v>
      </c>
      <c r="L76">
        <v>1.1577580577351971</v>
      </c>
    </row>
    <row r="77" spans="1:12">
      <c r="A77" s="1">
        <v>76</v>
      </c>
      <c r="B77" s="12">
        <v>0.81461113691329901</v>
      </c>
      <c r="C77" s="12" t="s">
        <v>4</v>
      </c>
      <c r="F77" s="12">
        <v>0.76719862222671498</v>
      </c>
      <c r="G77" s="12">
        <v>0.283405572175979</v>
      </c>
      <c r="J77" t="s">
        <v>2422</v>
      </c>
      <c r="K77" s="31">
        <v>0.6446269585898049</v>
      </c>
      <c r="L77">
        <v>1.3706019137796126</v>
      </c>
    </row>
    <row r="78" spans="1:12">
      <c r="A78" s="1">
        <v>77</v>
      </c>
      <c r="B78" s="12">
        <v>0.75289803743362405</v>
      </c>
      <c r="C78" s="12" t="s">
        <v>4</v>
      </c>
      <c r="F78" s="12">
        <v>0.84407037496566695</v>
      </c>
      <c r="G78" s="12">
        <v>6.3108310103416401E-2</v>
      </c>
      <c r="J78" t="s">
        <v>2422</v>
      </c>
      <c r="K78" s="31">
        <v>0.69538270015465597</v>
      </c>
      <c r="L78">
        <v>1.5474590774560049</v>
      </c>
    </row>
    <row r="79" spans="1:12">
      <c r="A79" s="1">
        <v>78</v>
      </c>
      <c r="B79" s="12">
        <v>0.76719862222671498</v>
      </c>
      <c r="C79" s="12" t="s">
        <v>4</v>
      </c>
      <c r="F79" s="12">
        <v>0.99325376749038696</v>
      </c>
      <c r="G79" s="12">
        <v>8.7997950613498604E-2</v>
      </c>
      <c r="J79" t="s">
        <v>2422</v>
      </c>
      <c r="K79" s="31">
        <v>0.74613844171950705</v>
      </c>
      <c r="L79">
        <v>1.6662544772831398</v>
      </c>
    </row>
    <row r="80" spans="1:12">
      <c r="A80" s="1">
        <v>79</v>
      </c>
      <c r="B80" s="12">
        <v>0.84407037496566695</v>
      </c>
      <c r="C80" s="12" t="s">
        <v>4</v>
      </c>
      <c r="F80" s="12">
        <v>0.99493658542633001</v>
      </c>
      <c r="G80" s="12">
        <v>0.32132005691528298</v>
      </c>
      <c r="J80" t="s">
        <v>2422</v>
      </c>
      <c r="K80" s="31">
        <v>0.79689418328435813</v>
      </c>
      <c r="L80">
        <v>1.7111095030761125</v>
      </c>
    </row>
    <row r="81" spans="1:12">
      <c r="A81" s="1">
        <v>80</v>
      </c>
      <c r="B81" s="12">
        <v>0.99325376749038696</v>
      </c>
      <c r="C81" s="12" t="s">
        <v>4</v>
      </c>
      <c r="F81" s="12">
        <v>0.90744405984878496</v>
      </c>
      <c r="G81" s="12">
        <v>0.21911388635635301</v>
      </c>
      <c r="J81" t="s">
        <v>2422</v>
      </c>
      <c r="K81" s="31">
        <v>0.8476499248492092</v>
      </c>
      <c r="L81">
        <v>1.6758247283822905</v>
      </c>
    </row>
    <row r="82" spans="1:12">
      <c r="A82" s="1">
        <v>81</v>
      </c>
      <c r="B82" s="12">
        <v>0.99493658542633001</v>
      </c>
      <c r="C82" s="12" t="s">
        <v>4</v>
      </c>
      <c r="F82" s="12">
        <v>0.95393610000610296</v>
      </c>
      <c r="G82" s="12">
        <v>0.200569182634353</v>
      </c>
      <c r="J82" t="s">
        <v>2422</v>
      </c>
      <c r="K82" s="31">
        <v>0.89840566641406028</v>
      </c>
      <c r="L82">
        <v>1.5652860085211684</v>
      </c>
    </row>
    <row r="83" spans="1:12">
      <c r="A83" s="1">
        <v>82</v>
      </c>
      <c r="B83" s="12">
        <v>0.90744405984878496</v>
      </c>
      <c r="C83" s="12" t="s">
        <v>4</v>
      </c>
      <c r="F83" s="12">
        <v>0.88722848892211903</v>
      </c>
      <c r="G83" s="12">
        <v>0.27004224061965898</v>
      </c>
      <c r="J83" t="s">
        <v>2422</v>
      </c>
      <c r="K83" s="31">
        <v>0.94916140797891135</v>
      </c>
      <c r="L83">
        <v>1.3943542649427547</v>
      </c>
    </row>
    <row r="84" spans="1:12">
      <c r="A84" s="1">
        <v>83</v>
      </c>
      <c r="B84" s="12">
        <v>0.95393610000610296</v>
      </c>
      <c r="C84" s="12" t="s">
        <v>4</v>
      </c>
      <c r="F84" s="12">
        <v>0.98628520965576105</v>
      </c>
      <c r="G84" s="12">
        <v>0.57539457082748402</v>
      </c>
      <c r="J84" t="s">
        <v>2422</v>
      </c>
      <c r="K84" s="31">
        <v>0.99991714954376243</v>
      </c>
      <c r="L84">
        <v>1.1845867564079373</v>
      </c>
    </row>
    <row r="85" spans="1:12">
      <c r="A85" s="1">
        <v>84</v>
      </c>
      <c r="B85" s="12">
        <v>0.88722848892211903</v>
      </c>
      <c r="C85" s="12" t="s">
        <v>4</v>
      </c>
      <c r="F85" s="12">
        <v>0.43315577507018999</v>
      </c>
      <c r="G85" s="12">
        <v>0.19556820392608601</v>
      </c>
      <c r="J85" t="s">
        <v>2423</v>
      </c>
      <c r="K85" s="32">
        <v>1.26592889428138E-2</v>
      </c>
      <c r="L85">
        <f t="shared" ref="L85:L104" si="4">_xlfn.NORM.DIST(K85,K$8,K$9,0)</f>
        <v>5.7117281721818548E-3</v>
      </c>
    </row>
    <row r="86" spans="1:12">
      <c r="A86" s="1">
        <v>85</v>
      </c>
      <c r="B86" s="12">
        <v>0.98628520965576105</v>
      </c>
      <c r="C86" s="12" t="s">
        <v>4</v>
      </c>
      <c r="F86" s="12">
        <v>0.98381930589675903</v>
      </c>
      <c r="G86" s="12">
        <v>0.88368165493011397</v>
      </c>
      <c r="J86" t="s">
        <v>2423</v>
      </c>
      <c r="K86" s="32">
        <v>6.4595147967338493E-2</v>
      </c>
      <c r="L86">
        <f t="shared" si="4"/>
        <v>1.1823093246058637E-2</v>
      </c>
    </row>
    <row r="87" spans="1:12">
      <c r="A87" s="1">
        <v>86</v>
      </c>
      <c r="B87" s="12">
        <v>0.43315577507018999</v>
      </c>
      <c r="C87" s="12" t="s">
        <v>4</v>
      </c>
      <c r="F87" s="12">
        <v>0.97851073741912797</v>
      </c>
      <c r="G87" s="12">
        <v>0.139849454164505</v>
      </c>
      <c r="J87" t="s">
        <v>2423</v>
      </c>
      <c r="K87" s="32">
        <v>0.1165310069918632</v>
      </c>
      <c r="L87">
        <f t="shared" si="4"/>
        <v>2.3288451678998449E-2</v>
      </c>
    </row>
    <row r="88" spans="1:12">
      <c r="A88" s="1">
        <v>87</v>
      </c>
      <c r="B88" s="12">
        <v>0.98381930589675903</v>
      </c>
      <c r="C88" s="12" t="s">
        <v>4</v>
      </c>
      <c r="F88" s="12">
        <v>0.99311006069183305</v>
      </c>
      <c r="G88" s="12">
        <v>0.92029070854187001</v>
      </c>
      <c r="J88" t="s">
        <v>2423</v>
      </c>
      <c r="K88" s="32">
        <v>0.16846686601638788</v>
      </c>
      <c r="L88">
        <f t="shared" si="4"/>
        <v>4.3651184523675911E-2</v>
      </c>
    </row>
    <row r="89" spans="1:12">
      <c r="A89" s="1">
        <v>88</v>
      </c>
      <c r="B89" s="12">
        <v>0.97851073741912797</v>
      </c>
      <c r="C89" s="12" t="s">
        <v>4</v>
      </c>
      <c r="F89" s="12">
        <v>0.91973370313644398</v>
      </c>
      <c r="G89" s="12">
        <v>0.115548834204673</v>
      </c>
      <c r="J89" t="s">
        <v>2423</v>
      </c>
      <c r="K89" s="32">
        <v>0.22040272504091257</v>
      </c>
      <c r="L89">
        <f t="shared" si="4"/>
        <v>7.7856946623508366E-2</v>
      </c>
    </row>
    <row r="90" spans="1:12">
      <c r="A90" s="1">
        <v>89</v>
      </c>
      <c r="B90" s="12">
        <v>0.99311006069183305</v>
      </c>
      <c r="C90" s="12" t="s">
        <v>4</v>
      </c>
      <c r="F90" s="12">
        <v>0.45491218566894498</v>
      </c>
      <c r="G90" s="12">
        <v>8.3312466740608201E-2</v>
      </c>
      <c r="J90" t="s">
        <v>2423</v>
      </c>
      <c r="K90" s="32">
        <v>0.27233858406543726</v>
      </c>
      <c r="L90">
        <f t="shared" si="4"/>
        <v>0.1321431389187698</v>
      </c>
    </row>
    <row r="91" spans="1:12">
      <c r="A91" s="1">
        <v>90</v>
      </c>
      <c r="B91" s="12">
        <v>0.91973370313644398</v>
      </c>
      <c r="C91" s="12" t="s">
        <v>4</v>
      </c>
      <c r="F91" s="12">
        <v>0.96497434377670199</v>
      </c>
      <c r="G91" s="12">
        <v>0.27414003014564498</v>
      </c>
      <c r="J91" t="s">
        <v>2423</v>
      </c>
      <c r="K91" s="32">
        <v>0.32427444308996195</v>
      </c>
      <c r="L91">
        <f t="shared" si="4"/>
        <v>0.21342131264460051</v>
      </c>
    </row>
    <row r="92" spans="1:12">
      <c r="A92" s="1">
        <v>91</v>
      </c>
      <c r="B92" s="12">
        <v>0.45491218566894498</v>
      </c>
      <c r="C92" s="12" t="s">
        <v>4</v>
      </c>
      <c r="F92" s="12">
        <v>0.95183527469634999</v>
      </c>
      <c r="G92" s="12">
        <v>3.6882787942886297E-2</v>
      </c>
      <c r="J92" t="s">
        <v>2423</v>
      </c>
      <c r="K92" s="32">
        <v>0.37621030211448664</v>
      </c>
      <c r="L92">
        <f t="shared" si="4"/>
        <v>0.32800228663588799</v>
      </c>
    </row>
    <row r="93" spans="1:12">
      <c r="A93" s="1">
        <v>92</v>
      </c>
      <c r="B93" s="12">
        <v>0.96497434377670199</v>
      </c>
      <c r="C93" s="12" t="s">
        <v>4</v>
      </c>
      <c r="F93" s="12">
        <v>0.96449285745620705</v>
      </c>
      <c r="G93" s="12">
        <v>0.128162145614624</v>
      </c>
      <c r="J93" t="s">
        <v>2423</v>
      </c>
      <c r="K93" s="32">
        <v>0.42814616113901133</v>
      </c>
      <c r="L93">
        <f t="shared" si="4"/>
        <v>0.47969133413467041</v>
      </c>
    </row>
    <row r="94" spans="1:12">
      <c r="A94" s="1">
        <v>93</v>
      </c>
      <c r="B94" s="12">
        <v>0.95183527469634999</v>
      </c>
      <c r="C94" s="12" t="s">
        <v>4</v>
      </c>
      <c r="F94" s="12">
        <v>0.92965507507324197</v>
      </c>
      <c r="G94" s="12">
        <v>0.106242060661315</v>
      </c>
      <c r="J94" t="s">
        <v>2423</v>
      </c>
      <c r="K94" s="32">
        <v>0.48008202016353602</v>
      </c>
      <c r="L94">
        <f t="shared" si="4"/>
        <v>0.66756381971518852</v>
      </c>
    </row>
    <row r="95" spans="1:12">
      <c r="A95" s="1">
        <v>94</v>
      </c>
      <c r="B95" s="12">
        <v>0.96449285745620705</v>
      </c>
      <c r="C95" s="12" t="s">
        <v>4</v>
      </c>
      <c r="F95" s="12">
        <v>0.97842854261398304</v>
      </c>
      <c r="G95" s="12">
        <v>5.8459598571061998E-2</v>
      </c>
      <c r="J95" t="s">
        <v>2423</v>
      </c>
      <c r="K95" s="32">
        <v>0.53201787918806076</v>
      </c>
      <c r="L95">
        <f t="shared" si="4"/>
        <v>0.88403533857260586</v>
      </c>
    </row>
    <row r="96" spans="1:12">
      <c r="A96" s="1">
        <v>95</v>
      </c>
      <c r="B96" s="12">
        <v>0.92965507507324197</v>
      </c>
      <c r="C96" s="12" t="s">
        <v>4</v>
      </c>
      <c r="F96" s="12">
        <v>0.90665405988693204</v>
      </c>
      <c r="G96" s="12">
        <v>7.7553220093250205E-2</v>
      </c>
      <c r="J96" t="s">
        <v>2423</v>
      </c>
      <c r="K96" s="32">
        <v>0.58395373821258545</v>
      </c>
      <c r="L96">
        <f t="shared" si="4"/>
        <v>1.1140184348322786</v>
      </c>
    </row>
    <row r="97" spans="1:12">
      <c r="A97" s="1">
        <v>96</v>
      </c>
      <c r="B97" s="12">
        <v>0.97842854261398304</v>
      </c>
      <c r="C97" s="12" t="s">
        <v>4</v>
      </c>
      <c r="F97" s="12">
        <v>0.95705640316009499</v>
      </c>
      <c r="G97" s="12">
        <v>0.21499410271644501</v>
      </c>
      <c r="J97" t="s">
        <v>2423</v>
      </c>
      <c r="K97" s="32">
        <v>0.63588959723711014</v>
      </c>
      <c r="L97">
        <f t="shared" si="4"/>
        <v>1.3358603083170351</v>
      </c>
    </row>
    <row r="98" spans="1:12">
      <c r="A98" s="1">
        <v>97</v>
      </c>
      <c r="B98" s="12">
        <v>0.90665405988693204</v>
      </c>
      <c r="C98" s="12" t="s">
        <v>4</v>
      </c>
      <c r="F98" s="12">
        <v>0.95061016082763605</v>
      </c>
      <c r="G98" s="12">
        <v>0.25384604930877602</v>
      </c>
      <c r="J98" t="s">
        <v>2423</v>
      </c>
      <c r="K98" s="32">
        <v>0.68782545626163483</v>
      </c>
      <c r="L98">
        <f t="shared" si="4"/>
        <v>1.5243181869453255</v>
      </c>
    </row>
    <row r="99" spans="1:12">
      <c r="A99" s="1">
        <v>98</v>
      </c>
      <c r="B99" s="12">
        <v>0.95705640316009499</v>
      </c>
      <c r="C99" s="12" t="s">
        <v>4</v>
      </c>
      <c r="F99" s="12">
        <v>0.97701102495193404</v>
      </c>
      <c r="G99" s="12">
        <v>0.28270047903060902</v>
      </c>
      <c r="J99" t="s">
        <v>2423</v>
      </c>
      <c r="K99" s="32">
        <v>0.73976131528615952</v>
      </c>
      <c r="L99">
        <f t="shared" si="4"/>
        <v>1.6551453311347073</v>
      </c>
    </row>
    <row r="100" spans="1:12">
      <c r="A100" s="1">
        <v>99</v>
      </c>
      <c r="B100" s="12">
        <v>0.95061016082763605</v>
      </c>
      <c r="C100" s="12" t="s">
        <v>4</v>
      </c>
      <c r="F100" s="12">
        <v>0.65704399347305298</v>
      </c>
      <c r="G100" s="12">
        <v>0.48824149370193398</v>
      </c>
      <c r="J100" t="s">
        <v>2423</v>
      </c>
      <c r="K100" s="32">
        <v>0.7916971743106842</v>
      </c>
      <c r="L100">
        <f t="shared" si="4"/>
        <v>1.7101828701043813</v>
      </c>
    </row>
    <row r="101" spans="1:12">
      <c r="A101" s="1">
        <v>100</v>
      </c>
      <c r="B101" s="12">
        <v>0.97701102495193404</v>
      </c>
      <c r="C101" s="12" t="s">
        <v>4</v>
      </c>
      <c r="F101" s="12">
        <v>0.969096720218658</v>
      </c>
      <c r="G101" s="12">
        <v>3.5546608269214602E-2</v>
      </c>
      <c r="J101" t="s">
        <v>2423</v>
      </c>
      <c r="K101" s="32">
        <v>0.84363303333520889</v>
      </c>
      <c r="L101">
        <f t="shared" si="4"/>
        <v>1.6814923179993071</v>
      </c>
    </row>
    <row r="102" spans="1:12">
      <c r="A102" s="1">
        <v>101</v>
      </c>
      <c r="B102" s="12">
        <v>0.65704399347305298</v>
      </c>
      <c r="C102" s="12" t="s">
        <v>4</v>
      </c>
      <c r="F102" s="12">
        <v>0.82639211416244496</v>
      </c>
      <c r="G102" s="12">
        <v>0.137043923139572</v>
      </c>
      <c r="J102" t="s">
        <v>2423</v>
      </c>
      <c r="K102" s="32">
        <v>0.89556889235973358</v>
      </c>
      <c r="L102">
        <f t="shared" si="4"/>
        <v>1.5732333342270766</v>
      </c>
    </row>
    <row r="103" spans="1:12">
      <c r="A103" s="1">
        <v>102</v>
      </c>
      <c r="B103" s="12">
        <v>0.969096720218658</v>
      </c>
      <c r="C103" s="12" t="s">
        <v>4</v>
      </c>
      <c r="F103" s="12">
        <v>0.997683405876159</v>
      </c>
      <c r="G103" s="12">
        <v>0.283058911561965</v>
      </c>
      <c r="J103" t="s">
        <v>2423</v>
      </c>
      <c r="K103" s="32">
        <v>0.94750475138425827</v>
      </c>
      <c r="L103">
        <f t="shared" si="4"/>
        <v>1.4006747795585186</v>
      </c>
    </row>
    <row r="104" spans="1:12">
      <c r="A104" s="1">
        <v>103</v>
      </c>
      <c r="B104" s="12">
        <v>0.82639211416244496</v>
      </c>
      <c r="C104" s="12" t="s">
        <v>4</v>
      </c>
      <c r="F104" s="12">
        <v>0.94211882352828902</v>
      </c>
      <c r="G104" s="12">
        <v>0.65879911184310902</v>
      </c>
      <c r="J104" t="s">
        <v>2423</v>
      </c>
      <c r="K104" s="32">
        <v>0.99944061040878296</v>
      </c>
      <c r="L104">
        <f t="shared" si="4"/>
        <v>1.1866629817077483</v>
      </c>
    </row>
    <row r="105" spans="1:12">
      <c r="A105" s="1">
        <v>104</v>
      </c>
      <c r="B105" s="12">
        <v>0.997683405876159</v>
      </c>
      <c r="C105" s="12" t="s">
        <v>4</v>
      </c>
      <c r="F105" s="12">
        <v>0.71829396486282304</v>
      </c>
      <c r="G105" s="12">
        <v>5.6681971997022601E-2</v>
      </c>
    </row>
    <row r="106" spans="1:12">
      <c r="A106" s="1">
        <v>105</v>
      </c>
      <c r="B106" s="12">
        <v>0.94211882352828902</v>
      </c>
      <c r="C106" s="12" t="s">
        <v>4</v>
      </c>
      <c r="F106" s="12">
        <v>0.94636553525924605</v>
      </c>
      <c r="G106" s="12">
        <v>0.18148839473724299</v>
      </c>
    </row>
    <row r="107" spans="1:12">
      <c r="A107" s="1">
        <v>106</v>
      </c>
      <c r="B107" s="12">
        <v>0.71829396486282304</v>
      </c>
      <c r="C107" s="12" t="s">
        <v>4</v>
      </c>
      <c r="F107" s="12">
        <v>0.23104912042617701</v>
      </c>
      <c r="G107" s="12">
        <v>0.16690260171890201</v>
      </c>
    </row>
    <row r="108" spans="1:12">
      <c r="A108" s="1">
        <v>107</v>
      </c>
      <c r="B108" s="12">
        <v>0.94636553525924605</v>
      </c>
      <c r="C108" s="12" t="s">
        <v>4</v>
      </c>
      <c r="F108" s="12">
        <v>0.95808684825897195</v>
      </c>
      <c r="G108" s="12">
        <v>0.15281139314174599</v>
      </c>
    </row>
    <row r="109" spans="1:12">
      <c r="A109" s="1">
        <v>108</v>
      </c>
      <c r="B109" s="12">
        <v>0.23104912042617701</v>
      </c>
      <c r="C109" s="12" t="s">
        <v>4</v>
      </c>
      <c r="F109" s="12">
        <v>0.92105412483215299</v>
      </c>
      <c r="G109" s="12">
        <v>0.22146093845367401</v>
      </c>
    </row>
    <row r="110" spans="1:12">
      <c r="A110" s="1">
        <v>109</v>
      </c>
      <c r="B110" s="12">
        <v>0.95808684825897195</v>
      </c>
      <c r="C110" s="12" t="s">
        <v>4</v>
      </c>
      <c r="F110" s="12">
        <v>0.99809199571609497</v>
      </c>
      <c r="G110" s="12">
        <v>0.28676006197929299</v>
      </c>
    </row>
    <row r="111" spans="1:12">
      <c r="A111" s="1">
        <v>110</v>
      </c>
      <c r="B111" s="12">
        <v>0.92105412483215299</v>
      </c>
      <c r="C111" s="12" t="s">
        <v>4</v>
      </c>
      <c r="F111" s="12">
        <v>0.72486984729766801</v>
      </c>
      <c r="G111" s="12">
        <v>0.13922554254531799</v>
      </c>
    </row>
    <row r="112" spans="1:12">
      <c r="A112" s="1">
        <v>111</v>
      </c>
      <c r="B112" s="12">
        <v>0.99809199571609497</v>
      </c>
      <c r="C112" s="12" t="s">
        <v>4</v>
      </c>
      <c r="F112" s="12">
        <v>0.99674338102340698</v>
      </c>
      <c r="G112" s="12">
        <v>0.10980452597141201</v>
      </c>
    </row>
    <row r="113" spans="1:7">
      <c r="A113" s="1">
        <v>112</v>
      </c>
      <c r="B113" s="12">
        <v>0.72486984729766801</v>
      </c>
      <c r="C113" s="12" t="s">
        <v>4</v>
      </c>
      <c r="F113" s="12">
        <v>0.82372587919235196</v>
      </c>
      <c r="G113" s="12">
        <v>0.461773872375488</v>
      </c>
    </row>
    <row r="114" spans="1:7">
      <c r="A114" s="1">
        <v>113</v>
      </c>
      <c r="B114" s="12">
        <v>0.99674338102340698</v>
      </c>
      <c r="C114" s="12" t="s">
        <v>4</v>
      </c>
      <c r="F114" s="12">
        <v>0.99886202812194802</v>
      </c>
      <c r="G114" s="12">
        <v>0.35915133357048001</v>
      </c>
    </row>
    <row r="115" spans="1:7">
      <c r="A115" s="1">
        <v>114</v>
      </c>
      <c r="B115" s="12">
        <v>0.82372587919235196</v>
      </c>
      <c r="C115" s="12" t="s">
        <v>4</v>
      </c>
      <c r="F115" s="12">
        <v>0.87010729312896695</v>
      </c>
      <c r="G115" s="12">
        <v>0.42929938435554499</v>
      </c>
    </row>
    <row r="116" spans="1:7">
      <c r="A116" s="1">
        <v>115</v>
      </c>
      <c r="B116" s="12">
        <v>0.99886202812194802</v>
      </c>
      <c r="C116" s="12" t="s">
        <v>4</v>
      </c>
      <c r="F116" s="12">
        <v>9.1922327876091003E-2</v>
      </c>
      <c r="G116" s="12">
        <v>9.3791030347347204E-2</v>
      </c>
    </row>
    <row r="117" spans="1:7">
      <c r="A117" s="1">
        <v>116</v>
      </c>
      <c r="B117" s="12">
        <v>0.87010729312896695</v>
      </c>
      <c r="C117" s="12" t="s">
        <v>4</v>
      </c>
      <c r="F117" s="12">
        <v>0.99678301811218195</v>
      </c>
      <c r="G117" s="12">
        <v>0.111288137733936</v>
      </c>
    </row>
    <row r="118" spans="1:7">
      <c r="A118" s="1">
        <v>117</v>
      </c>
      <c r="B118" s="12">
        <v>9.1922327876091003E-2</v>
      </c>
      <c r="C118" s="12" t="s">
        <v>4</v>
      </c>
      <c r="F118" s="12">
        <v>0.99989199638366699</v>
      </c>
      <c r="G118" s="12">
        <v>0.26368051767349199</v>
      </c>
    </row>
    <row r="119" spans="1:7">
      <c r="A119" s="1">
        <v>118</v>
      </c>
      <c r="B119" s="12">
        <v>0.99678301811218195</v>
      </c>
      <c r="C119" s="12" t="s">
        <v>4</v>
      </c>
      <c r="F119" s="12">
        <v>0.94141876697540205</v>
      </c>
      <c r="G119" s="12">
        <v>0.20906537771224901</v>
      </c>
    </row>
    <row r="120" spans="1:7">
      <c r="A120" s="1">
        <v>119</v>
      </c>
      <c r="B120" s="12">
        <v>0.99989199638366699</v>
      </c>
      <c r="C120" s="12" t="s">
        <v>4</v>
      </c>
      <c r="F120" s="12">
        <v>0.58667123317718495</v>
      </c>
      <c r="G120" s="12">
        <v>0.24291072785854301</v>
      </c>
    </row>
    <row r="121" spans="1:7">
      <c r="A121" s="1">
        <v>120</v>
      </c>
      <c r="B121" s="12">
        <v>0.94141876697540205</v>
      </c>
      <c r="C121" s="12" t="s">
        <v>4</v>
      </c>
      <c r="F121" s="12">
        <v>0.98961204290390004</v>
      </c>
      <c r="G121" s="12">
        <v>0.36366945505142201</v>
      </c>
    </row>
    <row r="122" spans="1:7">
      <c r="A122" s="1">
        <v>121</v>
      </c>
      <c r="B122" s="12">
        <v>0.58667123317718495</v>
      </c>
      <c r="C122" s="12" t="s">
        <v>4</v>
      </c>
      <c r="F122" s="12">
        <v>0.95666152238845803</v>
      </c>
      <c r="G122" s="12">
        <v>0.11568672209978099</v>
      </c>
    </row>
    <row r="123" spans="1:7">
      <c r="A123" s="1">
        <v>122</v>
      </c>
      <c r="B123" s="12">
        <v>0.98961204290390004</v>
      </c>
      <c r="C123" s="12" t="s">
        <v>4</v>
      </c>
      <c r="F123" s="12">
        <v>0.95916962623596103</v>
      </c>
      <c r="G123" s="12">
        <v>0.16919729113578699</v>
      </c>
    </row>
    <row r="124" spans="1:7">
      <c r="A124" s="1">
        <v>123</v>
      </c>
      <c r="B124" s="12">
        <v>0.95666152238845803</v>
      </c>
      <c r="C124" s="12" t="s">
        <v>4</v>
      </c>
      <c r="F124" s="12">
        <v>0.88013416528701705</v>
      </c>
      <c r="G124" s="12">
        <v>0.397606492042541</v>
      </c>
    </row>
    <row r="125" spans="1:7">
      <c r="A125" s="1">
        <v>124</v>
      </c>
      <c r="B125" s="12">
        <v>0.31531342864036499</v>
      </c>
      <c r="C125" s="12" t="s">
        <v>180</v>
      </c>
      <c r="F125" s="12">
        <v>0.58041089773178101</v>
      </c>
      <c r="G125" s="12">
        <v>0.177438333630561</v>
      </c>
    </row>
    <row r="126" spans="1:7">
      <c r="A126" s="1">
        <v>125</v>
      </c>
      <c r="B126" s="12">
        <v>0.95916962623596103</v>
      </c>
      <c r="C126" s="12" t="s">
        <v>4</v>
      </c>
      <c r="F126" s="12">
        <v>0.99991619586944502</v>
      </c>
      <c r="G126" s="12">
        <v>0.18998347222805001</v>
      </c>
    </row>
    <row r="127" spans="1:7">
      <c r="A127" s="1">
        <v>126</v>
      </c>
      <c r="B127" s="12">
        <v>0.88013416528701705</v>
      </c>
      <c r="C127" s="12" t="s">
        <v>4</v>
      </c>
      <c r="F127" s="12">
        <v>0.59579032659530595</v>
      </c>
      <c r="G127" s="12">
        <v>0.97831624746322599</v>
      </c>
    </row>
    <row r="128" spans="1:7">
      <c r="A128" s="1">
        <v>127</v>
      </c>
      <c r="B128" s="12">
        <v>0.58041089773178101</v>
      </c>
      <c r="C128" s="12" t="s">
        <v>4</v>
      </c>
      <c r="F128" s="12">
        <v>0.94922727346420199</v>
      </c>
      <c r="G128" s="12">
        <v>9.6357233822345706E-2</v>
      </c>
    </row>
    <row r="129" spans="1:7">
      <c r="A129" s="1">
        <v>128</v>
      </c>
      <c r="B129" s="12">
        <v>0.99991619586944502</v>
      </c>
      <c r="C129" s="12" t="s">
        <v>4</v>
      </c>
      <c r="F129" s="12">
        <v>0.90524768829345703</v>
      </c>
      <c r="G129" s="12">
        <v>0.40594673156738198</v>
      </c>
    </row>
    <row r="130" spans="1:7">
      <c r="A130" s="1">
        <v>129</v>
      </c>
      <c r="B130" s="12">
        <v>0.59579032659530595</v>
      </c>
      <c r="C130" s="12" t="s">
        <v>4</v>
      </c>
      <c r="F130" s="12">
        <v>0.79624861478805498</v>
      </c>
      <c r="G130" s="12">
        <v>0.30564203858375499</v>
      </c>
    </row>
    <row r="131" spans="1:7">
      <c r="A131" s="1">
        <v>130</v>
      </c>
      <c r="B131" s="12">
        <v>0.94922727346420199</v>
      </c>
      <c r="C131" s="12" t="s">
        <v>4</v>
      </c>
      <c r="F131" s="12">
        <v>0.99757713079452504</v>
      </c>
      <c r="G131" s="12">
        <v>4.7433603554964003E-2</v>
      </c>
    </row>
    <row r="132" spans="1:7">
      <c r="A132" s="1">
        <v>131</v>
      </c>
      <c r="B132" s="12">
        <v>0.90524768829345703</v>
      </c>
      <c r="C132" s="12" t="s">
        <v>4</v>
      </c>
      <c r="F132" s="12">
        <v>0.57917910814285201</v>
      </c>
      <c r="G132" s="12">
        <v>8.6933463811874306E-2</v>
      </c>
    </row>
    <row r="133" spans="1:7">
      <c r="A133" s="1">
        <v>132</v>
      </c>
      <c r="B133" s="12">
        <v>0.79624861478805498</v>
      </c>
      <c r="C133" s="12" t="s">
        <v>4</v>
      </c>
      <c r="F133" s="12">
        <v>0.99488055706024103</v>
      </c>
      <c r="G133" s="12">
        <v>0.292866200208663</v>
      </c>
    </row>
    <row r="134" spans="1:7">
      <c r="A134" s="1">
        <v>133</v>
      </c>
      <c r="B134" s="12">
        <v>0.99757713079452504</v>
      </c>
      <c r="C134" s="12" t="s">
        <v>4</v>
      </c>
      <c r="F134" s="12">
        <v>0.99950158596038796</v>
      </c>
    </row>
    <row r="135" spans="1:7">
      <c r="A135" s="1">
        <v>134</v>
      </c>
      <c r="B135" s="12">
        <v>0.57917910814285201</v>
      </c>
      <c r="C135" s="12" t="s">
        <v>4</v>
      </c>
      <c r="F135" s="12">
        <v>0.56890785694122303</v>
      </c>
    </row>
    <row r="136" spans="1:7">
      <c r="A136" s="1">
        <v>135</v>
      </c>
      <c r="B136" s="12">
        <v>0.99488055706024103</v>
      </c>
      <c r="C136" s="12" t="s">
        <v>4</v>
      </c>
      <c r="F136" s="12">
        <v>0.97035026550292902</v>
      </c>
    </row>
    <row r="137" spans="1:7">
      <c r="A137" s="1">
        <v>136</v>
      </c>
      <c r="B137" s="12">
        <v>0.13540565967559801</v>
      </c>
      <c r="C137" s="12" t="s">
        <v>180</v>
      </c>
      <c r="F137" s="12">
        <v>0.99175584316253595</v>
      </c>
    </row>
    <row r="138" spans="1:7">
      <c r="A138" s="1">
        <v>137</v>
      </c>
      <c r="B138" s="12">
        <v>0.99950158596038796</v>
      </c>
      <c r="C138" s="12" t="s">
        <v>4</v>
      </c>
      <c r="F138" s="12">
        <v>0.71612447500228804</v>
      </c>
    </row>
    <row r="139" spans="1:7">
      <c r="A139" s="1">
        <v>138</v>
      </c>
      <c r="B139" s="12">
        <v>0.56890785694122303</v>
      </c>
      <c r="C139" s="12" t="s">
        <v>4</v>
      </c>
      <c r="F139" s="12">
        <v>0.753481864929199</v>
      </c>
    </row>
    <row r="140" spans="1:7">
      <c r="A140" s="1">
        <v>139</v>
      </c>
      <c r="B140" s="12">
        <v>0.97035026550292902</v>
      </c>
      <c r="C140" s="12" t="s">
        <v>4</v>
      </c>
      <c r="F140" s="12">
        <v>0.98784780502319303</v>
      </c>
    </row>
    <row r="141" spans="1:7">
      <c r="A141" s="1">
        <v>140</v>
      </c>
      <c r="B141" s="12">
        <v>0.99175584316253595</v>
      </c>
      <c r="C141" s="12" t="s">
        <v>4</v>
      </c>
      <c r="F141" s="12">
        <v>0.96814268827438299</v>
      </c>
    </row>
    <row r="142" spans="1:7">
      <c r="A142" s="1">
        <v>141</v>
      </c>
      <c r="B142" s="12">
        <v>0.71612447500228804</v>
      </c>
      <c r="C142" s="12" t="s">
        <v>4</v>
      </c>
      <c r="F142" s="12">
        <v>0.91075307130813599</v>
      </c>
    </row>
    <row r="143" spans="1:7">
      <c r="A143" s="1">
        <v>142</v>
      </c>
      <c r="B143" s="12">
        <v>0.753481864929199</v>
      </c>
      <c r="C143" s="12" t="s">
        <v>4</v>
      </c>
      <c r="F143" s="12">
        <v>0.94377201795578003</v>
      </c>
    </row>
    <row r="144" spans="1:7">
      <c r="A144" s="1">
        <v>143</v>
      </c>
      <c r="B144" s="12">
        <v>0.98784780502319303</v>
      </c>
      <c r="C144" s="12" t="s">
        <v>4</v>
      </c>
      <c r="F144" s="12">
        <v>0.815604388713836</v>
      </c>
    </row>
    <row r="145" spans="1:6">
      <c r="A145" s="1">
        <v>144</v>
      </c>
      <c r="B145" s="12">
        <v>0.96814268827438299</v>
      </c>
      <c r="C145" s="12" t="s">
        <v>4</v>
      </c>
      <c r="F145" s="12">
        <v>0.48538702726364102</v>
      </c>
    </row>
    <row r="146" spans="1:6">
      <c r="A146" s="1">
        <v>145</v>
      </c>
      <c r="B146" s="12">
        <v>0.91075307130813599</v>
      </c>
      <c r="C146" s="12" t="s">
        <v>4</v>
      </c>
      <c r="F146" s="12">
        <v>0.81711721420287997</v>
      </c>
    </row>
    <row r="147" spans="1:6">
      <c r="A147" s="1">
        <v>146</v>
      </c>
      <c r="B147" s="12">
        <v>2.2531736642122199E-2</v>
      </c>
      <c r="C147" s="12" t="s">
        <v>180</v>
      </c>
      <c r="F147" s="12">
        <v>0.89251458644866899</v>
      </c>
    </row>
    <row r="148" spans="1:6">
      <c r="A148" s="1">
        <v>147</v>
      </c>
      <c r="B148" s="12">
        <v>0.94377201795578003</v>
      </c>
      <c r="C148" s="12" t="s">
        <v>4</v>
      </c>
      <c r="F148" s="12">
        <v>0.92952167987823398</v>
      </c>
    </row>
    <row r="149" spans="1:6">
      <c r="A149" s="1">
        <v>148</v>
      </c>
      <c r="B149" s="12">
        <v>0.815604388713836</v>
      </c>
      <c r="C149" s="12" t="s">
        <v>4</v>
      </c>
      <c r="F149" s="12">
        <v>0.94025248289108199</v>
      </c>
    </row>
    <row r="150" spans="1:6">
      <c r="A150" s="1">
        <v>149</v>
      </c>
      <c r="B150" s="12">
        <v>0.48538702726364102</v>
      </c>
      <c r="C150" s="12" t="s">
        <v>4</v>
      </c>
      <c r="F150" s="12">
        <v>0.96686154603958097</v>
      </c>
    </row>
    <row r="151" spans="1:6">
      <c r="A151" s="1">
        <v>150</v>
      </c>
      <c r="B151" s="12">
        <v>0.81711721420287997</v>
      </c>
      <c r="C151" s="12" t="s">
        <v>4</v>
      </c>
      <c r="F151" s="12">
        <v>0.98803687095642001</v>
      </c>
    </row>
    <row r="152" spans="1:6">
      <c r="A152" s="1">
        <v>151</v>
      </c>
      <c r="B152" s="12">
        <v>0.89251458644866899</v>
      </c>
      <c r="C152" s="12" t="s">
        <v>4</v>
      </c>
      <c r="F152" s="12">
        <v>0.911571204662323</v>
      </c>
    </row>
    <row r="153" spans="1:6">
      <c r="A153" s="1">
        <v>152</v>
      </c>
      <c r="B153" s="12">
        <v>0.92952167987823398</v>
      </c>
      <c r="C153" s="12" t="s">
        <v>4</v>
      </c>
      <c r="F153" s="12">
        <v>0.90617650747299106</v>
      </c>
    </row>
    <row r="154" spans="1:6">
      <c r="A154" s="1">
        <v>153</v>
      </c>
      <c r="B154" s="12">
        <v>0.94025248289108199</v>
      </c>
      <c r="C154" s="12" t="s">
        <v>4</v>
      </c>
      <c r="F154" s="12">
        <v>0.98106062412261896</v>
      </c>
    </row>
    <row r="155" spans="1:6">
      <c r="A155" s="1">
        <v>154</v>
      </c>
      <c r="B155" s="12">
        <v>0.96686154603958097</v>
      </c>
      <c r="C155" s="12" t="s">
        <v>4</v>
      </c>
      <c r="F155" s="12">
        <v>0.93837994337081898</v>
      </c>
    </row>
    <row r="156" spans="1:6">
      <c r="A156" s="1">
        <v>155</v>
      </c>
      <c r="B156" s="12">
        <v>0.98803687095642001</v>
      </c>
      <c r="C156" s="12" t="s">
        <v>4</v>
      </c>
      <c r="F156" s="12">
        <v>0.89817374944686801</v>
      </c>
    </row>
    <row r="157" spans="1:6">
      <c r="A157" s="1">
        <v>156</v>
      </c>
      <c r="B157" s="12">
        <v>0.911571204662323</v>
      </c>
      <c r="C157" s="12" t="s">
        <v>4</v>
      </c>
      <c r="F157" s="12">
        <v>0.932667136192321</v>
      </c>
    </row>
    <row r="158" spans="1:6">
      <c r="A158" s="1">
        <v>157</v>
      </c>
      <c r="B158" s="12">
        <v>0.90617650747299106</v>
      </c>
      <c r="C158" s="12" t="s">
        <v>4</v>
      </c>
      <c r="F158" s="12">
        <v>0.99781644344329801</v>
      </c>
    </row>
    <row r="159" spans="1:6">
      <c r="A159" s="1">
        <v>158</v>
      </c>
      <c r="B159" s="12">
        <v>0.98106062412261896</v>
      </c>
      <c r="C159" s="12" t="s">
        <v>4</v>
      </c>
      <c r="F159" s="12">
        <v>0.76678347587585405</v>
      </c>
    </row>
    <row r="160" spans="1:6">
      <c r="A160" s="1">
        <v>159</v>
      </c>
      <c r="B160" s="12">
        <v>0.93837994337081898</v>
      </c>
      <c r="C160" s="12" t="s">
        <v>4</v>
      </c>
      <c r="F160" s="12">
        <v>0.99821919202804499</v>
      </c>
    </row>
    <row r="161" spans="1:6">
      <c r="A161" s="1">
        <v>160</v>
      </c>
      <c r="B161" s="12">
        <v>0.89817374944686801</v>
      </c>
      <c r="C161" s="12" t="s">
        <v>4</v>
      </c>
      <c r="F161" s="12">
        <v>0.98813092708587602</v>
      </c>
    </row>
    <row r="162" spans="1:6">
      <c r="A162" s="1">
        <v>161</v>
      </c>
      <c r="B162" s="12">
        <v>0.932667136192321</v>
      </c>
      <c r="C162" s="12" t="s">
        <v>4</v>
      </c>
      <c r="F162" s="12">
        <v>0.97403270006179798</v>
      </c>
    </row>
    <row r="163" spans="1:6">
      <c r="A163" s="1">
        <v>162</v>
      </c>
      <c r="B163" s="12">
        <v>0.99781644344329801</v>
      </c>
      <c r="C163" s="12" t="s">
        <v>4</v>
      </c>
      <c r="F163" s="12">
        <v>0.99943810701370195</v>
      </c>
    </row>
    <row r="164" spans="1:6">
      <c r="A164" s="1">
        <v>163</v>
      </c>
      <c r="B164" s="12">
        <v>0.76678347587585405</v>
      </c>
      <c r="C164" s="12" t="s">
        <v>4</v>
      </c>
      <c r="F164" s="12">
        <v>0.95620906352996804</v>
      </c>
    </row>
    <row r="165" spans="1:6">
      <c r="A165" s="1">
        <v>164</v>
      </c>
      <c r="B165" s="12">
        <v>0.99821919202804499</v>
      </c>
      <c r="C165" s="12" t="s">
        <v>4</v>
      </c>
      <c r="F165" s="12">
        <v>0.94553577899932795</v>
      </c>
    </row>
    <row r="166" spans="1:6">
      <c r="A166" s="1">
        <v>165</v>
      </c>
      <c r="B166" s="12">
        <v>0.98813092708587602</v>
      </c>
      <c r="C166" s="12" t="s">
        <v>4</v>
      </c>
      <c r="F166" s="12">
        <v>0.89242345094680697</v>
      </c>
    </row>
    <row r="167" spans="1:6">
      <c r="A167" s="1">
        <v>166</v>
      </c>
      <c r="B167" s="12">
        <v>0.97403270006179798</v>
      </c>
      <c r="C167" s="12" t="s">
        <v>4</v>
      </c>
      <c r="F167" s="12">
        <v>0.88028943538665705</v>
      </c>
    </row>
    <row r="168" spans="1:6">
      <c r="A168" s="1">
        <v>167</v>
      </c>
      <c r="B168" s="12">
        <v>0.99943810701370195</v>
      </c>
      <c r="C168" s="12" t="s">
        <v>4</v>
      </c>
      <c r="F168" s="12">
        <v>0.78233695030212402</v>
      </c>
    </row>
    <row r="169" spans="1:6">
      <c r="A169" s="1">
        <v>168</v>
      </c>
      <c r="B169" s="12">
        <v>0.95620906352996804</v>
      </c>
      <c r="C169" s="12" t="s">
        <v>4</v>
      </c>
      <c r="F169" s="12">
        <v>0.98812675476074197</v>
      </c>
    </row>
    <row r="170" spans="1:6">
      <c r="A170" s="1">
        <v>169</v>
      </c>
      <c r="B170" s="12">
        <v>0.94553577899932795</v>
      </c>
      <c r="C170" s="12" t="s">
        <v>4</v>
      </c>
      <c r="F170" s="12">
        <v>0.388688474893569</v>
      </c>
    </row>
    <row r="171" spans="1:6">
      <c r="A171" s="1">
        <v>170</v>
      </c>
      <c r="B171" s="12">
        <v>0.89242345094680697</v>
      </c>
      <c r="C171" s="12" t="s">
        <v>4</v>
      </c>
      <c r="F171" s="12">
        <v>0.70063966512679998</v>
      </c>
    </row>
    <row r="172" spans="1:6">
      <c r="A172" s="1">
        <v>171</v>
      </c>
      <c r="B172" s="12">
        <v>0.88028943538665705</v>
      </c>
      <c r="C172" s="12" t="s">
        <v>4</v>
      </c>
      <c r="F172" s="12">
        <v>0.97977179288864102</v>
      </c>
    </row>
    <row r="173" spans="1:6">
      <c r="A173" s="1">
        <v>172</v>
      </c>
      <c r="B173" s="12">
        <v>0.78233695030212402</v>
      </c>
      <c r="C173" s="12" t="s">
        <v>4</v>
      </c>
      <c r="F173" s="12">
        <v>0.99412500858306796</v>
      </c>
    </row>
    <row r="174" spans="1:6">
      <c r="A174" s="1">
        <v>173</v>
      </c>
      <c r="B174" s="12">
        <v>0.98812675476074197</v>
      </c>
      <c r="C174" s="12" t="s">
        <v>4</v>
      </c>
      <c r="F174" s="12">
        <v>0.93783986568450906</v>
      </c>
    </row>
    <row r="175" spans="1:6">
      <c r="A175" s="1">
        <v>174</v>
      </c>
      <c r="B175" s="12">
        <v>0.388688474893569</v>
      </c>
      <c r="C175" s="12" t="s">
        <v>4</v>
      </c>
      <c r="F175" s="12">
        <v>0.93588232994079501</v>
      </c>
    </row>
    <row r="176" spans="1:6">
      <c r="A176" s="1">
        <v>175</v>
      </c>
      <c r="B176" s="12">
        <v>0.70063966512679998</v>
      </c>
      <c r="C176" s="12" t="s">
        <v>4</v>
      </c>
      <c r="F176" s="12">
        <v>0.90172529220580999</v>
      </c>
    </row>
    <row r="177" spans="1:6">
      <c r="A177" s="1">
        <v>176</v>
      </c>
      <c r="B177" s="12">
        <v>0.97977179288864102</v>
      </c>
      <c r="C177" s="12" t="s">
        <v>4</v>
      </c>
      <c r="F177" s="12">
        <v>0.58407926559448198</v>
      </c>
    </row>
    <row r="178" spans="1:6">
      <c r="A178" s="1">
        <v>177</v>
      </c>
      <c r="B178" s="12">
        <v>0.99412500858306796</v>
      </c>
      <c r="C178" s="12" t="s">
        <v>4</v>
      </c>
      <c r="F178" s="12">
        <v>0.91574591398239102</v>
      </c>
    </row>
    <row r="179" spans="1:6">
      <c r="A179" s="1">
        <v>178</v>
      </c>
      <c r="B179" s="12">
        <v>0.93783986568450906</v>
      </c>
      <c r="C179" s="12" t="s">
        <v>4</v>
      </c>
      <c r="F179" s="12">
        <v>0.67850232124328602</v>
      </c>
    </row>
    <row r="180" spans="1:6">
      <c r="A180" s="1">
        <v>179</v>
      </c>
      <c r="B180" s="12">
        <v>0.93588232994079501</v>
      </c>
      <c r="C180" s="12" t="s">
        <v>4</v>
      </c>
      <c r="F180" s="12">
        <v>0.94729489088058405</v>
      </c>
    </row>
    <row r="181" spans="1:6">
      <c r="A181" s="1">
        <v>180</v>
      </c>
      <c r="B181" s="12">
        <v>0.90172529220580999</v>
      </c>
      <c r="C181" s="12" t="s">
        <v>4</v>
      </c>
      <c r="F181" s="12">
        <v>0.98388862609863204</v>
      </c>
    </row>
    <row r="182" spans="1:6">
      <c r="A182" s="1">
        <v>181</v>
      </c>
      <c r="B182" s="12">
        <v>0.58407926559448198</v>
      </c>
      <c r="C182" s="12" t="s">
        <v>4</v>
      </c>
      <c r="F182" s="12">
        <v>0.40040606260299599</v>
      </c>
    </row>
    <row r="183" spans="1:6">
      <c r="A183" s="1">
        <v>182</v>
      </c>
      <c r="B183" s="12">
        <v>0.91574591398239102</v>
      </c>
      <c r="C183" s="12" t="s">
        <v>4</v>
      </c>
      <c r="F183" s="12">
        <v>0.84729075431823697</v>
      </c>
    </row>
    <row r="184" spans="1:6">
      <c r="A184" s="1">
        <v>183</v>
      </c>
      <c r="B184" s="12">
        <v>0.67850232124328602</v>
      </c>
      <c r="C184" s="12" t="s">
        <v>4</v>
      </c>
      <c r="F184" s="12">
        <v>0.99920493364334095</v>
      </c>
    </row>
    <row r="185" spans="1:6">
      <c r="A185" s="1">
        <v>184</v>
      </c>
      <c r="B185" s="12">
        <v>0.94729489088058405</v>
      </c>
      <c r="C185" s="12" t="s">
        <v>4</v>
      </c>
      <c r="F185" s="12">
        <v>0.978354811668396</v>
      </c>
    </row>
    <row r="186" spans="1:6">
      <c r="A186" s="1">
        <v>185</v>
      </c>
      <c r="B186" s="12">
        <v>0.98388862609863204</v>
      </c>
      <c r="C186" s="12" t="s">
        <v>4</v>
      </c>
      <c r="F186" s="12">
        <v>0.86558306217193604</v>
      </c>
    </row>
    <row r="187" spans="1:6">
      <c r="A187" s="1">
        <v>186</v>
      </c>
      <c r="B187" s="12">
        <v>0.40040606260299599</v>
      </c>
      <c r="C187" s="12" t="s">
        <v>4</v>
      </c>
      <c r="F187" s="12">
        <v>0.69478839635848999</v>
      </c>
    </row>
    <row r="188" spans="1:6">
      <c r="A188" s="1">
        <v>187</v>
      </c>
      <c r="B188" s="12">
        <v>0.84729075431823697</v>
      </c>
      <c r="C188" s="12" t="s">
        <v>4</v>
      </c>
      <c r="F188" s="12">
        <v>0.926186263561248</v>
      </c>
    </row>
    <row r="189" spans="1:6">
      <c r="A189" s="1">
        <v>188</v>
      </c>
      <c r="B189" s="12">
        <v>0.99920493364334095</v>
      </c>
      <c r="C189" s="12" t="s">
        <v>4</v>
      </c>
      <c r="F189" s="12">
        <v>0.81885200738906805</v>
      </c>
    </row>
    <row r="190" spans="1:6">
      <c r="A190" s="1">
        <v>189</v>
      </c>
      <c r="B190" s="12">
        <v>0.978354811668396</v>
      </c>
      <c r="C190" s="12" t="s">
        <v>4</v>
      </c>
      <c r="F190" s="12">
        <v>0.93872386217117298</v>
      </c>
    </row>
    <row r="191" spans="1:6">
      <c r="A191" s="1">
        <v>190</v>
      </c>
      <c r="B191" s="12">
        <v>0.175199374556541</v>
      </c>
      <c r="C191" s="12" t="s">
        <v>180</v>
      </c>
      <c r="F191" s="12">
        <v>0.83432823419570901</v>
      </c>
    </row>
    <row r="192" spans="1:6">
      <c r="A192" s="1">
        <v>191</v>
      </c>
      <c r="B192" s="12">
        <v>0.86558306217193604</v>
      </c>
      <c r="C192" s="12" t="s">
        <v>4</v>
      </c>
      <c r="F192" s="12">
        <v>0.84119403362274103</v>
      </c>
    </row>
    <row r="193" spans="1:6">
      <c r="A193" s="1">
        <v>192</v>
      </c>
      <c r="B193" s="12">
        <v>0.69478839635848999</v>
      </c>
      <c r="C193" s="12" t="s">
        <v>4</v>
      </c>
      <c r="F193" s="12">
        <v>0.964350044727325</v>
      </c>
    </row>
    <row r="194" spans="1:6">
      <c r="A194" s="1">
        <v>193</v>
      </c>
      <c r="B194" s="12">
        <v>0.59581339359283403</v>
      </c>
      <c r="C194" s="12" t="s">
        <v>180</v>
      </c>
      <c r="F194" s="12">
        <v>0.87298983335494995</v>
      </c>
    </row>
    <row r="195" spans="1:6">
      <c r="A195" s="1">
        <v>194</v>
      </c>
      <c r="B195" s="12">
        <v>0.926186263561248</v>
      </c>
      <c r="C195" s="12" t="s">
        <v>4</v>
      </c>
      <c r="F195" s="12">
        <v>0.358495563268661</v>
      </c>
    </row>
    <row r="196" spans="1:6">
      <c r="A196" s="1">
        <v>195</v>
      </c>
      <c r="B196" s="12">
        <v>0.81885200738906805</v>
      </c>
      <c r="C196" s="12" t="s">
        <v>4</v>
      </c>
      <c r="F196" s="12">
        <v>0.96621412038803101</v>
      </c>
    </row>
    <row r="197" spans="1:6">
      <c r="A197" s="1">
        <v>196</v>
      </c>
      <c r="B197" s="12">
        <v>0.93872386217117298</v>
      </c>
      <c r="C197" s="12" t="s">
        <v>4</v>
      </c>
      <c r="F197" s="12">
        <v>0.61168229579925504</v>
      </c>
    </row>
    <row r="198" spans="1:6">
      <c r="A198" s="1">
        <v>197</v>
      </c>
      <c r="B198" s="12">
        <v>0.83432823419570901</v>
      </c>
      <c r="C198" s="12" t="s">
        <v>4</v>
      </c>
      <c r="F198" s="12">
        <v>0.98256647586822499</v>
      </c>
    </row>
    <row r="199" spans="1:6">
      <c r="A199" s="1">
        <v>198</v>
      </c>
      <c r="B199" s="12">
        <v>0.84119403362274103</v>
      </c>
      <c r="C199" s="12" t="s">
        <v>4</v>
      </c>
      <c r="F199" s="12">
        <v>0.76603233814239502</v>
      </c>
    </row>
    <row r="200" spans="1:6">
      <c r="A200" s="1">
        <v>199</v>
      </c>
      <c r="B200" s="12">
        <v>0.10163015127182</v>
      </c>
      <c r="C200" s="12" t="s">
        <v>180</v>
      </c>
      <c r="F200" s="12">
        <v>0.21570600569248199</v>
      </c>
    </row>
    <row r="201" spans="1:6">
      <c r="A201" s="1">
        <v>200</v>
      </c>
      <c r="B201" s="12">
        <v>0.964350044727325</v>
      </c>
      <c r="C201" s="12" t="s">
        <v>4</v>
      </c>
      <c r="F201" s="12">
        <v>0.906488537788391</v>
      </c>
    </row>
    <row r="202" spans="1:6">
      <c r="A202" s="1">
        <v>201</v>
      </c>
      <c r="B202" s="12">
        <v>0.87298983335494995</v>
      </c>
      <c r="C202" s="12" t="s">
        <v>4</v>
      </c>
      <c r="F202" s="12">
        <v>0.53309804201126099</v>
      </c>
    </row>
    <row r="203" spans="1:6">
      <c r="A203" s="1">
        <v>202</v>
      </c>
      <c r="B203" s="12">
        <v>0.358495563268661</v>
      </c>
      <c r="C203" s="12" t="s">
        <v>4</v>
      </c>
      <c r="F203" s="12">
        <v>0.79781991243362405</v>
      </c>
    </row>
    <row r="204" spans="1:6">
      <c r="A204" s="1">
        <v>203</v>
      </c>
      <c r="B204" s="12">
        <v>0.96621412038803101</v>
      </c>
      <c r="C204" s="12" t="s">
        <v>4</v>
      </c>
      <c r="F204" s="12">
        <v>0.93882435560226396</v>
      </c>
    </row>
    <row r="205" spans="1:6">
      <c r="A205" s="1">
        <v>204</v>
      </c>
      <c r="B205" s="12">
        <v>0.61168229579925504</v>
      </c>
      <c r="C205" s="12" t="s">
        <v>4</v>
      </c>
      <c r="F205" s="12">
        <v>0.65415346622466997</v>
      </c>
    </row>
    <row r="206" spans="1:6">
      <c r="A206" s="1">
        <v>205</v>
      </c>
      <c r="B206" s="12">
        <v>0.98256647586822499</v>
      </c>
      <c r="C206" s="12" t="s">
        <v>4</v>
      </c>
      <c r="F206" s="12">
        <v>0.97682136297225897</v>
      </c>
    </row>
    <row r="207" spans="1:6">
      <c r="A207" s="1">
        <v>206</v>
      </c>
      <c r="B207" s="12">
        <v>0.76603233814239502</v>
      </c>
      <c r="C207" s="12" t="s">
        <v>4</v>
      </c>
      <c r="F207" s="12">
        <v>0.98557043075561501</v>
      </c>
    </row>
    <row r="208" spans="1:6">
      <c r="A208" s="1">
        <v>207</v>
      </c>
      <c r="B208" s="12">
        <v>0.21570600569248199</v>
      </c>
      <c r="C208" s="12" t="s">
        <v>4</v>
      </c>
      <c r="F208" s="12">
        <v>0.99908649921417203</v>
      </c>
    </row>
    <row r="209" spans="1:6">
      <c r="A209" s="1">
        <v>208</v>
      </c>
      <c r="B209" s="12">
        <v>0.906488537788391</v>
      </c>
      <c r="C209" s="12" t="s">
        <v>4</v>
      </c>
      <c r="F209" s="12">
        <v>0.96857964992523105</v>
      </c>
    </row>
    <row r="210" spans="1:6">
      <c r="A210" s="1">
        <v>209</v>
      </c>
      <c r="B210" s="12">
        <v>0.53309804201126099</v>
      </c>
      <c r="C210" s="12" t="s">
        <v>4</v>
      </c>
      <c r="F210" s="12">
        <v>0.99730694293975797</v>
      </c>
    </row>
    <row r="211" spans="1:6">
      <c r="A211" s="1">
        <v>210</v>
      </c>
      <c r="B211" s="12">
        <v>0.79781991243362405</v>
      </c>
      <c r="C211" s="12" t="s">
        <v>4</v>
      </c>
      <c r="F211" s="12">
        <v>0.73274207115173295</v>
      </c>
    </row>
    <row r="212" spans="1:6">
      <c r="A212" s="1">
        <v>211</v>
      </c>
      <c r="B212" s="12">
        <v>0.93882435560226396</v>
      </c>
      <c r="C212" s="12" t="s">
        <v>4</v>
      </c>
      <c r="F212" s="12">
        <v>0.89580428600311202</v>
      </c>
    </row>
    <row r="213" spans="1:6">
      <c r="A213" s="1">
        <v>212</v>
      </c>
      <c r="B213" s="12">
        <v>0.65415346622466997</v>
      </c>
      <c r="C213" s="12" t="s">
        <v>4</v>
      </c>
      <c r="F213" s="12">
        <v>0.90931320190429599</v>
      </c>
    </row>
    <row r="214" spans="1:6">
      <c r="A214" s="1">
        <v>213</v>
      </c>
      <c r="B214" s="12">
        <v>0.97682136297225897</v>
      </c>
      <c r="C214" s="12" t="s">
        <v>4</v>
      </c>
      <c r="F214" s="12">
        <v>0.98900651931762695</v>
      </c>
    </row>
    <row r="215" spans="1:6">
      <c r="A215" s="1">
        <v>214</v>
      </c>
      <c r="B215" s="12">
        <v>0.98557043075561501</v>
      </c>
      <c r="C215" s="12" t="s">
        <v>4</v>
      </c>
      <c r="F215" s="12">
        <v>0.99674254655838002</v>
      </c>
    </row>
    <row r="216" spans="1:6">
      <c r="A216" s="1">
        <v>215</v>
      </c>
      <c r="B216" s="12">
        <v>0.99908649921417203</v>
      </c>
      <c r="C216" s="12" t="s">
        <v>4</v>
      </c>
      <c r="F216" s="12">
        <v>0.99609899520874001</v>
      </c>
    </row>
    <row r="217" spans="1:6">
      <c r="A217" s="1">
        <v>216</v>
      </c>
      <c r="B217" s="12">
        <v>0.96857964992523105</v>
      </c>
      <c r="C217" s="12" t="s">
        <v>4</v>
      </c>
      <c r="F217" s="12">
        <v>0.82464677095413197</v>
      </c>
    </row>
    <row r="218" spans="1:6">
      <c r="A218" s="1">
        <v>217</v>
      </c>
      <c r="B218" s="12">
        <v>0.99730694293975797</v>
      </c>
      <c r="C218" s="12" t="s">
        <v>4</v>
      </c>
      <c r="F218" s="12">
        <v>0.923536837100982</v>
      </c>
    </row>
    <row r="219" spans="1:6">
      <c r="A219" s="1">
        <v>218</v>
      </c>
      <c r="B219" s="12">
        <v>0.73274207115173295</v>
      </c>
      <c r="C219" s="12" t="s">
        <v>4</v>
      </c>
      <c r="F219" s="12">
        <v>0.99714040756225497</v>
      </c>
    </row>
    <row r="220" spans="1:6">
      <c r="A220" s="1">
        <v>219</v>
      </c>
      <c r="B220" s="12">
        <v>0.96430104970931996</v>
      </c>
      <c r="C220" s="12" t="s">
        <v>180</v>
      </c>
      <c r="F220" s="12">
        <v>0.89518839120864802</v>
      </c>
    </row>
    <row r="221" spans="1:6">
      <c r="A221" s="1">
        <v>220</v>
      </c>
      <c r="B221" s="12">
        <v>0.89580428600311202</v>
      </c>
      <c r="C221" s="12" t="s">
        <v>4</v>
      </c>
      <c r="F221" s="12">
        <v>0.98140162229537897</v>
      </c>
    </row>
    <row r="222" spans="1:6">
      <c r="A222" s="1">
        <v>221</v>
      </c>
      <c r="B222" s="12">
        <v>0.90931320190429599</v>
      </c>
      <c r="C222" s="12" t="s">
        <v>4</v>
      </c>
      <c r="F222" s="12">
        <v>0.51896309852600098</v>
      </c>
    </row>
    <row r="223" spans="1:6">
      <c r="A223" s="1">
        <v>222</v>
      </c>
      <c r="B223" s="12">
        <v>0.98900651931762695</v>
      </c>
      <c r="C223" s="12" t="s">
        <v>4</v>
      </c>
      <c r="F223" s="12">
        <v>0.85769677162170399</v>
      </c>
    </row>
    <row r="224" spans="1:6">
      <c r="A224" s="1">
        <v>223</v>
      </c>
      <c r="B224" s="12">
        <v>0.99674254655838002</v>
      </c>
      <c r="C224" s="12" t="s">
        <v>4</v>
      </c>
      <c r="F224" s="12">
        <v>0.98336350917816095</v>
      </c>
    </row>
    <row r="225" spans="1:6">
      <c r="A225" s="1">
        <v>224</v>
      </c>
      <c r="B225" s="12">
        <v>0.99609899520874001</v>
      </c>
      <c r="C225" s="12" t="s">
        <v>4</v>
      </c>
      <c r="F225" s="12">
        <v>0.99121409654617298</v>
      </c>
    </row>
    <row r="226" spans="1:6">
      <c r="A226" s="1">
        <v>225</v>
      </c>
      <c r="B226" s="12">
        <v>0.82464677095413197</v>
      </c>
      <c r="C226" s="12" t="s">
        <v>4</v>
      </c>
      <c r="F226" s="12">
        <v>0.95901370048522905</v>
      </c>
    </row>
    <row r="227" spans="1:6">
      <c r="A227" s="1">
        <v>226</v>
      </c>
      <c r="B227" s="12">
        <v>0.923536837100982</v>
      </c>
      <c r="C227" s="12" t="s">
        <v>4</v>
      </c>
      <c r="F227" s="12">
        <v>0.99792373180389404</v>
      </c>
    </row>
    <row r="228" spans="1:6">
      <c r="A228" s="1">
        <v>227</v>
      </c>
      <c r="B228" s="12">
        <v>0.99714040756225497</v>
      </c>
      <c r="C228" s="12" t="s">
        <v>4</v>
      </c>
      <c r="F228" s="12">
        <v>0.571280777454376</v>
      </c>
    </row>
    <row r="229" spans="1:6">
      <c r="A229" s="1">
        <v>228</v>
      </c>
      <c r="B229" s="12">
        <v>0.89518839120864802</v>
      </c>
      <c r="C229" s="12" t="s">
        <v>4</v>
      </c>
      <c r="F229" s="12">
        <v>0.84864866733551003</v>
      </c>
    </row>
    <row r="230" spans="1:6">
      <c r="A230" s="1">
        <v>229</v>
      </c>
      <c r="B230" s="12">
        <v>0.98140162229537897</v>
      </c>
      <c r="C230" s="12" t="s">
        <v>4</v>
      </c>
      <c r="F230" s="12">
        <v>0.98058664798736495</v>
      </c>
    </row>
    <row r="231" spans="1:6">
      <c r="A231" s="1">
        <v>230</v>
      </c>
      <c r="B231" s="12">
        <v>0.51896309852600098</v>
      </c>
      <c r="C231" s="12" t="s">
        <v>4</v>
      </c>
      <c r="F231" s="12">
        <v>0.78893029689788796</v>
      </c>
    </row>
    <row r="232" spans="1:6">
      <c r="A232" s="1">
        <v>231</v>
      </c>
      <c r="B232" s="12">
        <v>0.85769677162170399</v>
      </c>
      <c r="C232" s="12" t="s">
        <v>4</v>
      </c>
      <c r="F232" s="12">
        <v>0.98624515533447199</v>
      </c>
    </row>
    <row r="233" spans="1:6">
      <c r="A233" s="1">
        <v>232</v>
      </c>
      <c r="B233" s="12">
        <v>0.98336350917816095</v>
      </c>
      <c r="C233" s="12" t="s">
        <v>4</v>
      </c>
      <c r="F233" s="12">
        <v>0.79004025459289495</v>
      </c>
    </row>
    <row r="234" spans="1:6">
      <c r="A234" s="1">
        <v>233</v>
      </c>
      <c r="B234" s="12">
        <v>0.99121409654617298</v>
      </c>
      <c r="C234" s="12" t="s">
        <v>4</v>
      </c>
      <c r="F234" s="12">
        <v>0.96138882637023904</v>
      </c>
    </row>
    <row r="235" spans="1:6">
      <c r="A235" s="1">
        <v>234</v>
      </c>
      <c r="B235" s="12">
        <v>0.95901370048522905</v>
      </c>
      <c r="C235" s="12" t="s">
        <v>4</v>
      </c>
      <c r="F235" s="12">
        <v>0.718794286251068</v>
      </c>
    </row>
    <row r="236" spans="1:6">
      <c r="A236" s="1">
        <v>235</v>
      </c>
      <c r="B236" s="12">
        <v>0.99792373180389404</v>
      </c>
      <c r="C236" s="12" t="s">
        <v>4</v>
      </c>
      <c r="F236" s="12">
        <v>0.88206452131271296</v>
      </c>
    </row>
    <row r="237" spans="1:6">
      <c r="A237" s="1">
        <v>236</v>
      </c>
      <c r="B237" s="12">
        <v>6.1472512781619998E-2</v>
      </c>
      <c r="C237" s="12" t="s">
        <v>180</v>
      </c>
      <c r="F237" s="12">
        <v>0.99698895215988104</v>
      </c>
    </row>
    <row r="238" spans="1:6">
      <c r="A238" s="1">
        <v>237</v>
      </c>
      <c r="B238" s="12">
        <v>0.571280777454376</v>
      </c>
      <c r="C238" s="12" t="s">
        <v>4</v>
      </c>
      <c r="F238" s="12">
        <v>0.99039357900619496</v>
      </c>
    </row>
    <row r="239" spans="1:6">
      <c r="A239" s="1">
        <v>238</v>
      </c>
      <c r="B239" s="12">
        <v>0.84864866733551003</v>
      </c>
      <c r="C239" s="12" t="s">
        <v>4</v>
      </c>
      <c r="F239" s="12">
        <v>0.73219549655914296</v>
      </c>
    </row>
    <row r="240" spans="1:6">
      <c r="A240" s="1">
        <v>239</v>
      </c>
      <c r="B240" s="12">
        <v>0.98058664798736495</v>
      </c>
      <c r="C240" s="12" t="s">
        <v>4</v>
      </c>
      <c r="F240" s="12">
        <v>0.94898080825805597</v>
      </c>
    </row>
    <row r="241" spans="1:6">
      <c r="A241" s="1">
        <v>240</v>
      </c>
      <c r="B241" s="12">
        <v>0.23183599114417999</v>
      </c>
      <c r="C241" s="12" t="s">
        <v>180</v>
      </c>
      <c r="F241" s="12">
        <v>0.93449175357818604</v>
      </c>
    </row>
    <row r="242" spans="1:6">
      <c r="A242" s="1">
        <v>241</v>
      </c>
      <c r="B242" s="12">
        <v>0.78893029689788796</v>
      </c>
      <c r="C242" s="12" t="s">
        <v>4</v>
      </c>
      <c r="F242" s="12">
        <v>0.88523066043853704</v>
      </c>
    </row>
    <row r="243" spans="1:6">
      <c r="A243" s="1">
        <v>242</v>
      </c>
      <c r="B243" s="12">
        <v>0.98624515533447199</v>
      </c>
      <c r="C243" s="12" t="s">
        <v>4</v>
      </c>
      <c r="F243" s="12">
        <v>0.99763512611389105</v>
      </c>
    </row>
    <row r="244" spans="1:6">
      <c r="A244" s="1">
        <v>243</v>
      </c>
      <c r="B244" s="12">
        <v>0.79004025459289495</v>
      </c>
      <c r="C244" s="12" t="s">
        <v>4</v>
      </c>
      <c r="F244" s="12">
        <v>0.92172759771347001</v>
      </c>
    </row>
    <row r="245" spans="1:6">
      <c r="A245" s="1">
        <v>244</v>
      </c>
      <c r="B245" s="12">
        <v>0.96138882637023904</v>
      </c>
      <c r="C245" s="12" t="s">
        <v>4</v>
      </c>
      <c r="F245" s="12">
        <v>0.61008375883102395</v>
      </c>
    </row>
    <row r="246" spans="1:6">
      <c r="A246" s="1">
        <v>245</v>
      </c>
      <c r="B246" s="12">
        <v>0.718794286251068</v>
      </c>
      <c r="C246" s="12" t="s">
        <v>4</v>
      </c>
      <c r="F246" s="12">
        <v>0.88236063718795699</v>
      </c>
    </row>
    <row r="247" spans="1:6">
      <c r="A247" s="1">
        <v>246</v>
      </c>
      <c r="B247" s="12">
        <v>0.88206452131271296</v>
      </c>
      <c r="C247" s="12" t="s">
        <v>4</v>
      </c>
      <c r="F247" s="12">
        <v>0.95856463909149103</v>
      </c>
    </row>
    <row r="248" spans="1:6">
      <c r="A248" s="1">
        <v>247</v>
      </c>
      <c r="B248" s="12">
        <v>0.99698895215988104</v>
      </c>
      <c r="C248" s="12" t="s">
        <v>4</v>
      </c>
      <c r="F248" s="12">
        <v>0.96004903316497803</v>
      </c>
    </row>
    <row r="249" spans="1:6">
      <c r="A249" s="1">
        <v>248</v>
      </c>
      <c r="B249" s="12">
        <v>0.99039357900619496</v>
      </c>
      <c r="C249" s="12" t="s">
        <v>4</v>
      </c>
      <c r="F249" s="12">
        <v>0.89561194181442205</v>
      </c>
    </row>
    <row r="250" spans="1:6">
      <c r="A250" s="1">
        <v>249</v>
      </c>
      <c r="B250" s="12">
        <v>0.73219549655914296</v>
      </c>
      <c r="C250" s="12" t="s">
        <v>4</v>
      </c>
      <c r="F250" s="12">
        <v>0.285759687423706</v>
      </c>
    </row>
    <row r="251" spans="1:6">
      <c r="A251" s="1">
        <v>250</v>
      </c>
      <c r="B251" s="12">
        <v>0.94898080825805597</v>
      </c>
      <c r="C251" s="12" t="s">
        <v>4</v>
      </c>
      <c r="F251" s="12">
        <v>0.98821121454238803</v>
      </c>
    </row>
    <row r="252" spans="1:6">
      <c r="A252" s="1">
        <v>251</v>
      </c>
      <c r="B252" s="12">
        <v>0.93449175357818604</v>
      </c>
      <c r="C252" s="12" t="s">
        <v>4</v>
      </c>
      <c r="F252" s="12">
        <v>0.99842262268066395</v>
      </c>
    </row>
    <row r="253" spans="1:6">
      <c r="A253" s="1">
        <v>252</v>
      </c>
      <c r="B253" s="12">
        <v>0.88523066043853704</v>
      </c>
      <c r="C253" s="12" t="s">
        <v>4</v>
      </c>
      <c r="F253" s="12">
        <v>0.39242717623710599</v>
      </c>
    </row>
    <row r="254" spans="1:6">
      <c r="A254" s="1">
        <v>253</v>
      </c>
      <c r="B254" s="12">
        <v>0.99763512611389105</v>
      </c>
      <c r="C254" s="12" t="s">
        <v>4</v>
      </c>
      <c r="F254" s="12">
        <v>0.88355189561843805</v>
      </c>
    </row>
    <row r="255" spans="1:6">
      <c r="A255" s="1">
        <v>254</v>
      </c>
      <c r="B255" s="12">
        <v>0.92172759771347001</v>
      </c>
      <c r="C255" s="12" t="s">
        <v>4</v>
      </c>
      <c r="F255" s="12">
        <v>0.89607751369476296</v>
      </c>
    </row>
    <row r="256" spans="1:6">
      <c r="A256" s="1">
        <v>255</v>
      </c>
      <c r="B256" s="12">
        <v>0.61008375883102395</v>
      </c>
      <c r="C256" s="12" t="s">
        <v>4</v>
      </c>
      <c r="F256" s="12">
        <v>0.87189263105392401</v>
      </c>
    </row>
    <row r="257" spans="1:6">
      <c r="A257" s="1">
        <v>256</v>
      </c>
      <c r="B257" s="12">
        <v>0.88236063718795699</v>
      </c>
      <c r="C257" s="12" t="s">
        <v>4</v>
      </c>
      <c r="F257" s="12">
        <v>0.99616783857345503</v>
      </c>
    </row>
    <row r="258" spans="1:6">
      <c r="A258" s="1">
        <v>257</v>
      </c>
      <c r="B258" s="12">
        <v>0.95856463909149103</v>
      </c>
      <c r="C258" s="12" t="s">
        <v>4</v>
      </c>
      <c r="F258" s="12">
        <v>0.92296558618545499</v>
      </c>
    </row>
    <row r="259" spans="1:6">
      <c r="A259" s="1">
        <v>258</v>
      </c>
      <c r="B259" s="12">
        <v>0.96004903316497803</v>
      </c>
      <c r="C259" s="12" t="s">
        <v>4</v>
      </c>
      <c r="F259" s="12">
        <v>0.88844847679138095</v>
      </c>
    </row>
    <row r="260" spans="1:6">
      <c r="A260" s="1">
        <v>259</v>
      </c>
      <c r="B260" s="12">
        <v>0.89561194181442205</v>
      </c>
      <c r="C260" s="12" t="s">
        <v>4</v>
      </c>
      <c r="F260" s="12">
        <v>0.976060330867767</v>
      </c>
    </row>
    <row r="261" spans="1:6">
      <c r="A261" s="1">
        <v>260</v>
      </c>
      <c r="B261" s="12">
        <v>0.285759687423706</v>
      </c>
      <c r="C261" s="12" t="s">
        <v>4</v>
      </c>
      <c r="F261" s="12">
        <v>0.75039577484130804</v>
      </c>
    </row>
    <row r="262" spans="1:6">
      <c r="A262" s="1">
        <v>261</v>
      </c>
      <c r="B262" s="12">
        <v>0.40646061301231301</v>
      </c>
      <c r="C262" s="12" t="s">
        <v>180</v>
      </c>
      <c r="F262" s="12">
        <v>0.93443226814269997</v>
      </c>
    </row>
    <row r="263" spans="1:6">
      <c r="A263" s="1">
        <v>262</v>
      </c>
      <c r="B263" s="12">
        <v>0.98821121454238803</v>
      </c>
      <c r="C263" s="12" t="s">
        <v>4</v>
      </c>
      <c r="F263" s="12">
        <v>0.99484586715698198</v>
      </c>
    </row>
    <row r="264" spans="1:6">
      <c r="A264" s="1">
        <v>263</v>
      </c>
      <c r="B264" s="12">
        <v>0.99842262268066395</v>
      </c>
      <c r="C264" s="12" t="s">
        <v>4</v>
      </c>
      <c r="F264" s="12">
        <v>0.99909496307373002</v>
      </c>
    </row>
    <row r="265" spans="1:6">
      <c r="A265" s="1">
        <v>264</v>
      </c>
      <c r="B265" s="12">
        <v>0.39242717623710599</v>
      </c>
      <c r="C265" s="12" t="s">
        <v>4</v>
      </c>
      <c r="F265" s="12">
        <v>0.99533110857009799</v>
      </c>
    </row>
    <row r="266" spans="1:6">
      <c r="A266" s="1">
        <v>265</v>
      </c>
      <c r="B266" s="12">
        <v>0.88355189561843805</v>
      </c>
      <c r="C266" s="12" t="s">
        <v>4</v>
      </c>
      <c r="F266" s="12">
        <v>0.99036121368408203</v>
      </c>
    </row>
    <row r="267" spans="1:6">
      <c r="A267" s="1">
        <v>266</v>
      </c>
      <c r="B267" s="12">
        <v>0.89607751369476296</v>
      </c>
      <c r="C267" s="12" t="s">
        <v>4</v>
      </c>
      <c r="F267" s="12">
        <v>0.92790269851684504</v>
      </c>
    </row>
    <row r="268" spans="1:6">
      <c r="A268" s="1">
        <v>267</v>
      </c>
      <c r="B268" s="12">
        <v>0.87189263105392401</v>
      </c>
      <c r="C268" s="12" t="s">
        <v>4</v>
      </c>
      <c r="F268" s="12">
        <v>0.96575880050659102</v>
      </c>
    </row>
    <row r="269" spans="1:6">
      <c r="A269" s="1">
        <v>268</v>
      </c>
      <c r="B269" s="12">
        <v>0.99616783857345503</v>
      </c>
      <c r="C269" s="12" t="s">
        <v>4</v>
      </c>
      <c r="F269" s="12">
        <v>0.98031103610992398</v>
      </c>
    </row>
    <row r="270" spans="1:6">
      <c r="A270" s="1">
        <v>269</v>
      </c>
      <c r="B270" s="12">
        <v>0.92296558618545499</v>
      </c>
      <c r="C270" s="12" t="s">
        <v>4</v>
      </c>
      <c r="F270" s="12">
        <v>0.89170956611633301</v>
      </c>
    </row>
    <row r="271" spans="1:6">
      <c r="A271" s="1">
        <v>270</v>
      </c>
      <c r="B271" s="12">
        <v>0.88844847679138095</v>
      </c>
      <c r="C271" s="12" t="s">
        <v>4</v>
      </c>
      <c r="F271" s="12">
        <v>0.57024407386779696</v>
      </c>
    </row>
    <row r="272" spans="1:6">
      <c r="A272" s="1">
        <v>271</v>
      </c>
      <c r="B272" s="12">
        <v>0.976060330867767</v>
      </c>
      <c r="C272" s="12" t="s">
        <v>4</v>
      </c>
      <c r="F272" s="12">
        <v>0.69286918640136697</v>
      </c>
    </row>
    <row r="273" spans="1:6">
      <c r="A273" s="1">
        <v>272</v>
      </c>
      <c r="B273" s="12">
        <v>0.75039577484130804</v>
      </c>
      <c r="C273" s="12" t="s">
        <v>4</v>
      </c>
      <c r="F273" s="12">
        <v>0.88185614347457797</v>
      </c>
    </row>
    <row r="274" spans="1:6">
      <c r="A274" s="1">
        <v>273</v>
      </c>
      <c r="B274" s="12">
        <v>0.93443226814269997</v>
      </c>
      <c r="C274" s="12" t="s">
        <v>4</v>
      </c>
      <c r="F274" s="12">
        <v>0.98290467262268</v>
      </c>
    </row>
    <row r="275" spans="1:6">
      <c r="A275" s="1">
        <v>274</v>
      </c>
      <c r="B275" s="12">
        <v>0.99484586715698198</v>
      </c>
      <c r="C275" s="12" t="s">
        <v>4</v>
      </c>
      <c r="F275" s="12">
        <v>0.86349368095397905</v>
      </c>
    </row>
    <row r="276" spans="1:6">
      <c r="A276" s="1">
        <v>275</v>
      </c>
      <c r="B276" s="12">
        <v>0.99909496307373002</v>
      </c>
      <c r="C276" s="12" t="s">
        <v>4</v>
      </c>
      <c r="F276" s="12">
        <v>0.85427188873291005</v>
      </c>
    </row>
    <row r="277" spans="1:6">
      <c r="A277" s="1">
        <v>276</v>
      </c>
      <c r="B277" s="12">
        <v>0.99533110857009799</v>
      </c>
      <c r="C277" s="12" t="s">
        <v>4</v>
      </c>
      <c r="F277" s="12">
        <v>0.79781413078308105</v>
      </c>
    </row>
    <row r="278" spans="1:6">
      <c r="A278" s="1">
        <v>277</v>
      </c>
      <c r="B278" s="12">
        <v>0.248679354786872</v>
      </c>
      <c r="C278" s="12" t="s">
        <v>180</v>
      </c>
      <c r="F278" s="12">
        <v>0.97626399993896396</v>
      </c>
    </row>
    <row r="279" spans="1:6">
      <c r="A279" s="1">
        <v>278</v>
      </c>
      <c r="B279" s="12">
        <v>0.99036121368408203</v>
      </c>
      <c r="C279" s="12" t="s">
        <v>4</v>
      </c>
      <c r="F279" s="12">
        <v>0.55718034505844105</v>
      </c>
    </row>
    <row r="280" spans="1:6">
      <c r="A280" s="1">
        <v>279</v>
      </c>
      <c r="B280" s="12">
        <v>0.92790269851684504</v>
      </c>
      <c r="C280" s="12" t="s">
        <v>4</v>
      </c>
      <c r="F280" s="12">
        <v>0.95512187480926503</v>
      </c>
    </row>
    <row r="281" spans="1:6">
      <c r="A281" s="1">
        <v>280</v>
      </c>
      <c r="B281" s="12">
        <v>0.96575880050659102</v>
      </c>
      <c r="C281" s="12" t="s">
        <v>4</v>
      </c>
      <c r="F281" s="12">
        <v>0.50641036033630304</v>
      </c>
    </row>
    <row r="282" spans="1:6">
      <c r="A282" s="1">
        <v>281</v>
      </c>
      <c r="B282" s="12">
        <v>0.98031103610992398</v>
      </c>
      <c r="C282" s="12" t="s">
        <v>4</v>
      </c>
      <c r="F282" s="12">
        <v>0.96703982353210405</v>
      </c>
    </row>
    <row r="283" spans="1:6">
      <c r="A283" s="1">
        <v>282</v>
      </c>
      <c r="B283" s="12">
        <v>0.15426868200302099</v>
      </c>
      <c r="C283" s="12" t="s">
        <v>180</v>
      </c>
      <c r="F283" s="12">
        <v>0.52486759424209595</v>
      </c>
    </row>
    <row r="284" spans="1:6">
      <c r="A284" s="1">
        <v>283</v>
      </c>
      <c r="B284" s="12">
        <v>0.89170956611633301</v>
      </c>
      <c r="C284" s="12" t="s">
        <v>4</v>
      </c>
      <c r="F284" s="12">
        <v>0.89351600408553999</v>
      </c>
    </row>
    <row r="285" spans="1:6">
      <c r="A285" s="1">
        <v>284</v>
      </c>
      <c r="B285" s="12">
        <v>0.57024407386779696</v>
      </c>
      <c r="C285" s="12" t="s">
        <v>4</v>
      </c>
      <c r="F285" s="12">
        <v>0.77325469255447299</v>
      </c>
    </row>
    <row r="286" spans="1:6">
      <c r="A286" s="1">
        <v>285</v>
      </c>
      <c r="B286" s="12">
        <v>0.69286918640136697</v>
      </c>
      <c r="C286" s="12" t="s">
        <v>4</v>
      </c>
      <c r="F286" s="12">
        <v>0.81386190652847201</v>
      </c>
    </row>
    <row r="287" spans="1:6">
      <c r="A287" s="1">
        <v>286</v>
      </c>
      <c r="B287" s="12">
        <v>0.88185614347457797</v>
      </c>
      <c r="C287" s="12" t="s">
        <v>4</v>
      </c>
      <c r="F287" s="12">
        <v>0.77383941411972001</v>
      </c>
    </row>
    <row r="288" spans="1:6">
      <c r="A288" s="1">
        <v>287</v>
      </c>
      <c r="B288" s="12">
        <v>0.98290467262268</v>
      </c>
      <c r="C288" s="12" t="s">
        <v>4</v>
      </c>
      <c r="F288" s="12">
        <v>0.99991714954376198</v>
      </c>
    </row>
    <row r="289" spans="1:6">
      <c r="A289" s="1">
        <v>288</v>
      </c>
      <c r="B289" s="12">
        <v>0.54786765575408902</v>
      </c>
      <c r="C289" s="12" t="s">
        <v>180</v>
      </c>
      <c r="F289" s="12">
        <v>0.99692779779434204</v>
      </c>
    </row>
    <row r="290" spans="1:6">
      <c r="A290" s="1">
        <v>289</v>
      </c>
      <c r="B290" s="12">
        <v>0.86349368095397905</v>
      </c>
      <c r="C290" s="12" t="s">
        <v>4</v>
      </c>
      <c r="F290" s="12">
        <v>0.74388295412063599</v>
      </c>
    </row>
    <row r="291" spans="1:6">
      <c r="A291" s="1">
        <v>290</v>
      </c>
      <c r="B291" s="12">
        <v>0.85427188873291005</v>
      </c>
      <c r="C291" s="12" t="s">
        <v>4</v>
      </c>
      <c r="F291" s="12">
        <v>0.102958023548126</v>
      </c>
    </row>
    <row r="292" spans="1:6">
      <c r="A292" s="1">
        <v>291</v>
      </c>
      <c r="B292" s="12">
        <v>0.79781413078308105</v>
      </c>
      <c r="C292" s="12" t="s">
        <v>4</v>
      </c>
      <c r="F292" s="12">
        <v>0.97658789157867398</v>
      </c>
    </row>
    <row r="293" spans="1:6">
      <c r="A293" s="1">
        <v>292</v>
      </c>
      <c r="B293" s="12">
        <v>0.97626399993896396</v>
      </c>
      <c r="C293" s="12" t="s">
        <v>4</v>
      </c>
      <c r="F293" s="12">
        <v>0.88895237445831299</v>
      </c>
    </row>
    <row r="294" spans="1:6">
      <c r="A294" s="1">
        <v>293</v>
      </c>
      <c r="B294" s="12">
        <v>0.55718034505844105</v>
      </c>
      <c r="C294" s="12" t="s">
        <v>4</v>
      </c>
      <c r="F294" s="12">
        <v>0.89982205629348699</v>
      </c>
    </row>
    <row r="295" spans="1:6">
      <c r="A295" s="1">
        <v>294</v>
      </c>
      <c r="B295" s="12">
        <v>0.204872101545333</v>
      </c>
      <c r="C295" s="12" t="s">
        <v>180</v>
      </c>
      <c r="F295" s="12">
        <v>0.994509518146514</v>
      </c>
    </row>
    <row r="296" spans="1:6">
      <c r="A296" s="1">
        <v>295</v>
      </c>
      <c r="B296" s="12">
        <v>0.95512187480926503</v>
      </c>
      <c r="C296" s="12" t="s">
        <v>4</v>
      </c>
      <c r="F296" s="12">
        <v>0.94494664669036799</v>
      </c>
    </row>
    <row r="297" spans="1:6">
      <c r="A297" s="1">
        <v>296</v>
      </c>
      <c r="B297" s="12">
        <v>0.50641036033630304</v>
      </c>
      <c r="C297" s="12" t="s">
        <v>4</v>
      </c>
      <c r="F297" s="12">
        <v>0.91037720441818204</v>
      </c>
    </row>
    <row r="298" spans="1:6">
      <c r="A298" s="1">
        <v>297</v>
      </c>
      <c r="B298" s="12">
        <v>0.96703982353210405</v>
      </c>
      <c r="C298" s="12" t="s">
        <v>4</v>
      </c>
      <c r="F298" s="12">
        <v>0.99853050708770696</v>
      </c>
    </row>
    <row r="299" spans="1:6">
      <c r="A299" s="1">
        <v>298</v>
      </c>
      <c r="B299" s="12">
        <v>0.52486759424209595</v>
      </c>
      <c r="C299" s="12" t="s">
        <v>4</v>
      </c>
      <c r="F299" s="12">
        <v>0.99656939506530695</v>
      </c>
    </row>
    <row r="300" spans="1:6">
      <c r="A300" s="1">
        <v>299</v>
      </c>
      <c r="B300" s="12">
        <v>0.89351600408553999</v>
      </c>
      <c r="C300" s="12" t="s">
        <v>4</v>
      </c>
      <c r="F300" s="12">
        <v>0.85161733627319303</v>
      </c>
    </row>
    <row r="301" spans="1:6">
      <c r="A301" s="1">
        <v>300</v>
      </c>
      <c r="B301" s="12">
        <v>0.77325469255447299</v>
      </c>
      <c r="C301" s="12" t="s">
        <v>4</v>
      </c>
      <c r="F301" s="12">
        <v>0.99360716342926003</v>
      </c>
    </row>
    <row r="302" spans="1:6">
      <c r="A302" s="1">
        <v>301</v>
      </c>
      <c r="B302" s="12">
        <v>0.81386190652847201</v>
      </c>
      <c r="C302" s="12" t="s">
        <v>4</v>
      </c>
      <c r="F302" s="12">
        <v>0.93154537677764804</v>
      </c>
    </row>
    <row r="303" spans="1:6">
      <c r="A303" s="1">
        <v>302</v>
      </c>
      <c r="B303" s="12">
        <v>0.77383941411972001</v>
      </c>
      <c r="C303" s="12" t="s">
        <v>4</v>
      </c>
      <c r="F303" s="12">
        <v>0.86553245782852095</v>
      </c>
    </row>
    <row r="304" spans="1:6">
      <c r="A304" s="1">
        <v>303</v>
      </c>
      <c r="B304" s="12">
        <v>0.99401086568832397</v>
      </c>
      <c r="C304" s="12" t="s">
        <v>180</v>
      </c>
      <c r="F304" s="12">
        <v>0.24873961508274001</v>
      </c>
    </row>
    <row r="305" spans="1:6">
      <c r="A305" s="1">
        <v>304</v>
      </c>
      <c r="B305" s="12">
        <v>0.99991714954376198</v>
      </c>
      <c r="C305" s="12" t="s">
        <v>4</v>
      </c>
      <c r="F305" s="12">
        <v>0.87567466497421198</v>
      </c>
    </row>
    <row r="306" spans="1:6">
      <c r="A306" s="1">
        <v>305</v>
      </c>
      <c r="B306" s="12">
        <v>0.99692779779434204</v>
      </c>
      <c r="C306" s="12" t="s">
        <v>4</v>
      </c>
      <c r="F306" s="12">
        <v>0.88467735052108698</v>
      </c>
    </row>
    <row r="307" spans="1:6">
      <c r="A307" s="1">
        <v>306</v>
      </c>
      <c r="B307" s="12">
        <v>0.74388295412063599</v>
      </c>
      <c r="C307" s="12" t="s">
        <v>4</v>
      </c>
      <c r="F307" s="12">
        <v>0.984061419963836</v>
      </c>
    </row>
    <row r="308" spans="1:6">
      <c r="A308" s="1">
        <v>307</v>
      </c>
      <c r="B308" s="12">
        <v>0.102958023548126</v>
      </c>
      <c r="C308" s="12" t="s">
        <v>4</v>
      </c>
      <c r="F308" s="12">
        <v>0.93302762508392301</v>
      </c>
    </row>
    <row r="309" spans="1:6">
      <c r="A309" s="1">
        <v>308</v>
      </c>
      <c r="B309" s="12">
        <v>0.97658789157867398</v>
      </c>
      <c r="C309" s="12" t="s">
        <v>4</v>
      </c>
      <c r="F309" s="12">
        <v>0.88948982954025202</v>
      </c>
    </row>
    <row r="310" spans="1:6">
      <c r="A310" s="1">
        <v>309</v>
      </c>
      <c r="B310" s="12">
        <v>0.88895237445831299</v>
      </c>
      <c r="C310" s="12" t="s">
        <v>4</v>
      </c>
      <c r="F310" s="12">
        <v>0.95400977134704501</v>
      </c>
    </row>
    <row r="311" spans="1:6">
      <c r="A311" s="1">
        <v>310</v>
      </c>
      <c r="B311" s="12">
        <v>0.89982205629348699</v>
      </c>
      <c r="C311" s="12" t="s">
        <v>4</v>
      </c>
      <c r="F311" s="12">
        <v>0.94111704826354903</v>
      </c>
    </row>
    <row r="312" spans="1:6">
      <c r="A312" s="1">
        <v>311</v>
      </c>
      <c r="B312" s="12">
        <v>0.994509518146514</v>
      </c>
      <c r="C312" s="12" t="s">
        <v>4</v>
      </c>
      <c r="F312" s="12">
        <v>0.52823841571807795</v>
      </c>
    </row>
    <row r="313" spans="1:6">
      <c r="A313" s="1">
        <v>312</v>
      </c>
      <c r="B313" s="12">
        <v>0.94494664669036799</v>
      </c>
      <c r="C313" s="12" t="s">
        <v>4</v>
      </c>
      <c r="F313" s="12">
        <v>0.83795595169067305</v>
      </c>
    </row>
    <row r="314" spans="1:6">
      <c r="A314" s="1">
        <v>313</v>
      </c>
      <c r="B314" s="12">
        <v>0.91037720441818204</v>
      </c>
      <c r="C314" s="12" t="s">
        <v>4</v>
      </c>
      <c r="F314" s="12">
        <v>0.97347575426101596</v>
      </c>
    </row>
    <row r="315" spans="1:6">
      <c r="A315" s="1">
        <v>314</v>
      </c>
      <c r="B315" s="12">
        <v>0.99853050708770696</v>
      </c>
      <c r="C315" s="12" t="s">
        <v>4</v>
      </c>
      <c r="F315" s="12">
        <v>0.95498770475387496</v>
      </c>
    </row>
    <row r="316" spans="1:6">
      <c r="A316" s="1">
        <v>315</v>
      </c>
      <c r="B316" s="12">
        <v>0.99656939506530695</v>
      </c>
      <c r="C316" s="12" t="s">
        <v>4</v>
      </c>
      <c r="F316" s="12">
        <v>0.67122167348861606</v>
      </c>
    </row>
    <row r="317" spans="1:6">
      <c r="A317" s="1">
        <v>316</v>
      </c>
      <c r="B317" s="12">
        <v>0.85161733627319303</v>
      </c>
      <c r="C317" s="12" t="s">
        <v>4</v>
      </c>
      <c r="F317" s="12">
        <v>0.99127507209777799</v>
      </c>
    </row>
    <row r="318" spans="1:6">
      <c r="A318" s="1">
        <v>317</v>
      </c>
      <c r="B318" s="12">
        <v>0.185136884450912</v>
      </c>
      <c r="C318" s="12" t="s">
        <v>180</v>
      </c>
      <c r="F318" s="12">
        <v>0.87429690361022905</v>
      </c>
    </row>
    <row r="319" spans="1:6">
      <c r="A319" s="1">
        <v>318</v>
      </c>
      <c r="B319" s="12">
        <v>0.99360716342926003</v>
      </c>
      <c r="C319" s="12" t="s">
        <v>4</v>
      </c>
      <c r="F319" s="12">
        <v>0.69919031858444203</v>
      </c>
    </row>
    <row r="320" spans="1:6">
      <c r="A320" s="1">
        <v>319</v>
      </c>
      <c r="B320" s="12">
        <v>0.93154537677764804</v>
      </c>
      <c r="C320" s="12" t="s">
        <v>4</v>
      </c>
      <c r="F320" s="12">
        <v>0.87102037668228105</v>
      </c>
    </row>
    <row r="321" spans="1:6">
      <c r="A321" s="1">
        <v>320</v>
      </c>
      <c r="B321" s="12">
        <v>0.86553245782852095</v>
      </c>
      <c r="C321" s="12" t="s">
        <v>4</v>
      </c>
      <c r="F321" s="12">
        <v>0.86824977397918701</v>
      </c>
    </row>
    <row r="322" spans="1:6">
      <c r="A322" s="1">
        <v>321</v>
      </c>
      <c r="B322" s="12">
        <v>0.24873961508274001</v>
      </c>
      <c r="C322" s="12" t="s">
        <v>4</v>
      </c>
      <c r="F322" s="12">
        <v>0.85594940185546797</v>
      </c>
    </row>
    <row r="323" spans="1:6">
      <c r="A323" s="1">
        <v>322</v>
      </c>
      <c r="B323" s="12">
        <v>0.87567466497421198</v>
      </c>
      <c r="C323" s="12" t="s">
        <v>4</v>
      </c>
      <c r="F323" s="12">
        <v>0.92838478088378895</v>
      </c>
    </row>
    <row r="324" spans="1:6">
      <c r="A324" s="1">
        <v>323</v>
      </c>
      <c r="B324" s="12">
        <v>0.88467735052108698</v>
      </c>
      <c r="C324" s="12" t="s">
        <v>4</v>
      </c>
      <c r="F324" s="12">
        <v>0.99477553367614702</v>
      </c>
    </row>
    <row r="325" spans="1:6">
      <c r="A325" s="1">
        <v>324</v>
      </c>
      <c r="B325" s="12">
        <v>0.984061419963836</v>
      </c>
      <c r="C325" s="12" t="s">
        <v>4</v>
      </c>
      <c r="F325" s="12">
        <v>0.98861032724380404</v>
      </c>
    </row>
    <row r="326" spans="1:6">
      <c r="A326" s="1">
        <v>325</v>
      </c>
      <c r="B326" s="12">
        <v>0.93302762508392301</v>
      </c>
      <c r="C326" s="12" t="s">
        <v>4</v>
      </c>
      <c r="F326" s="12">
        <v>0.89786577224731401</v>
      </c>
    </row>
    <row r="327" spans="1:6">
      <c r="A327" s="1">
        <v>326</v>
      </c>
      <c r="B327" s="12">
        <v>0.88948982954025202</v>
      </c>
      <c r="C327" s="12" t="s">
        <v>4</v>
      </c>
      <c r="F327" s="12">
        <v>0.89791864156723</v>
      </c>
    </row>
    <row r="328" spans="1:6">
      <c r="A328" s="1">
        <v>327</v>
      </c>
      <c r="B328" s="12">
        <v>0.95400977134704501</v>
      </c>
      <c r="C328" s="12" t="s">
        <v>4</v>
      </c>
      <c r="F328" s="12">
        <v>0.99790668487548795</v>
      </c>
    </row>
    <row r="329" spans="1:6">
      <c r="A329" s="1">
        <v>328</v>
      </c>
      <c r="B329" s="12">
        <v>0.94111704826354903</v>
      </c>
      <c r="C329" s="12" t="s">
        <v>4</v>
      </c>
      <c r="F329" s="12">
        <v>0.68096017837524403</v>
      </c>
    </row>
    <row r="330" spans="1:6">
      <c r="A330" s="1">
        <v>329</v>
      </c>
      <c r="B330" s="12">
        <v>0.52823841571807795</v>
      </c>
      <c r="C330" s="12" t="s">
        <v>4</v>
      </c>
      <c r="F330" s="12">
        <v>0.70880734920501698</v>
      </c>
    </row>
    <row r="331" spans="1:6">
      <c r="A331" s="1">
        <v>330</v>
      </c>
      <c r="B331" s="12">
        <v>0.83795595169067305</v>
      </c>
      <c r="C331" s="12" t="s">
        <v>4</v>
      </c>
      <c r="F331" s="12">
        <v>0.69416093826293901</v>
      </c>
    </row>
    <row r="332" spans="1:6">
      <c r="A332" s="1">
        <v>331</v>
      </c>
      <c r="B332" s="12">
        <v>0.97347575426101596</v>
      </c>
      <c r="C332" s="12" t="s">
        <v>4</v>
      </c>
      <c r="F332" s="12">
        <v>0.99765586853027299</v>
      </c>
    </row>
    <row r="333" spans="1:6">
      <c r="A333" s="1">
        <v>332</v>
      </c>
      <c r="B333" s="12">
        <v>0.95498770475387496</v>
      </c>
      <c r="C333" s="12" t="s">
        <v>4</v>
      </c>
      <c r="F333" s="12">
        <v>0.72465753555297796</v>
      </c>
    </row>
    <row r="334" spans="1:6">
      <c r="A334" s="1">
        <v>333</v>
      </c>
      <c r="B334" s="12">
        <v>0.67122167348861606</v>
      </c>
      <c r="C334" s="12" t="s">
        <v>4</v>
      </c>
      <c r="F334" s="12">
        <v>0.94088035821914595</v>
      </c>
    </row>
    <row r="335" spans="1:6">
      <c r="A335" s="1">
        <v>334</v>
      </c>
      <c r="B335" s="12">
        <v>0.99127507209777799</v>
      </c>
      <c r="C335" s="12" t="s">
        <v>4</v>
      </c>
      <c r="F335" s="12">
        <v>0.99696987867355302</v>
      </c>
    </row>
    <row r="336" spans="1:6">
      <c r="A336" s="1">
        <v>335</v>
      </c>
      <c r="B336" s="12">
        <v>0.87429690361022905</v>
      </c>
      <c r="C336" s="12" t="s">
        <v>4</v>
      </c>
      <c r="F336" s="12">
        <v>0.56980341672897294</v>
      </c>
    </row>
    <row r="337" spans="1:6">
      <c r="A337" s="1">
        <v>336</v>
      </c>
      <c r="B337" s="12">
        <v>0.69919031858444203</v>
      </c>
      <c r="C337" s="12" t="s">
        <v>4</v>
      </c>
      <c r="F337" s="12">
        <v>0.99869257211685103</v>
      </c>
    </row>
    <row r="338" spans="1:6">
      <c r="A338" s="1">
        <v>337</v>
      </c>
      <c r="B338" s="12">
        <v>0.87102037668228105</v>
      </c>
      <c r="C338" s="12" t="s">
        <v>4</v>
      </c>
      <c r="F338" s="12">
        <v>0.84939450025558405</v>
      </c>
    </row>
    <row r="339" spans="1:6">
      <c r="A339" s="1">
        <v>338</v>
      </c>
      <c r="B339" s="12">
        <v>0.86824977397918701</v>
      </c>
      <c r="C339" s="12" t="s">
        <v>4</v>
      </c>
      <c r="F339" s="12">
        <v>0.98470348119735696</v>
      </c>
    </row>
    <row r="340" spans="1:6">
      <c r="A340" s="1">
        <v>339</v>
      </c>
      <c r="B340" s="12">
        <v>0.85594940185546797</v>
      </c>
      <c r="C340" s="12" t="s">
        <v>4</v>
      </c>
      <c r="F340" s="12">
        <v>0.89023965597152699</v>
      </c>
    </row>
    <row r="341" spans="1:6">
      <c r="A341" s="1">
        <v>340</v>
      </c>
      <c r="B341" s="12">
        <v>0.92838478088378895</v>
      </c>
      <c r="C341" s="12" t="s">
        <v>4</v>
      </c>
      <c r="F341" s="12">
        <v>0.84506928920745805</v>
      </c>
    </row>
    <row r="342" spans="1:6">
      <c r="A342" s="1">
        <v>341</v>
      </c>
      <c r="B342" s="12">
        <v>0.99477553367614702</v>
      </c>
      <c r="C342" s="12" t="s">
        <v>4</v>
      </c>
      <c r="F342" s="12">
        <v>0.81344938278198198</v>
      </c>
    </row>
    <row r="343" spans="1:6">
      <c r="A343" s="1">
        <v>342</v>
      </c>
      <c r="B343" s="12">
        <v>0.98861032724380404</v>
      </c>
      <c r="C343" s="12" t="s">
        <v>4</v>
      </c>
      <c r="F343" s="12">
        <v>0.96649271249771096</v>
      </c>
    </row>
    <row r="344" spans="1:6">
      <c r="A344" s="1">
        <v>343</v>
      </c>
      <c r="B344" s="12">
        <v>0.89786577224731401</v>
      </c>
      <c r="C344" s="12" t="s">
        <v>4</v>
      </c>
      <c r="F344" s="12">
        <v>0.89043724536895696</v>
      </c>
    </row>
    <row r="345" spans="1:6">
      <c r="A345" s="1">
        <v>344</v>
      </c>
      <c r="B345" s="12">
        <v>0.89791864156723</v>
      </c>
      <c r="C345" s="12" t="s">
        <v>4</v>
      </c>
      <c r="F345" s="12">
        <v>0.66610485315322798</v>
      </c>
    </row>
    <row r="346" spans="1:6">
      <c r="A346" s="1">
        <v>345</v>
      </c>
      <c r="B346" s="12">
        <v>0.99790668487548795</v>
      </c>
      <c r="C346" s="12" t="s">
        <v>4</v>
      </c>
      <c r="F346" s="12">
        <v>0.88738441467285101</v>
      </c>
    </row>
    <row r="347" spans="1:6">
      <c r="A347" s="1">
        <v>346</v>
      </c>
      <c r="B347" s="12">
        <v>0.68096017837524403</v>
      </c>
      <c r="C347" s="12" t="s">
        <v>4</v>
      </c>
      <c r="F347" s="12">
        <v>0.85934156179428101</v>
      </c>
    </row>
    <row r="348" spans="1:6">
      <c r="A348" s="1">
        <v>347</v>
      </c>
      <c r="B348" s="12">
        <v>0.70880734920501698</v>
      </c>
      <c r="C348" s="12" t="s">
        <v>4</v>
      </c>
      <c r="F348" s="12">
        <v>0.81326496601104703</v>
      </c>
    </row>
    <row r="349" spans="1:6">
      <c r="A349" s="1">
        <v>348</v>
      </c>
      <c r="B349" s="12">
        <v>0.69416093826293901</v>
      </c>
      <c r="C349" s="12" t="s">
        <v>4</v>
      </c>
      <c r="F349" s="12">
        <v>0.582566618919372</v>
      </c>
    </row>
    <row r="350" spans="1:6">
      <c r="A350" s="1">
        <v>349</v>
      </c>
      <c r="B350" s="12">
        <v>0.99765586853027299</v>
      </c>
      <c r="C350" s="12" t="s">
        <v>4</v>
      </c>
      <c r="F350" s="12">
        <v>0.99981397390365601</v>
      </c>
    </row>
    <row r="351" spans="1:6">
      <c r="A351" s="1">
        <v>350</v>
      </c>
      <c r="B351" s="12">
        <v>0.72465753555297796</v>
      </c>
      <c r="C351" s="12" t="s">
        <v>4</v>
      </c>
      <c r="F351" s="12">
        <v>0.67539912462234497</v>
      </c>
    </row>
    <row r="352" spans="1:6">
      <c r="A352" s="1">
        <v>351</v>
      </c>
      <c r="B352" s="12">
        <v>0.94088035821914595</v>
      </c>
      <c r="C352" s="12" t="s">
        <v>4</v>
      </c>
      <c r="F352" s="12">
        <v>0.893377065658569</v>
      </c>
    </row>
    <row r="353" spans="1:6">
      <c r="A353" s="1">
        <v>352</v>
      </c>
      <c r="B353" s="12">
        <v>0.99696987867355302</v>
      </c>
      <c r="C353" s="12" t="s">
        <v>4</v>
      </c>
      <c r="F353" s="12">
        <v>0.88122010231018</v>
      </c>
    </row>
    <row r="354" spans="1:6">
      <c r="A354" s="1">
        <v>353</v>
      </c>
      <c r="B354" s="12">
        <v>0.56980341672897294</v>
      </c>
      <c r="C354" s="12" t="s">
        <v>4</v>
      </c>
      <c r="F354" s="12">
        <v>0.99131095409393299</v>
      </c>
    </row>
    <row r="355" spans="1:6">
      <c r="A355" s="1">
        <v>354</v>
      </c>
      <c r="B355" s="12">
        <v>0.99869257211685103</v>
      </c>
      <c r="C355" s="12" t="s">
        <v>4</v>
      </c>
      <c r="F355" s="12">
        <v>0.54575991630554199</v>
      </c>
    </row>
    <row r="356" spans="1:6">
      <c r="A356" s="1">
        <v>355</v>
      </c>
      <c r="B356" s="12">
        <v>0.84939450025558405</v>
      </c>
      <c r="C356" s="12" t="s">
        <v>4</v>
      </c>
      <c r="F356" s="12">
        <v>0.86744016408920199</v>
      </c>
    </row>
    <row r="357" spans="1:6">
      <c r="A357" s="1">
        <v>356</v>
      </c>
      <c r="B357" s="12">
        <v>0.98470348119735696</v>
      </c>
      <c r="C357" s="12" t="s">
        <v>4</v>
      </c>
      <c r="F357" s="12">
        <v>0.96930873394012396</v>
      </c>
    </row>
    <row r="358" spans="1:6">
      <c r="A358" s="1">
        <v>357</v>
      </c>
      <c r="B358" s="12">
        <v>0.89023965597152699</v>
      </c>
      <c r="C358" s="12" t="s">
        <v>4</v>
      </c>
      <c r="F358" s="12">
        <v>0.50728940963745095</v>
      </c>
    </row>
    <row r="359" spans="1:6">
      <c r="A359" s="1">
        <v>358</v>
      </c>
      <c r="B359" s="12">
        <v>0.84506928920745805</v>
      </c>
      <c r="C359" s="12" t="s">
        <v>4</v>
      </c>
      <c r="F359" s="12">
        <v>0.99359619617462103</v>
      </c>
    </row>
    <row r="360" spans="1:6">
      <c r="A360" s="1">
        <v>359</v>
      </c>
      <c r="B360" s="12">
        <v>0.81344938278198198</v>
      </c>
      <c r="C360" s="12" t="s">
        <v>4</v>
      </c>
      <c r="F360" s="12">
        <v>0.96365940570831299</v>
      </c>
    </row>
    <row r="361" spans="1:6">
      <c r="A361" s="1">
        <v>360</v>
      </c>
      <c r="B361" s="12">
        <v>0.96649271249771096</v>
      </c>
      <c r="C361" s="12" t="s">
        <v>4</v>
      </c>
      <c r="F361" s="12">
        <v>0.99644744396209695</v>
      </c>
    </row>
    <row r="362" spans="1:6">
      <c r="A362" s="1">
        <v>361</v>
      </c>
      <c r="B362" s="12">
        <v>0.89043724536895696</v>
      </c>
      <c r="C362" s="12" t="s">
        <v>4</v>
      </c>
      <c r="F362" s="12">
        <v>0.687317013740539</v>
      </c>
    </row>
    <row r="363" spans="1:6">
      <c r="A363" s="1">
        <v>362</v>
      </c>
      <c r="B363" s="12">
        <v>0.66610485315322798</v>
      </c>
      <c r="C363" s="12" t="s">
        <v>4</v>
      </c>
      <c r="F363" s="12">
        <v>0.81278228759765603</v>
      </c>
    </row>
    <row r="364" spans="1:6">
      <c r="A364" s="1">
        <v>363</v>
      </c>
      <c r="B364" s="12">
        <v>0.88738441467285101</v>
      </c>
      <c r="C364" s="12" t="s">
        <v>4</v>
      </c>
      <c r="F364" s="12">
        <v>0.92757868766784601</v>
      </c>
    </row>
    <row r="365" spans="1:6">
      <c r="A365" s="1">
        <v>364</v>
      </c>
      <c r="B365" s="12">
        <v>0.85934156179428101</v>
      </c>
      <c r="C365" s="12" t="s">
        <v>4</v>
      </c>
      <c r="F365" s="12">
        <v>0.66648912429809504</v>
      </c>
    </row>
    <row r="366" spans="1:6">
      <c r="A366" s="1">
        <v>365</v>
      </c>
      <c r="B366" s="12">
        <v>0.81326496601104703</v>
      </c>
      <c r="C366" s="12" t="s">
        <v>4</v>
      </c>
      <c r="F366" s="12">
        <v>0.96785753965377797</v>
      </c>
    </row>
    <row r="367" spans="1:6">
      <c r="A367" s="1">
        <v>366</v>
      </c>
      <c r="B367" s="12">
        <v>0.582566618919372</v>
      </c>
      <c r="C367" s="12" t="s">
        <v>4</v>
      </c>
      <c r="F367" s="12">
        <v>0.85214722156524603</v>
      </c>
    </row>
    <row r="368" spans="1:6">
      <c r="A368" s="1">
        <v>367</v>
      </c>
      <c r="B368" s="12">
        <v>0.99981397390365601</v>
      </c>
      <c r="C368" s="12" t="s">
        <v>4</v>
      </c>
      <c r="F368" s="12">
        <v>0.96996015310287398</v>
      </c>
    </row>
    <row r="369" spans="1:6">
      <c r="A369" s="1">
        <v>368</v>
      </c>
      <c r="B369" s="12">
        <v>0.67539912462234497</v>
      </c>
      <c r="C369" s="12" t="s">
        <v>4</v>
      </c>
      <c r="F369" s="12">
        <v>0.95477497577667203</v>
      </c>
    </row>
    <row r="370" spans="1:6">
      <c r="A370" s="1">
        <v>369</v>
      </c>
      <c r="B370" s="12">
        <v>0.893377065658569</v>
      </c>
      <c r="C370" s="12" t="s">
        <v>4</v>
      </c>
      <c r="F370" s="12">
        <v>0.96248310804366999</v>
      </c>
    </row>
    <row r="371" spans="1:6">
      <c r="A371" s="1">
        <v>370</v>
      </c>
      <c r="B371" s="12">
        <v>0.88122010231018</v>
      </c>
      <c r="C371" s="12" t="s">
        <v>4</v>
      </c>
      <c r="F371" s="12">
        <v>0.98337525129318204</v>
      </c>
    </row>
    <row r="372" spans="1:6">
      <c r="A372" s="1">
        <v>371</v>
      </c>
      <c r="B372" s="12">
        <v>0.99131095409393299</v>
      </c>
      <c r="C372" s="12" t="s">
        <v>4</v>
      </c>
      <c r="F372" s="12">
        <v>0.99957805871963501</v>
      </c>
    </row>
    <row r="373" spans="1:6">
      <c r="A373" s="1">
        <v>372</v>
      </c>
      <c r="B373" s="12">
        <v>0.54575991630554199</v>
      </c>
      <c r="C373" s="12" t="s">
        <v>4</v>
      </c>
      <c r="F373" s="12">
        <v>0.79560852050781194</v>
      </c>
    </row>
    <row r="374" spans="1:6">
      <c r="A374" s="1">
        <v>373</v>
      </c>
      <c r="B374" s="12">
        <v>0.86744016408920199</v>
      </c>
      <c r="C374" s="12" t="s">
        <v>4</v>
      </c>
      <c r="F374" s="12">
        <v>0.52138072252273504</v>
      </c>
    </row>
    <row r="375" spans="1:6">
      <c r="A375" s="1">
        <v>374</v>
      </c>
      <c r="B375" s="12">
        <v>0.96930873394012396</v>
      </c>
      <c r="C375" s="12" t="s">
        <v>4</v>
      </c>
      <c r="F375" s="12">
        <v>0.82158619165420499</v>
      </c>
    </row>
    <row r="376" spans="1:6">
      <c r="A376" s="1">
        <v>375</v>
      </c>
      <c r="B376" s="12">
        <v>0.50728940963745095</v>
      </c>
      <c r="C376" s="12" t="s">
        <v>4</v>
      </c>
      <c r="F376" s="12">
        <v>0.98428887128829901</v>
      </c>
    </row>
    <row r="377" spans="1:6">
      <c r="A377" s="1">
        <v>376</v>
      </c>
      <c r="B377" s="12">
        <v>0.99359619617462103</v>
      </c>
      <c r="C377" s="12" t="s">
        <v>4</v>
      </c>
      <c r="F377" s="12">
        <v>0.99341845512390103</v>
      </c>
    </row>
    <row r="378" spans="1:6">
      <c r="A378" s="1">
        <v>377</v>
      </c>
      <c r="B378" s="12">
        <v>0.96365940570831299</v>
      </c>
      <c r="C378" s="12" t="s">
        <v>4</v>
      </c>
      <c r="F378" s="12">
        <v>0.99932360649108798</v>
      </c>
    </row>
    <row r="379" spans="1:6">
      <c r="A379" s="1">
        <v>378</v>
      </c>
      <c r="B379" s="12">
        <v>0.99644744396209695</v>
      </c>
      <c r="C379" s="12" t="s">
        <v>4</v>
      </c>
      <c r="F379" s="12">
        <v>0.80754196643829301</v>
      </c>
    </row>
    <row r="380" spans="1:6">
      <c r="A380" s="1">
        <v>379</v>
      </c>
      <c r="B380" s="12">
        <v>0.687317013740539</v>
      </c>
      <c r="C380" s="12" t="s">
        <v>4</v>
      </c>
      <c r="F380" s="12">
        <v>0.74422544240951505</v>
      </c>
    </row>
    <row r="381" spans="1:6">
      <c r="A381" s="1">
        <v>380</v>
      </c>
      <c r="B381" s="12">
        <v>0.81278228759765603</v>
      </c>
      <c r="C381" s="12" t="s">
        <v>4</v>
      </c>
      <c r="F381" s="12">
        <v>0.79950064420699996</v>
      </c>
    </row>
    <row r="382" spans="1:6">
      <c r="A382" s="1">
        <v>381</v>
      </c>
      <c r="B382" s="12">
        <v>0.92757868766784601</v>
      </c>
      <c r="C382" s="12" t="s">
        <v>4</v>
      </c>
      <c r="F382" s="12">
        <v>0.89749532938003496</v>
      </c>
    </row>
    <row r="383" spans="1:6">
      <c r="A383" s="1">
        <v>382</v>
      </c>
      <c r="B383" s="12">
        <v>0.66648912429809504</v>
      </c>
      <c r="C383" s="12" t="s">
        <v>4</v>
      </c>
      <c r="F383" s="12">
        <v>0.66114521026611295</v>
      </c>
    </row>
    <row r="384" spans="1:6">
      <c r="A384" s="1">
        <v>383</v>
      </c>
      <c r="B384" s="12">
        <v>0.138463795185089</v>
      </c>
      <c r="C384" s="12" t="s">
        <v>180</v>
      </c>
      <c r="F384" s="12">
        <v>0.86124402284622104</v>
      </c>
    </row>
    <row r="385" spans="1:6">
      <c r="A385" s="1">
        <v>384</v>
      </c>
      <c r="B385" s="12">
        <v>0.96785753965377797</v>
      </c>
      <c r="C385" s="12" t="s">
        <v>4</v>
      </c>
      <c r="F385" s="12">
        <v>0.89747327566146795</v>
      </c>
    </row>
    <row r="386" spans="1:6">
      <c r="A386" s="1">
        <v>385</v>
      </c>
      <c r="B386" s="12">
        <v>6.9045804440975106E-2</v>
      </c>
      <c r="C386" s="12" t="s">
        <v>180</v>
      </c>
      <c r="F386" s="12">
        <v>0.57104110717773404</v>
      </c>
    </row>
    <row r="387" spans="1:6">
      <c r="A387" s="1">
        <v>386</v>
      </c>
      <c r="B387" s="12">
        <v>0.85214722156524603</v>
      </c>
      <c r="C387" s="12" t="s">
        <v>4</v>
      </c>
      <c r="F387" s="12">
        <v>0.974184811115264</v>
      </c>
    </row>
    <row r="388" spans="1:6">
      <c r="A388" s="1">
        <v>387</v>
      </c>
      <c r="B388" s="12">
        <v>0.96996015310287398</v>
      </c>
      <c r="C388" s="12" t="s">
        <v>4</v>
      </c>
      <c r="F388" s="12">
        <v>0.15025015175342499</v>
      </c>
    </row>
    <row r="389" spans="1:6">
      <c r="A389" s="1">
        <v>388</v>
      </c>
      <c r="B389" s="12">
        <v>0.95477497577667203</v>
      </c>
      <c r="C389" s="12" t="s">
        <v>4</v>
      </c>
      <c r="F389" s="12">
        <v>0.99438124895095803</v>
      </c>
    </row>
    <row r="390" spans="1:6">
      <c r="A390" s="1">
        <v>389</v>
      </c>
      <c r="B390" s="12">
        <v>0.96248310804366999</v>
      </c>
      <c r="C390" s="12" t="s">
        <v>4</v>
      </c>
      <c r="F390" s="12">
        <v>3.5558059811592102E-2</v>
      </c>
    </row>
    <row r="391" spans="1:6">
      <c r="A391" s="1">
        <v>390</v>
      </c>
      <c r="B391" s="12">
        <v>0.98337525129318204</v>
      </c>
      <c r="C391" s="12" t="s">
        <v>4</v>
      </c>
      <c r="F391" s="12">
        <v>0.84293258190154996</v>
      </c>
    </row>
    <row r="392" spans="1:6">
      <c r="A392" s="1">
        <v>391</v>
      </c>
      <c r="B392" s="12">
        <v>0.99957805871963501</v>
      </c>
      <c r="C392" s="12" t="s">
        <v>4</v>
      </c>
      <c r="F392" s="12">
        <v>0.84484285116195601</v>
      </c>
    </row>
    <row r="393" spans="1:6">
      <c r="A393" s="1">
        <v>392</v>
      </c>
      <c r="B393" s="12">
        <v>0.79560852050781194</v>
      </c>
      <c r="C393" s="12" t="s">
        <v>4</v>
      </c>
      <c r="F393" s="12">
        <v>0.87835949659347501</v>
      </c>
    </row>
    <row r="394" spans="1:6">
      <c r="A394" s="1">
        <v>393</v>
      </c>
      <c r="B394" s="12">
        <v>0.52138072252273504</v>
      </c>
      <c r="C394" s="12" t="s">
        <v>4</v>
      </c>
      <c r="F394" s="12">
        <v>0.45946806669235202</v>
      </c>
    </row>
    <row r="395" spans="1:6">
      <c r="A395" s="1">
        <v>394</v>
      </c>
      <c r="B395" s="12">
        <v>0.82158619165420499</v>
      </c>
      <c r="C395" s="12" t="s">
        <v>4</v>
      </c>
      <c r="F395" s="12">
        <v>0.88898706436157204</v>
      </c>
    </row>
    <row r="396" spans="1:6">
      <c r="A396" s="1">
        <v>395</v>
      </c>
      <c r="B396" s="12">
        <v>0.98428887128829901</v>
      </c>
      <c r="C396" s="12" t="s">
        <v>4</v>
      </c>
      <c r="F396" s="12">
        <v>0.62299036979675204</v>
      </c>
    </row>
    <row r="397" spans="1:6">
      <c r="A397" s="1">
        <v>396</v>
      </c>
      <c r="B397" s="12">
        <v>0.99341845512390103</v>
      </c>
      <c r="C397" s="12" t="s">
        <v>4</v>
      </c>
      <c r="F397" s="12">
        <v>0.73846888542175204</v>
      </c>
    </row>
    <row r="398" spans="1:6">
      <c r="A398" s="1">
        <v>397</v>
      </c>
      <c r="B398" s="12">
        <v>0.99932360649108798</v>
      </c>
      <c r="C398" s="12" t="s">
        <v>4</v>
      </c>
      <c r="F398" s="12">
        <v>0.425559312105178</v>
      </c>
    </row>
    <row r="399" spans="1:6">
      <c r="A399" s="1">
        <v>398</v>
      </c>
      <c r="B399" s="12">
        <v>0.80754196643829301</v>
      </c>
      <c r="C399" s="12" t="s">
        <v>4</v>
      </c>
      <c r="F399" s="12">
        <v>0.85449475049972501</v>
      </c>
    </row>
    <row r="400" spans="1:6">
      <c r="A400" s="1">
        <v>399</v>
      </c>
      <c r="B400" s="12">
        <v>0.74422544240951505</v>
      </c>
      <c r="C400" s="12" t="s">
        <v>4</v>
      </c>
      <c r="F400" s="12">
        <v>0.92212885618209794</v>
      </c>
    </row>
    <row r="401" spans="1:6">
      <c r="A401" s="1">
        <v>400</v>
      </c>
      <c r="B401" s="12">
        <v>0.79950064420699996</v>
      </c>
      <c r="C401" s="12" t="s">
        <v>4</v>
      </c>
      <c r="F401" s="12">
        <v>0.99894672632217396</v>
      </c>
    </row>
    <row r="402" spans="1:6">
      <c r="A402" s="1">
        <v>401</v>
      </c>
      <c r="B402" s="12">
        <v>0.89749532938003496</v>
      </c>
      <c r="C402" s="12" t="s">
        <v>4</v>
      </c>
      <c r="F402" s="12">
        <v>0.99915587902069003</v>
      </c>
    </row>
    <row r="403" spans="1:6">
      <c r="A403" s="1">
        <v>402</v>
      </c>
      <c r="B403" s="12">
        <v>0.66114521026611295</v>
      </c>
      <c r="C403" s="12" t="s">
        <v>4</v>
      </c>
      <c r="F403" s="12">
        <v>0.99826651811599698</v>
      </c>
    </row>
    <row r="404" spans="1:6">
      <c r="A404" s="1">
        <v>403</v>
      </c>
      <c r="B404" s="12">
        <v>0.86124402284622104</v>
      </c>
      <c r="C404" s="12" t="s">
        <v>4</v>
      </c>
      <c r="F404" s="12">
        <v>0.58290141820907504</v>
      </c>
    </row>
    <row r="405" spans="1:6">
      <c r="A405" s="1">
        <v>404</v>
      </c>
      <c r="B405" s="12">
        <v>0.89747327566146795</v>
      </c>
      <c r="C405" s="12" t="s">
        <v>4</v>
      </c>
      <c r="F405" s="12">
        <v>0.381242305040359</v>
      </c>
    </row>
    <row r="406" spans="1:6">
      <c r="A406" s="1">
        <v>405</v>
      </c>
      <c r="B406" s="12">
        <v>0.57104110717773404</v>
      </c>
      <c r="C406" s="12" t="s">
        <v>4</v>
      </c>
      <c r="F406" s="12">
        <v>0.96405166387557895</v>
      </c>
    </row>
    <row r="407" spans="1:6">
      <c r="A407" s="1">
        <v>406</v>
      </c>
      <c r="B407" s="12">
        <v>0.974184811115264</v>
      </c>
      <c r="C407" s="12" t="s">
        <v>4</v>
      </c>
      <c r="F407" s="12">
        <v>0.94675880670547397</v>
      </c>
    </row>
    <row r="408" spans="1:6">
      <c r="A408" s="1">
        <v>407</v>
      </c>
      <c r="B408" s="12">
        <v>0.15025015175342499</v>
      </c>
      <c r="C408" s="12" t="s">
        <v>4</v>
      </c>
      <c r="F408" s="12">
        <v>0.89267957210540705</v>
      </c>
    </row>
    <row r="409" spans="1:6">
      <c r="A409" s="1">
        <v>408</v>
      </c>
      <c r="B409" s="12">
        <v>0.99438124895095803</v>
      </c>
      <c r="C409" s="12" t="s">
        <v>4</v>
      </c>
      <c r="F409" s="12">
        <v>0.94257879257202104</v>
      </c>
    </row>
    <row r="410" spans="1:6">
      <c r="A410" s="1">
        <v>409</v>
      </c>
      <c r="B410" s="12">
        <v>3.5558059811592102E-2</v>
      </c>
      <c r="C410" s="12" t="s">
        <v>4</v>
      </c>
      <c r="F410" s="12">
        <v>0.98325836658477705</v>
      </c>
    </row>
    <row r="411" spans="1:6">
      <c r="A411" s="1">
        <v>410</v>
      </c>
      <c r="B411" s="12">
        <v>0.161070302128791</v>
      </c>
      <c r="C411" s="12" t="s">
        <v>180</v>
      </c>
      <c r="F411" s="12">
        <v>0.85987186431884699</v>
      </c>
    </row>
    <row r="412" spans="1:6">
      <c r="A412" s="1">
        <v>411</v>
      </c>
      <c r="B412" s="12">
        <v>0.33813968300819303</v>
      </c>
      <c r="C412" s="12" t="s">
        <v>180</v>
      </c>
      <c r="F412" s="12">
        <v>0.93618100881576505</v>
      </c>
    </row>
    <row r="413" spans="1:6">
      <c r="A413" s="1">
        <v>412</v>
      </c>
      <c r="B413" s="12">
        <v>0.84293258190154996</v>
      </c>
      <c r="C413" s="12" t="s">
        <v>4</v>
      </c>
      <c r="F413" s="12">
        <v>0.92571365833282404</v>
      </c>
    </row>
    <row r="414" spans="1:6">
      <c r="A414" s="1">
        <v>413</v>
      </c>
      <c r="B414" s="12">
        <v>0.84484285116195601</v>
      </c>
      <c r="C414" s="12" t="s">
        <v>4</v>
      </c>
      <c r="F414" s="12">
        <v>0.81412327289581299</v>
      </c>
    </row>
    <row r="415" spans="1:6">
      <c r="A415" s="1">
        <v>414</v>
      </c>
      <c r="B415" s="12">
        <v>0.87835949659347501</v>
      </c>
      <c r="C415" s="12" t="s">
        <v>4</v>
      </c>
      <c r="F415" s="12">
        <v>0.38082516193389798</v>
      </c>
    </row>
    <row r="416" spans="1:6">
      <c r="A416" s="1">
        <v>415</v>
      </c>
      <c r="B416" s="12">
        <v>0.27500161528587302</v>
      </c>
      <c r="C416" s="12" t="s">
        <v>180</v>
      </c>
      <c r="F416" s="12">
        <v>0.95475757122039795</v>
      </c>
    </row>
    <row r="417" spans="1:6">
      <c r="A417" s="1">
        <v>416</v>
      </c>
      <c r="B417" s="12">
        <v>0.45946806669235202</v>
      </c>
      <c r="C417" s="12" t="s">
        <v>4</v>
      </c>
      <c r="F417" s="12">
        <v>0.99576240777969305</v>
      </c>
    </row>
    <row r="418" spans="1:6">
      <c r="A418" s="1">
        <v>417</v>
      </c>
      <c r="B418" s="12">
        <v>0.88898706436157204</v>
      </c>
      <c r="C418" s="12" t="s">
        <v>4</v>
      </c>
      <c r="F418" s="12">
        <v>0.60023981332778897</v>
      </c>
    </row>
    <row r="419" spans="1:6">
      <c r="A419" s="1">
        <v>418</v>
      </c>
      <c r="B419" s="12">
        <v>0.62299036979675204</v>
      </c>
      <c r="C419" s="12" t="s">
        <v>4</v>
      </c>
      <c r="F419" s="12">
        <v>0.79522126913070601</v>
      </c>
    </row>
    <row r="420" spans="1:6">
      <c r="A420" s="1">
        <v>419</v>
      </c>
      <c r="B420" s="12">
        <v>0.73846888542175204</v>
      </c>
      <c r="C420" s="12" t="s">
        <v>4</v>
      </c>
      <c r="F420" s="12">
        <v>0.910852491855621</v>
      </c>
    </row>
    <row r="421" spans="1:6">
      <c r="A421" s="1">
        <v>420</v>
      </c>
      <c r="B421" s="12">
        <v>0.425559312105178</v>
      </c>
      <c r="C421" s="12" t="s">
        <v>4</v>
      </c>
      <c r="F421" s="12">
        <v>0.91784918308258001</v>
      </c>
    </row>
    <row r="422" spans="1:6">
      <c r="A422" s="1">
        <v>421</v>
      </c>
      <c r="B422" s="12">
        <v>0.85449475049972501</v>
      </c>
      <c r="C422" s="12" t="s">
        <v>4</v>
      </c>
      <c r="F422" s="12">
        <v>0.96203958988189697</v>
      </c>
    </row>
    <row r="423" spans="1:6">
      <c r="A423" s="1">
        <v>422</v>
      </c>
      <c r="B423" s="12">
        <v>0.92212885618209794</v>
      </c>
      <c r="C423" s="12" t="s">
        <v>4</v>
      </c>
      <c r="F423" s="12">
        <v>0.79082602262496904</v>
      </c>
    </row>
    <row r="424" spans="1:6">
      <c r="A424" s="1">
        <v>423</v>
      </c>
      <c r="B424" s="12">
        <v>0.99894672632217396</v>
      </c>
      <c r="C424" s="12" t="s">
        <v>4</v>
      </c>
      <c r="F424" s="12">
        <v>0.98086720705032304</v>
      </c>
    </row>
    <row r="425" spans="1:6">
      <c r="A425" s="1">
        <v>424</v>
      </c>
      <c r="B425" s="12">
        <v>0.99915587902069003</v>
      </c>
      <c r="C425" s="12" t="s">
        <v>4</v>
      </c>
      <c r="F425" s="12">
        <v>0.22874844074249201</v>
      </c>
    </row>
    <row r="426" spans="1:6">
      <c r="A426" s="1">
        <v>425</v>
      </c>
      <c r="B426" s="12">
        <v>0.99826651811599698</v>
      </c>
      <c r="C426" s="12" t="s">
        <v>4</v>
      </c>
      <c r="F426" s="12">
        <v>0.99033814668655396</v>
      </c>
    </row>
    <row r="427" spans="1:6">
      <c r="A427" s="1">
        <v>426</v>
      </c>
      <c r="B427" s="12">
        <v>0.58290141820907504</v>
      </c>
      <c r="C427" s="12" t="s">
        <v>4</v>
      </c>
      <c r="F427" s="12">
        <v>0.97617560625076205</v>
      </c>
    </row>
    <row r="428" spans="1:6">
      <c r="A428" s="1">
        <v>427</v>
      </c>
      <c r="B428" s="12">
        <v>0.381242305040359</v>
      </c>
      <c r="C428" s="12" t="s">
        <v>4</v>
      </c>
      <c r="F428" s="12">
        <v>0.89521616697311401</v>
      </c>
    </row>
    <row r="429" spans="1:6">
      <c r="A429" s="1">
        <v>428</v>
      </c>
      <c r="B429" s="12">
        <v>0.96405166387557895</v>
      </c>
      <c r="C429" s="12" t="s">
        <v>4</v>
      </c>
      <c r="F429" s="12">
        <v>0.996190905570983</v>
      </c>
    </row>
    <row r="430" spans="1:6">
      <c r="A430" s="1">
        <v>429</v>
      </c>
      <c r="B430" s="12">
        <v>0.94675880670547397</v>
      </c>
      <c r="C430" s="12" t="s">
        <v>4</v>
      </c>
      <c r="F430" s="12">
        <v>0.435320645570755</v>
      </c>
    </row>
    <row r="431" spans="1:6">
      <c r="A431" s="1">
        <v>430</v>
      </c>
      <c r="B431" s="12">
        <v>0.89267957210540705</v>
      </c>
      <c r="C431" s="12" t="s">
        <v>4</v>
      </c>
      <c r="F431" s="12">
        <v>0.79527503252029397</v>
      </c>
    </row>
    <row r="432" spans="1:6">
      <c r="A432" s="1">
        <v>431</v>
      </c>
      <c r="B432" s="12">
        <v>0.94257879257202104</v>
      </c>
      <c r="C432" s="12" t="s">
        <v>4</v>
      </c>
      <c r="F432" s="12">
        <v>0.68001508712768499</v>
      </c>
    </row>
    <row r="433" spans="1:6">
      <c r="A433" s="1">
        <v>432</v>
      </c>
      <c r="B433" s="12">
        <v>0.98325836658477705</v>
      </c>
      <c r="C433" s="12" t="s">
        <v>4</v>
      </c>
      <c r="F433" s="12">
        <v>0.37254729866981501</v>
      </c>
    </row>
    <row r="434" spans="1:6">
      <c r="A434" s="1">
        <v>433</v>
      </c>
      <c r="B434" s="12">
        <v>0.85987186431884699</v>
      </c>
      <c r="C434" s="12" t="s">
        <v>4</v>
      </c>
      <c r="F434" s="12">
        <v>0.89691418409347501</v>
      </c>
    </row>
    <row r="435" spans="1:6">
      <c r="A435" s="1">
        <v>434</v>
      </c>
      <c r="B435" s="12">
        <v>0.93618100881576505</v>
      </c>
      <c r="C435" s="12" t="s">
        <v>4</v>
      </c>
      <c r="F435" s="12">
        <v>0.67608773708343495</v>
      </c>
    </row>
    <row r="436" spans="1:6">
      <c r="A436" s="1">
        <v>435</v>
      </c>
      <c r="B436" s="12">
        <v>0.92571365833282404</v>
      </c>
      <c r="C436" s="12" t="s">
        <v>4</v>
      </c>
      <c r="F436" s="12">
        <v>0.94102084636688199</v>
      </c>
    </row>
    <row r="437" spans="1:6">
      <c r="A437" s="1">
        <v>436</v>
      </c>
      <c r="B437" s="12">
        <v>0.81412327289581299</v>
      </c>
      <c r="C437" s="12" t="s">
        <v>4</v>
      </c>
      <c r="F437" s="12">
        <v>0.97242945432662897</v>
      </c>
    </row>
    <row r="438" spans="1:6">
      <c r="A438" s="1">
        <v>437</v>
      </c>
      <c r="B438" s="12">
        <v>0.38082516193389798</v>
      </c>
      <c r="C438" s="12" t="s">
        <v>4</v>
      </c>
      <c r="F438" s="12">
        <v>0.99322915077209395</v>
      </c>
    </row>
    <row r="439" spans="1:6">
      <c r="A439" s="1">
        <v>438</v>
      </c>
      <c r="B439" s="12">
        <v>0.95475757122039795</v>
      </c>
      <c r="C439" s="12" t="s">
        <v>4</v>
      </c>
      <c r="F439" s="12">
        <v>0.73890119791030795</v>
      </c>
    </row>
    <row r="440" spans="1:6">
      <c r="A440" s="1">
        <v>439</v>
      </c>
      <c r="B440" s="12">
        <v>0.99576240777969305</v>
      </c>
      <c r="C440" s="12" t="s">
        <v>4</v>
      </c>
      <c r="F440" s="12">
        <v>0.937816381454467</v>
      </c>
    </row>
    <row r="441" spans="1:6">
      <c r="A441" s="1">
        <v>440</v>
      </c>
      <c r="B441" s="12">
        <v>0.60023981332778897</v>
      </c>
      <c r="C441" s="12" t="s">
        <v>4</v>
      </c>
      <c r="F441" s="12">
        <v>0.35838124155998202</v>
      </c>
    </row>
    <row r="442" spans="1:6">
      <c r="A442" s="1">
        <v>441</v>
      </c>
      <c r="B442" s="12">
        <v>0.79522126913070601</v>
      </c>
      <c r="C442" s="12" t="s">
        <v>4</v>
      </c>
      <c r="F442" s="12">
        <v>0.98416131734848</v>
      </c>
    </row>
    <row r="443" spans="1:6">
      <c r="A443" s="1">
        <v>442</v>
      </c>
      <c r="B443" s="12">
        <v>0.910852491855621</v>
      </c>
      <c r="C443" s="12" t="s">
        <v>4</v>
      </c>
      <c r="F443" s="12">
        <v>0.42700707912445002</v>
      </c>
    </row>
    <row r="444" spans="1:6">
      <c r="A444" s="1">
        <v>443</v>
      </c>
      <c r="B444" s="12">
        <v>0.91784918308258001</v>
      </c>
      <c r="C444" s="12" t="s">
        <v>4</v>
      </c>
      <c r="F444" s="12">
        <v>0.96192497014999301</v>
      </c>
    </row>
    <row r="445" spans="1:6">
      <c r="A445" s="1">
        <v>444</v>
      </c>
      <c r="B445" s="12">
        <v>0.96203958988189697</v>
      </c>
      <c r="C445" s="12" t="s">
        <v>4</v>
      </c>
      <c r="F445" s="12">
        <v>0.64314359426498402</v>
      </c>
    </row>
    <row r="446" spans="1:6">
      <c r="A446" s="1">
        <v>445</v>
      </c>
      <c r="B446" s="12">
        <v>0.79082602262496904</v>
      </c>
      <c r="C446" s="12" t="s">
        <v>4</v>
      </c>
      <c r="F446" s="12">
        <v>0.99603998661041204</v>
      </c>
    </row>
    <row r="447" spans="1:6">
      <c r="A447" s="1">
        <v>446</v>
      </c>
      <c r="B447" s="12">
        <v>0.98086720705032304</v>
      </c>
      <c r="C447" s="12" t="s">
        <v>4</v>
      </c>
      <c r="F447" s="12">
        <v>0.95843803882598799</v>
      </c>
    </row>
    <row r="448" spans="1:6">
      <c r="A448" s="1">
        <v>447</v>
      </c>
      <c r="B448" s="12">
        <v>0.22874844074249201</v>
      </c>
      <c r="C448" s="12" t="s">
        <v>4</v>
      </c>
      <c r="F448" s="12">
        <v>0.97768139839172297</v>
      </c>
    </row>
    <row r="449" spans="1:6">
      <c r="A449" s="1">
        <v>448</v>
      </c>
      <c r="B449" s="12">
        <v>0.99033814668655396</v>
      </c>
      <c r="C449" s="12" t="s">
        <v>4</v>
      </c>
      <c r="F449" s="12">
        <v>0.88497519493103005</v>
      </c>
    </row>
    <row r="450" spans="1:6">
      <c r="A450" s="1">
        <v>449</v>
      </c>
      <c r="B450" s="12">
        <v>0.97617560625076205</v>
      </c>
      <c r="C450" s="12" t="s">
        <v>4</v>
      </c>
      <c r="F450" s="12">
        <v>0.93430471420287997</v>
      </c>
    </row>
    <row r="451" spans="1:6">
      <c r="A451" s="1">
        <v>450</v>
      </c>
      <c r="B451" s="12">
        <v>0.89521616697311401</v>
      </c>
      <c r="C451" s="12" t="s">
        <v>4</v>
      </c>
      <c r="F451" s="12">
        <v>0.90220344066619795</v>
      </c>
    </row>
    <row r="452" spans="1:6">
      <c r="A452" s="1">
        <v>451</v>
      </c>
      <c r="B452" s="12">
        <v>0.996190905570983</v>
      </c>
      <c r="C452" s="12" t="s">
        <v>4</v>
      </c>
      <c r="F452" s="12">
        <v>0.90510594844818104</v>
      </c>
    </row>
    <row r="453" spans="1:6">
      <c r="A453" s="1">
        <v>452</v>
      </c>
      <c r="B453" s="12">
        <v>0.64368820190429599</v>
      </c>
      <c r="C453" s="12" t="s">
        <v>180</v>
      </c>
      <c r="F453" s="12">
        <v>0.86255627870559604</v>
      </c>
    </row>
    <row r="454" spans="1:6">
      <c r="A454" s="1">
        <v>453</v>
      </c>
      <c r="B454" s="12">
        <v>0.435320645570755</v>
      </c>
      <c r="C454" s="12" t="s">
        <v>4</v>
      </c>
      <c r="F454" s="12">
        <v>0.998340964317321</v>
      </c>
    </row>
    <row r="455" spans="1:6">
      <c r="A455" s="1">
        <v>454</v>
      </c>
      <c r="B455" s="12">
        <v>0.79527503252029397</v>
      </c>
      <c r="C455" s="12" t="s">
        <v>4</v>
      </c>
      <c r="F455" s="12">
        <v>0.96031069755554199</v>
      </c>
    </row>
    <row r="456" spans="1:6">
      <c r="A456" s="1">
        <v>455</v>
      </c>
      <c r="B456" s="12">
        <v>0.68001508712768499</v>
      </c>
      <c r="C456" s="12" t="s">
        <v>4</v>
      </c>
      <c r="F456" s="12">
        <v>0.87048113346099798</v>
      </c>
    </row>
    <row r="457" spans="1:6">
      <c r="A457" s="1">
        <v>456</v>
      </c>
      <c r="B457" s="12">
        <v>0.37254729866981501</v>
      </c>
      <c r="C457" s="12" t="s">
        <v>4</v>
      </c>
      <c r="F457" s="12">
        <v>0.84407335519790605</v>
      </c>
    </row>
    <row r="458" spans="1:6">
      <c r="A458" s="1">
        <v>457</v>
      </c>
      <c r="B458" s="12">
        <v>0.89691418409347501</v>
      </c>
      <c r="C458" s="12" t="s">
        <v>4</v>
      </c>
      <c r="F458" s="12">
        <v>0.96808171272277799</v>
      </c>
    </row>
    <row r="459" spans="1:6">
      <c r="A459" s="1">
        <v>458</v>
      </c>
      <c r="B459" s="12">
        <v>1.9600138068199099E-2</v>
      </c>
      <c r="C459" s="12" t="s">
        <v>180</v>
      </c>
      <c r="F459" s="12">
        <v>0.97549891471862704</v>
      </c>
    </row>
    <row r="460" spans="1:6">
      <c r="A460" s="1">
        <v>459</v>
      </c>
      <c r="B460" s="12">
        <v>0.67608773708343495</v>
      </c>
      <c r="C460" s="12" t="s">
        <v>4</v>
      </c>
      <c r="F460" s="12">
        <v>0.95866835117339999</v>
      </c>
    </row>
    <row r="461" spans="1:6">
      <c r="A461" s="1">
        <v>460</v>
      </c>
      <c r="B461" s="12">
        <v>0.94102084636688199</v>
      </c>
      <c r="C461" s="12" t="s">
        <v>4</v>
      </c>
      <c r="F461" s="12">
        <v>0.88708758354187001</v>
      </c>
    </row>
    <row r="462" spans="1:6">
      <c r="A462" s="1">
        <v>461</v>
      </c>
      <c r="B462" s="12">
        <v>0.97242945432662897</v>
      </c>
      <c r="C462" s="12" t="s">
        <v>4</v>
      </c>
      <c r="F462" s="12">
        <v>0.40333056449890098</v>
      </c>
    </row>
    <row r="463" spans="1:6">
      <c r="A463" s="1">
        <v>462</v>
      </c>
      <c r="B463" s="12">
        <v>0.99322915077209395</v>
      </c>
      <c r="C463" s="12" t="s">
        <v>4</v>
      </c>
      <c r="F463" s="12">
        <v>0.99831616878509499</v>
      </c>
    </row>
    <row r="464" spans="1:6">
      <c r="A464" s="1">
        <v>463</v>
      </c>
      <c r="B464" s="12">
        <v>0.73890119791030795</v>
      </c>
      <c r="C464" s="12" t="s">
        <v>4</v>
      </c>
      <c r="F464" s="12">
        <v>0.99320214986801103</v>
      </c>
    </row>
    <row r="465" spans="1:6">
      <c r="A465" s="1">
        <v>464</v>
      </c>
      <c r="B465" s="12">
        <v>0.937816381454467</v>
      </c>
      <c r="C465" s="12" t="s">
        <v>4</v>
      </c>
      <c r="F465" s="12">
        <v>0.703815937042236</v>
      </c>
    </row>
    <row r="466" spans="1:6">
      <c r="A466" s="1">
        <v>465</v>
      </c>
      <c r="B466" s="12">
        <v>0.35838124155998202</v>
      </c>
      <c r="C466" s="12" t="s">
        <v>4</v>
      </c>
      <c r="F466" s="12">
        <v>0.99701535701751698</v>
      </c>
    </row>
    <row r="467" spans="1:6">
      <c r="A467" s="1">
        <v>466</v>
      </c>
      <c r="B467" s="12">
        <v>0.98416131734848</v>
      </c>
      <c r="C467" s="12" t="s">
        <v>4</v>
      </c>
      <c r="F467" s="12">
        <v>0.93102395534515303</v>
      </c>
    </row>
    <row r="468" spans="1:6">
      <c r="A468" s="1">
        <v>467</v>
      </c>
      <c r="B468" s="12">
        <v>0.42700707912445002</v>
      </c>
      <c r="C468" s="12" t="s">
        <v>4</v>
      </c>
      <c r="F468" s="12">
        <v>0.83028763532638505</v>
      </c>
    </row>
    <row r="469" spans="1:6">
      <c r="A469" s="1">
        <v>468</v>
      </c>
      <c r="B469" s="12">
        <v>0.96192497014999301</v>
      </c>
      <c r="C469" s="12" t="s">
        <v>4</v>
      </c>
      <c r="F469" s="12">
        <v>0.93142127990722601</v>
      </c>
    </row>
    <row r="470" spans="1:6">
      <c r="A470" s="1">
        <v>469</v>
      </c>
      <c r="B470" s="12">
        <v>0.64314359426498402</v>
      </c>
      <c r="C470" s="12" t="s">
        <v>4</v>
      </c>
      <c r="F470" s="12">
        <v>0.78459250926971402</v>
      </c>
    </row>
    <row r="471" spans="1:6">
      <c r="A471" s="1">
        <v>470</v>
      </c>
      <c r="B471" s="12">
        <v>0.99603998661041204</v>
      </c>
      <c r="C471" s="12" t="s">
        <v>4</v>
      </c>
      <c r="F471" s="12">
        <v>0.87292987108230502</v>
      </c>
    </row>
    <row r="472" spans="1:6">
      <c r="A472" s="1">
        <v>471</v>
      </c>
      <c r="B472" s="12">
        <v>0.95843803882598799</v>
      </c>
      <c r="C472" s="12" t="s">
        <v>4</v>
      </c>
      <c r="F472" s="12">
        <v>0.37325373291969299</v>
      </c>
    </row>
    <row r="473" spans="1:6">
      <c r="A473" s="1">
        <v>472</v>
      </c>
      <c r="B473" s="12">
        <v>0.97768139839172297</v>
      </c>
      <c r="C473" s="12" t="s">
        <v>4</v>
      </c>
      <c r="F473" s="12">
        <v>7.1757502853870295E-2</v>
      </c>
    </row>
    <row r="474" spans="1:6">
      <c r="A474" s="1">
        <v>473</v>
      </c>
      <c r="B474" s="12">
        <v>0.88497519493103005</v>
      </c>
      <c r="C474" s="12" t="s">
        <v>4</v>
      </c>
      <c r="F474" s="12">
        <v>0.98701477050781194</v>
      </c>
    </row>
    <row r="475" spans="1:6">
      <c r="A475" s="1">
        <v>474</v>
      </c>
      <c r="B475" s="12">
        <v>0.93430471420287997</v>
      </c>
      <c r="C475" s="12" t="s">
        <v>4</v>
      </c>
      <c r="F475" s="12">
        <v>0.42192885279655401</v>
      </c>
    </row>
    <row r="476" spans="1:6">
      <c r="A476" s="1">
        <v>475</v>
      </c>
      <c r="B476" s="12">
        <v>0.90220344066619795</v>
      </c>
      <c r="C476" s="12" t="s">
        <v>4</v>
      </c>
      <c r="F476" s="12">
        <v>0.27830857038497903</v>
      </c>
    </row>
    <row r="477" spans="1:6">
      <c r="A477" s="1">
        <v>476</v>
      </c>
      <c r="B477" s="12">
        <v>0.90510594844818104</v>
      </c>
      <c r="C477" s="12" t="s">
        <v>4</v>
      </c>
      <c r="F477" s="12">
        <v>0.39272633194923401</v>
      </c>
    </row>
    <row r="478" spans="1:6">
      <c r="A478" s="1">
        <v>477</v>
      </c>
      <c r="B478" s="12">
        <v>0.86255627870559604</v>
      </c>
      <c r="C478" s="12" t="s">
        <v>4</v>
      </c>
      <c r="F478" s="12">
        <v>0.40041333436965898</v>
      </c>
    </row>
    <row r="479" spans="1:6">
      <c r="A479" s="1">
        <v>478</v>
      </c>
      <c r="B479" s="12">
        <v>0.998340964317321</v>
      </c>
      <c r="C479" s="12" t="s">
        <v>4</v>
      </c>
      <c r="F479" s="12">
        <v>0.12809294462203899</v>
      </c>
    </row>
    <row r="480" spans="1:6">
      <c r="A480" s="1">
        <v>479</v>
      </c>
      <c r="B480" s="12">
        <v>0.96031069755554199</v>
      </c>
      <c r="C480" s="12" t="s">
        <v>4</v>
      </c>
      <c r="F480" s="12">
        <v>0.88730639219284002</v>
      </c>
    </row>
    <row r="481" spans="1:6">
      <c r="A481" s="1">
        <v>480</v>
      </c>
      <c r="B481" s="12">
        <v>0.87048113346099798</v>
      </c>
      <c r="C481" s="12" t="s">
        <v>4</v>
      </c>
      <c r="F481" s="12">
        <v>0.52258682250976496</v>
      </c>
    </row>
    <row r="482" spans="1:6">
      <c r="A482" s="1">
        <v>481</v>
      </c>
      <c r="B482" s="12">
        <v>0.84407335519790605</v>
      </c>
      <c r="C482" s="12" t="s">
        <v>4</v>
      </c>
      <c r="F482" s="12">
        <v>0.89494359493255604</v>
      </c>
    </row>
    <row r="483" spans="1:6">
      <c r="A483" s="1">
        <v>482</v>
      </c>
      <c r="B483" s="12">
        <v>0.96808171272277799</v>
      </c>
      <c r="C483" s="12" t="s">
        <v>4</v>
      </c>
      <c r="F483" s="12">
        <v>0.613694727420806</v>
      </c>
    </row>
    <row r="484" spans="1:6">
      <c r="A484" s="1">
        <v>483</v>
      </c>
      <c r="B484" s="12">
        <v>0.102458722889423</v>
      </c>
      <c r="C484" s="12" t="s">
        <v>180</v>
      </c>
      <c r="F484" s="12">
        <v>0.88370943069457997</v>
      </c>
    </row>
    <row r="485" spans="1:6">
      <c r="A485" s="1">
        <v>484</v>
      </c>
      <c r="B485" s="12">
        <v>0.97549891471862704</v>
      </c>
      <c r="C485" s="12" t="s">
        <v>4</v>
      </c>
      <c r="F485" s="12">
        <v>0.96333682537078802</v>
      </c>
    </row>
    <row r="486" spans="1:6">
      <c r="A486" s="1">
        <v>485</v>
      </c>
      <c r="B486" s="12">
        <v>0.95866835117339999</v>
      </c>
      <c r="C486" s="12" t="s">
        <v>4</v>
      </c>
      <c r="F486" s="12">
        <v>0.14093828201293901</v>
      </c>
    </row>
    <row r="487" spans="1:6">
      <c r="A487" s="1">
        <v>486</v>
      </c>
      <c r="B487" s="12">
        <v>0.88708758354187001</v>
      </c>
      <c r="C487" s="12" t="s">
        <v>4</v>
      </c>
      <c r="F487" s="12">
        <v>0.99973040819168002</v>
      </c>
    </row>
    <row r="488" spans="1:6">
      <c r="A488" s="1">
        <v>487</v>
      </c>
      <c r="B488" s="12">
        <v>0.40333056449890098</v>
      </c>
      <c r="C488" s="12" t="s">
        <v>4</v>
      </c>
      <c r="F488" s="12">
        <v>0.84264326095580999</v>
      </c>
    </row>
    <row r="489" spans="1:6">
      <c r="A489" s="1">
        <v>488</v>
      </c>
      <c r="B489" s="12">
        <v>0.99831616878509499</v>
      </c>
      <c r="C489" s="12" t="s">
        <v>4</v>
      </c>
      <c r="F489" s="12">
        <v>0.82445228099822998</v>
      </c>
    </row>
    <row r="490" spans="1:6">
      <c r="A490" s="1">
        <v>489</v>
      </c>
      <c r="B490" s="12">
        <v>0.99320214986801103</v>
      </c>
      <c r="C490" s="12" t="s">
        <v>4</v>
      </c>
      <c r="F490" s="12">
        <v>0.19934457540511999</v>
      </c>
    </row>
    <row r="491" spans="1:6">
      <c r="A491" s="1">
        <v>490</v>
      </c>
      <c r="B491" s="12">
        <v>0.703815937042236</v>
      </c>
      <c r="C491" s="12" t="s">
        <v>4</v>
      </c>
      <c r="F491" s="12">
        <v>0.96531623601913397</v>
      </c>
    </row>
    <row r="492" spans="1:6">
      <c r="A492" s="1">
        <v>491</v>
      </c>
      <c r="B492" s="12">
        <v>0.99701535701751698</v>
      </c>
      <c r="C492" s="12" t="s">
        <v>4</v>
      </c>
      <c r="F492" s="12">
        <v>0.64383846521377497</v>
      </c>
    </row>
    <row r="493" spans="1:6">
      <c r="A493" s="1">
        <v>492</v>
      </c>
      <c r="B493" s="12">
        <v>0.93102395534515303</v>
      </c>
      <c r="C493" s="12" t="s">
        <v>4</v>
      </c>
      <c r="F493" s="12">
        <v>0.56321698427200295</v>
      </c>
    </row>
    <row r="494" spans="1:6">
      <c r="A494" s="1">
        <v>493</v>
      </c>
      <c r="B494" s="12">
        <v>0.47742319107055597</v>
      </c>
      <c r="C494" s="12" t="s">
        <v>180</v>
      </c>
      <c r="F494" s="12">
        <v>0.73507022857666005</v>
      </c>
    </row>
    <row r="495" spans="1:6">
      <c r="A495" s="1">
        <v>494</v>
      </c>
      <c r="B495" s="12">
        <v>0.83028763532638505</v>
      </c>
      <c r="C495" s="12" t="s">
        <v>4</v>
      </c>
      <c r="F495" s="12">
        <v>0.71135818958282404</v>
      </c>
    </row>
    <row r="496" spans="1:6">
      <c r="A496" s="1">
        <v>495</v>
      </c>
      <c r="B496" s="12">
        <v>0.93142127990722601</v>
      </c>
      <c r="C496" s="12" t="s">
        <v>4</v>
      </c>
      <c r="F496" s="12">
        <v>0.99775993824005105</v>
      </c>
    </row>
    <row r="497" spans="1:6">
      <c r="A497" s="1">
        <v>496</v>
      </c>
      <c r="B497" s="12">
        <v>0.78459250926971402</v>
      </c>
      <c r="C497" s="12" t="s">
        <v>4</v>
      </c>
      <c r="F497" s="12">
        <v>0.32126951217651301</v>
      </c>
    </row>
    <row r="498" spans="1:6">
      <c r="A498" s="1">
        <v>497</v>
      </c>
      <c r="B498" s="12">
        <v>0.87292987108230502</v>
      </c>
      <c r="C498" s="12" t="s">
        <v>4</v>
      </c>
      <c r="F498" s="12">
        <v>0.73574823141098</v>
      </c>
    </row>
    <row r="499" spans="1:6">
      <c r="A499" s="1">
        <v>498</v>
      </c>
      <c r="B499" s="12">
        <v>0.12307758629322001</v>
      </c>
      <c r="C499" s="12" t="s">
        <v>180</v>
      </c>
      <c r="F499" s="12">
        <v>0.56898653507232599</v>
      </c>
    </row>
    <row r="500" spans="1:6">
      <c r="A500" s="1">
        <v>499</v>
      </c>
      <c r="B500" s="12">
        <v>0.37325373291969299</v>
      </c>
      <c r="C500" s="12" t="s">
        <v>4</v>
      </c>
      <c r="F500" s="12">
        <v>0.93963694572448697</v>
      </c>
    </row>
    <row r="501" spans="1:6">
      <c r="A501" s="1">
        <v>500</v>
      </c>
      <c r="B501" s="12">
        <v>7.1757502853870295E-2</v>
      </c>
      <c r="C501" s="12" t="s">
        <v>4</v>
      </c>
      <c r="F501" s="12">
        <v>0.95115047693252497</v>
      </c>
    </row>
    <row r="502" spans="1:6">
      <c r="A502" s="1">
        <v>501</v>
      </c>
      <c r="B502" s="12">
        <v>0.98701477050781194</v>
      </c>
      <c r="C502" s="12" t="s">
        <v>4</v>
      </c>
      <c r="F502" s="12">
        <v>0.88761866092681796</v>
      </c>
    </row>
    <row r="503" spans="1:6">
      <c r="A503" s="1">
        <v>502</v>
      </c>
      <c r="B503" s="12">
        <v>0.42192885279655401</v>
      </c>
      <c r="C503" s="12" t="s">
        <v>4</v>
      </c>
      <c r="F503" s="12">
        <v>0.99240702390670699</v>
      </c>
    </row>
    <row r="504" spans="1:6">
      <c r="A504" s="1">
        <v>503</v>
      </c>
      <c r="B504" s="12">
        <v>0.27830857038497903</v>
      </c>
      <c r="C504" s="12" t="s">
        <v>4</v>
      </c>
      <c r="F504" s="12">
        <v>0.97947674989700295</v>
      </c>
    </row>
    <row r="505" spans="1:6">
      <c r="A505" s="1">
        <v>504</v>
      </c>
      <c r="B505" s="12">
        <v>0.36076658964157099</v>
      </c>
      <c r="C505" s="12" t="s">
        <v>180</v>
      </c>
      <c r="F505" s="12">
        <v>0.90529030561447099</v>
      </c>
    </row>
    <row r="506" spans="1:6">
      <c r="A506" s="1">
        <v>505</v>
      </c>
      <c r="B506" s="12">
        <v>0.39272633194923401</v>
      </c>
      <c r="C506" s="12" t="s">
        <v>4</v>
      </c>
      <c r="F506" s="12">
        <v>0.93337303400039595</v>
      </c>
    </row>
    <row r="507" spans="1:6">
      <c r="A507" s="1">
        <v>506</v>
      </c>
      <c r="B507" s="12">
        <v>0.21323138475417999</v>
      </c>
      <c r="C507" s="12" t="s">
        <v>180</v>
      </c>
      <c r="F507" s="12">
        <v>0.88506329059600797</v>
      </c>
    </row>
    <row r="508" spans="1:6">
      <c r="A508" s="1">
        <v>507</v>
      </c>
      <c r="B508" s="12">
        <v>0.65993022918701105</v>
      </c>
      <c r="C508" s="12" t="s">
        <v>180</v>
      </c>
      <c r="F508" s="12">
        <v>0.201687961816787</v>
      </c>
    </row>
    <row r="509" spans="1:6">
      <c r="A509" s="1">
        <v>508</v>
      </c>
      <c r="B509" s="12">
        <v>0.40041333436965898</v>
      </c>
      <c r="C509" s="12" t="s">
        <v>4</v>
      </c>
      <c r="F509" s="12">
        <v>5.2888967096805503E-2</v>
      </c>
    </row>
    <row r="510" spans="1:6">
      <c r="A510" s="1">
        <v>509</v>
      </c>
      <c r="B510" s="12">
        <v>0.12809294462203899</v>
      </c>
      <c r="C510" s="12" t="s">
        <v>4</v>
      </c>
      <c r="F510" s="12">
        <v>0.49566033482551503</v>
      </c>
    </row>
    <row r="511" spans="1:6">
      <c r="A511" s="1">
        <v>510</v>
      </c>
      <c r="B511" s="12">
        <v>0.88730639219284002</v>
      </c>
      <c r="C511" s="12" t="s">
        <v>4</v>
      </c>
      <c r="F511" s="12">
        <v>0.47755452990531899</v>
      </c>
    </row>
    <row r="512" spans="1:6">
      <c r="A512" s="1">
        <v>511</v>
      </c>
      <c r="B512" s="12">
        <v>0.52258682250976496</v>
      </c>
      <c r="C512" s="12" t="s">
        <v>4</v>
      </c>
      <c r="F512" s="12">
        <v>0.82419985532760598</v>
      </c>
    </row>
    <row r="513" spans="1:6">
      <c r="A513" s="1">
        <v>512</v>
      </c>
      <c r="B513" s="12">
        <v>0.133671805262565</v>
      </c>
      <c r="C513" s="12" t="s">
        <v>180</v>
      </c>
      <c r="F513" s="12">
        <v>0.96653652191162098</v>
      </c>
    </row>
    <row r="514" spans="1:6">
      <c r="A514" s="1">
        <v>513</v>
      </c>
      <c r="B514" s="12">
        <v>0.89494359493255604</v>
      </c>
      <c r="C514" s="12" t="s">
        <v>4</v>
      </c>
      <c r="F514" s="12">
        <v>0.87620699405670099</v>
      </c>
    </row>
    <row r="515" spans="1:6">
      <c r="A515" s="1">
        <v>514</v>
      </c>
      <c r="B515" s="12">
        <v>0.613694727420806</v>
      </c>
      <c r="C515" s="12" t="s">
        <v>4</v>
      </c>
      <c r="F515" s="12">
        <v>0.89445829391479403</v>
      </c>
    </row>
    <row r="516" spans="1:6">
      <c r="A516" s="1">
        <v>515</v>
      </c>
      <c r="B516" s="12">
        <v>0.20811620354652399</v>
      </c>
      <c r="C516" s="12" t="s">
        <v>180</v>
      </c>
      <c r="F516" s="12">
        <v>0.73583000898361195</v>
      </c>
    </row>
    <row r="517" spans="1:6">
      <c r="A517" s="1">
        <v>516</v>
      </c>
      <c r="B517" s="12">
        <v>0.88370943069457997</v>
      </c>
      <c r="C517" s="12" t="s">
        <v>4</v>
      </c>
      <c r="F517" s="12">
        <v>0.99803620576858498</v>
      </c>
    </row>
    <row r="518" spans="1:6">
      <c r="A518" s="1">
        <v>517</v>
      </c>
      <c r="B518" s="12">
        <v>0.96333682537078802</v>
      </c>
      <c r="C518" s="12" t="s">
        <v>4</v>
      </c>
      <c r="F518" s="12">
        <v>0.32010069489478998</v>
      </c>
    </row>
    <row r="519" spans="1:6">
      <c r="A519" s="1">
        <v>518</v>
      </c>
      <c r="B519" s="12">
        <v>0.14093828201293901</v>
      </c>
      <c r="C519" s="12" t="s">
        <v>4</v>
      </c>
      <c r="F519" s="12">
        <v>0.83750641345977705</v>
      </c>
    </row>
    <row r="520" spans="1:6">
      <c r="A520" s="1">
        <v>519</v>
      </c>
      <c r="B520" s="12">
        <v>0.99973040819168002</v>
      </c>
      <c r="C520" s="12" t="s">
        <v>4</v>
      </c>
      <c r="F520" s="12">
        <v>0.57845091819763095</v>
      </c>
    </row>
    <row r="521" spans="1:6">
      <c r="A521" s="1">
        <v>520</v>
      </c>
      <c r="B521" s="12">
        <v>0.84264326095580999</v>
      </c>
      <c r="C521" s="12" t="s">
        <v>4</v>
      </c>
      <c r="F521" s="12">
        <v>0.997908115386962</v>
      </c>
    </row>
    <row r="522" spans="1:6">
      <c r="A522" s="1">
        <v>521</v>
      </c>
      <c r="B522" s="12">
        <v>0.82445228099822998</v>
      </c>
      <c r="C522" s="12" t="s">
        <v>4</v>
      </c>
      <c r="F522" s="12">
        <v>0.80557107925414995</v>
      </c>
    </row>
    <row r="523" spans="1:6">
      <c r="A523" s="1">
        <v>522</v>
      </c>
      <c r="B523" s="12">
        <v>0.158047676086425</v>
      </c>
      <c r="C523" s="12" t="s">
        <v>180</v>
      </c>
      <c r="F523" s="12">
        <v>0.65936028957366899</v>
      </c>
    </row>
    <row r="524" spans="1:6">
      <c r="A524" s="1">
        <v>523</v>
      </c>
      <c r="B524" s="12">
        <v>0.19934457540511999</v>
      </c>
      <c r="C524" s="12" t="s">
        <v>4</v>
      </c>
      <c r="F524" s="12">
        <v>0.96482598781585605</v>
      </c>
    </row>
    <row r="525" spans="1:6">
      <c r="A525" s="1">
        <v>524</v>
      </c>
      <c r="B525" s="12">
        <v>0.96531623601913397</v>
      </c>
      <c r="C525" s="12" t="s">
        <v>4</v>
      </c>
      <c r="F525" s="12">
        <v>0.39292126893997098</v>
      </c>
    </row>
    <row r="526" spans="1:6">
      <c r="A526" s="1">
        <v>525</v>
      </c>
      <c r="B526" s="12">
        <v>0.12679724395275099</v>
      </c>
      <c r="C526" s="12" t="s">
        <v>180</v>
      </c>
      <c r="F526" s="12">
        <v>0.194535061717033</v>
      </c>
    </row>
    <row r="527" spans="1:6">
      <c r="A527" s="1">
        <v>526</v>
      </c>
      <c r="B527" s="12">
        <v>0.64383846521377497</v>
      </c>
      <c r="C527" s="12" t="s">
        <v>4</v>
      </c>
      <c r="F527" s="12">
        <v>0.98159676790237405</v>
      </c>
    </row>
    <row r="528" spans="1:6">
      <c r="A528" s="1">
        <v>527</v>
      </c>
      <c r="B528" s="12">
        <v>0.56321698427200295</v>
      </c>
      <c r="C528" s="12" t="s">
        <v>4</v>
      </c>
      <c r="F528" s="12">
        <v>0.71385312080383301</v>
      </c>
    </row>
    <row r="529" spans="1:6">
      <c r="A529" s="1">
        <v>528</v>
      </c>
      <c r="B529" s="12">
        <v>0.73507022857666005</v>
      </c>
      <c r="C529" s="12" t="s">
        <v>4</v>
      </c>
      <c r="F529" s="12">
        <v>0.72957855463027899</v>
      </c>
    </row>
    <row r="530" spans="1:6">
      <c r="A530" s="1">
        <v>529</v>
      </c>
      <c r="B530" s="12">
        <v>0.71135818958282404</v>
      </c>
      <c r="C530" s="12" t="s">
        <v>4</v>
      </c>
      <c r="F530" s="12">
        <v>0.97033035755157404</v>
      </c>
    </row>
    <row r="531" spans="1:6">
      <c r="A531" s="1">
        <v>530</v>
      </c>
      <c r="B531" s="12">
        <v>0.99775993824005105</v>
      </c>
      <c r="C531" s="12" t="s">
        <v>4</v>
      </c>
      <c r="F531" s="12">
        <v>0.325959771871566</v>
      </c>
    </row>
    <row r="532" spans="1:6">
      <c r="A532" s="1">
        <v>531</v>
      </c>
      <c r="B532" s="12">
        <v>0.543015956878662</v>
      </c>
      <c r="C532" s="12" t="s">
        <v>180</v>
      </c>
      <c r="F532" s="12">
        <v>0.83157610893249501</v>
      </c>
    </row>
    <row r="533" spans="1:6">
      <c r="A533" s="1">
        <v>532</v>
      </c>
      <c r="B533" s="12">
        <v>0.32126951217651301</v>
      </c>
      <c r="C533" s="12" t="s">
        <v>4</v>
      </c>
      <c r="F533" s="12">
        <v>0.69239902496337802</v>
      </c>
    </row>
    <row r="534" spans="1:6">
      <c r="A534" s="1">
        <v>533</v>
      </c>
      <c r="B534" s="12">
        <v>0.73574823141098</v>
      </c>
      <c r="C534" s="12" t="s">
        <v>4</v>
      </c>
      <c r="F534" s="12">
        <v>0.62842833995819003</v>
      </c>
    </row>
    <row r="535" spans="1:6">
      <c r="A535" s="1">
        <v>534</v>
      </c>
      <c r="B535" s="12">
        <v>0.56898653507232599</v>
      </c>
      <c r="C535" s="12" t="s">
        <v>4</v>
      </c>
      <c r="F535" s="12">
        <v>0.26274567842483498</v>
      </c>
    </row>
    <row r="536" spans="1:6">
      <c r="A536" s="1">
        <v>535</v>
      </c>
      <c r="B536" s="12">
        <v>0.10415032505989</v>
      </c>
      <c r="C536" s="12" t="s">
        <v>180</v>
      </c>
      <c r="F536" s="12">
        <v>0.120156340301036</v>
      </c>
    </row>
    <row r="537" spans="1:6">
      <c r="A537" s="1">
        <v>536</v>
      </c>
      <c r="B537" s="12">
        <v>0.15860320627689301</v>
      </c>
      <c r="C537" s="12" t="s">
        <v>180</v>
      </c>
      <c r="F537" s="12">
        <v>0.20290425419807401</v>
      </c>
    </row>
    <row r="538" spans="1:6">
      <c r="A538" s="1">
        <v>537</v>
      </c>
      <c r="B538" s="12">
        <v>0.93963694572448697</v>
      </c>
      <c r="C538" s="12" t="s">
        <v>4</v>
      </c>
      <c r="F538" s="12">
        <v>0.99277812242507901</v>
      </c>
    </row>
    <row r="539" spans="1:6">
      <c r="A539" s="1">
        <v>538</v>
      </c>
      <c r="B539" s="12">
        <v>0.95115047693252497</v>
      </c>
      <c r="C539" s="12" t="s">
        <v>4</v>
      </c>
      <c r="F539" s="12">
        <v>0.51592868566512995</v>
      </c>
    </row>
    <row r="540" spans="1:6">
      <c r="A540" s="1">
        <v>539</v>
      </c>
      <c r="B540" s="12">
        <v>0.88761866092681796</v>
      </c>
      <c r="C540" s="12" t="s">
        <v>4</v>
      </c>
      <c r="F540" s="12">
        <v>0.89767754077911299</v>
      </c>
    </row>
    <row r="541" spans="1:6">
      <c r="A541" s="1">
        <v>540</v>
      </c>
      <c r="B541" s="12">
        <v>0.99240702390670699</v>
      </c>
      <c r="C541" s="12" t="s">
        <v>4</v>
      </c>
      <c r="F541" s="12">
        <v>0.99182230234146096</v>
      </c>
    </row>
    <row r="542" spans="1:6">
      <c r="A542" s="1">
        <v>541</v>
      </c>
      <c r="B542" s="12">
        <v>0.97947674989700295</v>
      </c>
      <c r="C542" s="12" t="s">
        <v>4</v>
      </c>
      <c r="F542" s="12">
        <v>0.71207058429717995</v>
      </c>
    </row>
    <row r="543" spans="1:6">
      <c r="A543" s="1">
        <v>542</v>
      </c>
      <c r="B543" s="12">
        <v>0.90529030561447099</v>
      </c>
      <c r="C543" s="12" t="s">
        <v>4</v>
      </c>
      <c r="F543" s="12">
        <v>0.54121607542037897</v>
      </c>
    </row>
    <row r="544" spans="1:6">
      <c r="A544" s="1">
        <v>543</v>
      </c>
      <c r="B544" s="12">
        <v>0.93337303400039595</v>
      </c>
      <c r="C544" s="12" t="s">
        <v>4</v>
      </c>
      <c r="F544" s="12">
        <v>0.66426295042037897</v>
      </c>
    </row>
    <row r="545" spans="1:6">
      <c r="A545" s="1">
        <v>544</v>
      </c>
      <c r="B545" s="12">
        <v>0.88506329059600797</v>
      </c>
      <c r="C545" s="12" t="s">
        <v>4</v>
      </c>
      <c r="F545" s="12">
        <v>0.48428446054458602</v>
      </c>
    </row>
    <row r="546" spans="1:6">
      <c r="A546" s="1">
        <v>545</v>
      </c>
      <c r="B546" s="12">
        <v>0.15705218911170901</v>
      </c>
      <c r="C546" s="12" t="s">
        <v>180</v>
      </c>
      <c r="F546" s="12">
        <v>0.99970680475234897</v>
      </c>
    </row>
    <row r="547" spans="1:6">
      <c r="A547" s="1">
        <v>546</v>
      </c>
      <c r="B547" s="12">
        <v>0.14687786996364499</v>
      </c>
      <c r="C547" s="12" t="s">
        <v>180</v>
      </c>
      <c r="F547" s="12">
        <v>0.579481720924377</v>
      </c>
    </row>
    <row r="548" spans="1:6">
      <c r="A548" s="1">
        <v>547</v>
      </c>
      <c r="B548" s="12">
        <v>1.26592889428138E-2</v>
      </c>
      <c r="C548" s="12" t="s">
        <v>180</v>
      </c>
      <c r="F548" s="12">
        <v>0.92600303888320901</v>
      </c>
    </row>
    <row r="549" spans="1:6">
      <c r="A549" s="1">
        <v>548</v>
      </c>
      <c r="B549" s="12">
        <v>0.201687961816787</v>
      </c>
      <c r="C549" s="12" t="s">
        <v>4</v>
      </c>
      <c r="F549" s="12">
        <v>0.99729013442993097</v>
      </c>
    </row>
    <row r="550" spans="1:6">
      <c r="A550" s="1">
        <v>549</v>
      </c>
      <c r="B550" s="12">
        <v>5.2888967096805503E-2</v>
      </c>
      <c r="C550" s="12" t="s">
        <v>4</v>
      </c>
      <c r="F550" s="12">
        <v>0.70568144321441595</v>
      </c>
    </row>
    <row r="551" spans="1:6">
      <c r="A551" s="1">
        <v>550</v>
      </c>
      <c r="B551" s="12">
        <v>0.49566033482551503</v>
      </c>
      <c r="C551" s="12" t="s">
        <v>4</v>
      </c>
      <c r="F551" s="12">
        <v>0.845703125</v>
      </c>
    </row>
    <row r="552" spans="1:6">
      <c r="A552" s="1">
        <v>551</v>
      </c>
      <c r="B552" s="12">
        <v>0.47755452990531899</v>
      </c>
      <c r="C552" s="12" t="s">
        <v>4</v>
      </c>
      <c r="F552" s="12">
        <v>0.55957669019699097</v>
      </c>
    </row>
    <row r="553" spans="1:6">
      <c r="A553" s="1">
        <v>552</v>
      </c>
      <c r="B553" s="12">
        <v>4.0781706571578903E-2</v>
      </c>
      <c r="C553" s="12" t="s">
        <v>180</v>
      </c>
      <c r="F553" s="12">
        <v>0.48151424527168202</v>
      </c>
    </row>
    <row r="554" spans="1:6">
      <c r="A554" s="1">
        <v>553</v>
      </c>
      <c r="B554" s="12">
        <v>0.82419985532760598</v>
      </c>
      <c r="C554" s="12" t="s">
        <v>4</v>
      </c>
      <c r="F554" s="12">
        <v>0.28284448385238598</v>
      </c>
    </row>
    <row r="555" spans="1:6">
      <c r="A555" s="1">
        <v>554</v>
      </c>
      <c r="B555" s="12">
        <v>0.96653652191162098</v>
      </c>
      <c r="C555" s="12" t="s">
        <v>4</v>
      </c>
      <c r="F555" s="12">
        <v>0.68330281972885099</v>
      </c>
    </row>
    <row r="556" spans="1:6">
      <c r="A556" s="1">
        <v>555</v>
      </c>
      <c r="B556" s="12">
        <v>0.87620699405670099</v>
      </c>
      <c r="C556" s="12" t="s">
        <v>4</v>
      </c>
      <c r="F556" s="12">
        <v>0.120512902736663</v>
      </c>
    </row>
    <row r="557" spans="1:6">
      <c r="A557" s="1">
        <v>556</v>
      </c>
      <c r="B557" s="12">
        <v>0.89445829391479403</v>
      </c>
      <c r="C557" s="12" t="s">
        <v>4</v>
      </c>
      <c r="F557" s="12">
        <v>0.99896168708801203</v>
      </c>
    </row>
    <row r="558" spans="1:6">
      <c r="A558" s="1">
        <v>557</v>
      </c>
      <c r="B558" s="12">
        <v>0.73583000898361195</v>
      </c>
      <c r="C558" s="12" t="s">
        <v>4</v>
      </c>
      <c r="F558" s="12">
        <v>0.55384367704391402</v>
      </c>
    </row>
    <row r="559" spans="1:6">
      <c r="A559" s="1">
        <v>558</v>
      </c>
      <c r="B559" s="12">
        <v>0.99803620576858498</v>
      </c>
      <c r="C559" s="12" t="s">
        <v>4</v>
      </c>
      <c r="F559" s="12">
        <v>0.95403373241424505</v>
      </c>
    </row>
    <row r="560" spans="1:6">
      <c r="A560" s="1">
        <v>559</v>
      </c>
      <c r="B560" s="12">
        <v>0.32010069489478998</v>
      </c>
      <c r="C560" s="12" t="s">
        <v>4</v>
      </c>
      <c r="F560" s="12">
        <v>0.834877669811248</v>
      </c>
    </row>
    <row r="561" spans="1:6">
      <c r="A561" s="1">
        <v>560</v>
      </c>
      <c r="B561" s="12">
        <v>0.236902400851249</v>
      </c>
      <c r="C561" s="12" t="s">
        <v>180</v>
      </c>
      <c r="F561" s="12">
        <v>0.79907983541488603</v>
      </c>
    </row>
    <row r="562" spans="1:6">
      <c r="A562" s="1">
        <v>561</v>
      </c>
      <c r="B562" s="12">
        <v>0.83750641345977705</v>
      </c>
      <c r="C562" s="12" t="s">
        <v>4</v>
      </c>
      <c r="F562" s="12">
        <v>0.99892979860305697</v>
      </c>
    </row>
    <row r="563" spans="1:6">
      <c r="A563" s="1">
        <v>562</v>
      </c>
      <c r="B563" s="12">
        <v>0.85900813341140703</v>
      </c>
      <c r="C563" s="12" t="s">
        <v>180</v>
      </c>
      <c r="F563" s="12">
        <v>0.39495381712913502</v>
      </c>
    </row>
    <row r="564" spans="1:6">
      <c r="A564" s="1">
        <v>563</v>
      </c>
      <c r="B564" s="12">
        <v>0.17947824299335399</v>
      </c>
      <c r="C564" s="12" t="s">
        <v>180</v>
      </c>
      <c r="F564" s="12">
        <v>0.74831414222717196</v>
      </c>
    </row>
    <row r="565" spans="1:6">
      <c r="A565" s="1">
        <v>564</v>
      </c>
      <c r="B565" s="12">
        <v>0.57845091819763095</v>
      </c>
      <c r="C565" s="12" t="s">
        <v>4</v>
      </c>
      <c r="F565" s="12">
        <v>0.98293775320053101</v>
      </c>
    </row>
    <row r="566" spans="1:6">
      <c r="A566" s="1">
        <v>565</v>
      </c>
      <c r="B566" s="12">
        <v>0.997908115386962</v>
      </c>
      <c r="C566" s="12" t="s">
        <v>4</v>
      </c>
      <c r="F566" s="12">
        <v>0.469481140375137</v>
      </c>
    </row>
    <row r="567" spans="1:6">
      <c r="A567" s="1">
        <v>566</v>
      </c>
      <c r="B567" s="12">
        <v>0.80557107925414995</v>
      </c>
      <c r="C567" s="12" t="s">
        <v>4</v>
      </c>
      <c r="F567" s="12">
        <v>0.60579675436019897</v>
      </c>
    </row>
    <row r="568" spans="1:6">
      <c r="A568" s="1">
        <v>567</v>
      </c>
      <c r="B568" s="12">
        <v>0.14808084070682501</v>
      </c>
      <c r="C568" s="12" t="s">
        <v>180</v>
      </c>
      <c r="F568" s="12">
        <v>0.99851197004318204</v>
      </c>
    </row>
    <row r="569" spans="1:6">
      <c r="A569" s="1">
        <v>568</v>
      </c>
      <c r="B569" s="12">
        <v>0.65936028957366899</v>
      </c>
      <c r="C569" s="12" t="s">
        <v>4</v>
      </c>
      <c r="F569" s="12">
        <v>0.97993260622024503</v>
      </c>
    </row>
    <row r="570" spans="1:6">
      <c r="A570" s="1">
        <v>569</v>
      </c>
      <c r="B570" s="12">
        <v>0.96482598781585605</v>
      </c>
      <c r="C570" s="12" t="s">
        <v>4</v>
      </c>
      <c r="F570" s="12">
        <v>0.59229212999343805</v>
      </c>
    </row>
    <row r="571" spans="1:6">
      <c r="A571" s="1">
        <v>570</v>
      </c>
      <c r="B571" s="12">
        <v>0.39292126893997098</v>
      </c>
      <c r="C571" s="12" t="s">
        <v>4</v>
      </c>
      <c r="F571" s="12">
        <v>0.94731092453002896</v>
      </c>
    </row>
    <row r="572" spans="1:6">
      <c r="A572" s="1">
        <v>571</v>
      </c>
      <c r="B572" s="12">
        <v>0.194535061717033</v>
      </c>
      <c r="C572" s="12" t="s">
        <v>4</v>
      </c>
      <c r="F572" s="12">
        <v>0.45048576593398998</v>
      </c>
    </row>
    <row r="573" spans="1:6">
      <c r="A573" s="1">
        <v>572</v>
      </c>
      <c r="B573" s="12">
        <v>0.98159676790237405</v>
      </c>
      <c r="C573" s="12" t="s">
        <v>4</v>
      </c>
      <c r="F573" s="12">
        <v>0.32931032776832497</v>
      </c>
    </row>
    <row r="574" spans="1:6">
      <c r="A574" s="1">
        <v>573</v>
      </c>
      <c r="B574" s="12">
        <v>0.71385312080383301</v>
      </c>
      <c r="C574" s="12" t="s">
        <v>4</v>
      </c>
      <c r="F574" s="12">
        <v>0.99771332740783603</v>
      </c>
    </row>
    <row r="575" spans="1:6">
      <c r="A575" s="1">
        <v>574</v>
      </c>
      <c r="B575" s="12">
        <v>0.72957855463027899</v>
      </c>
      <c r="C575" s="12" t="s">
        <v>4</v>
      </c>
      <c r="F575" s="12">
        <v>0.59637671709060602</v>
      </c>
    </row>
    <row r="576" spans="1:6">
      <c r="A576" s="1">
        <v>575</v>
      </c>
      <c r="B576" s="12">
        <v>0.64303958415985096</v>
      </c>
      <c r="C576" s="12" t="s">
        <v>180</v>
      </c>
      <c r="F576" s="12">
        <v>0.99293631315231301</v>
      </c>
    </row>
    <row r="577" spans="1:6">
      <c r="A577" s="1">
        <v>576</v>
      </c>
      <c r="B577" s="12">
        <v>0.26249068975448597</v>
      </c>
      <c r="C577" s="12" t="s">
        <v>180</v>
      </c>
      <c r="F577" s="12">
        <v>0.72179174423217696</v>
      </c>
    </row>
    <row r="578" spans="1:6">
      <c r="A578" s="1">
        <v>577</v>
      </c>
      <c r="B578" s="12">
        <v>0.97033035755157404</v>
      </c>
      <c r="C578" s="12" t="s">
        <v>4</v>
      </c>
      <c r="F578" s="12">
        <v>0.65824019908904996</v>
      </c>
    </row>
    <row r="579" spans="1:6">
      <c r="A579" s="1">
        <v>578</v>
      </c>
      <c r="B579" s="12">
        <v>0.325959771871566</v>
      </c>
      <c r="C579" s="12" t="s">
        <v>4</v>
      </c>
      <c r="F579" s="12">
        <v>0.67077994346618597</v>
      </c>
    </row>
    <row r="580" spans="1:6">
      <c r="A580" s="1">
        <v>579</v>
      </c>
      <c r="B580" s="12">
        <v>0.83157610893249501</v>
      </c>
      <c r="C580" s="12" t="s">
        <v>4</v>
      </c>
      <c r="F580" s="12">
        <v>0.52299720048904397</v>
      </c>
    </row>
    <row r="581" spans="1:6">
      <c r="A581" s="1">
        <v>580</v>
      </c>
      <c r="B581" s="12">
        <v>0.69239902496337802</v>
      </c>
      <c r="C581" s="12" t="s">
        <v>4</v>
      </c>
      <c r="F581" s="12">
        <v>0.84388768672943104</v>
      </c>
    </row>
    <row r="582" spans="1:6">
      <c r="A582" s="1">
        <v>581</v>
      </c>
      <c r="B582" s="12">
        <v>0.62842833995819003</v>
      </c>
      <c r="C582" s="12" t="s">
        <v>4</v>
      </c>
      <c r="F582" s="12">
        <v>0.99363422393798795</v>
      </c>
    </row>
    <row r="583" spans="1:6">
      <c r="A583" s="1">
        <v>582</v>
      </c>
      <c r="B583" s="12">
        <v>9.38882976770401E-2</v>
      </c>
      <c r="C583" s="12" t="s">
        <v>180</v>
      </c>
      <c r="F583" s="12">
        <v>0.98953503370285001</v>
      </c>
    </row>
    <row r="584" spans="1:6">
      <c r="A584" s="1">
        <v>583</v>
      </c>
      <c r="B584" s="12">
        <v>0.99944061040878296</v>
      </c>
      <c r="C584" s="12" t="s">
        <v>180</v>
      </c>
      <c r="F584" s="12">
        <v>0.99863153696060103</v>
      </c>
    </row>
    <row r="585" spans="1:6">
      <c r="A585" s="1">
        <v>584</v>
      </c>
      <c r="B585" s="12">
        <v>0.26274567842483498</v>
      </c>
      <c r="C585" s="12" t="s">
        <v>4</v>
      </c>
      <c r="F585" s="12">
        <v>0.49706757068634</v>
      </c>
    </row>
    <row r="586" spans="1:6">
      <c r="A586" s="1">
        <v>585</v>
      </c>
      <c r="B586" s="12">
        <v>0.20343661308288499</v>
      </c>
      <c r="C586" s="12" t="s">
        <v>180</v>
      </c>
      <c r="F586" s="12">
        <v>0.51176059246063199</v>
      </c>
    </row>
    <row r="587" spans="1:6">
      <c r="A587" s="1">
        <v>586</v>
      </c>
      <c r="B587" s="12">
        <v>0.14140444993972701</v>
      </c>
      <c r="C587" s="12" t="s">
        <v>180</v>
      </c>
      <c r="F587" s="12">
        <v>0.92034411430358798</v>
      </c>
    </row>
    <row r="588" spans="1:6">
      <c r="A588" s="1">
        <v>587</v>
      </c>
      <c r="B588" s="12">
        <v>0.120156340301036</v>
      </c>
      <c r="C588" s="12" t="s">
        <v>4</v>
      </c>
      <c r="F588" s="12">
        <v>0.240974515676498</v>
      </c>
    </row>
    <row r="589" spans="1:6">
      <c r="A589" s="1">
        <v>588</v>
      </c>
      <c r="B589" s="12">
        <v>0.175555109977722</v>
      </c>
      <c r="C589" s="12" t="s">
        <v>180</v>
      </c>
      <c r="F589" s="12">
        <v>0.39885050058364802</v>
      </c>
    </row>
    <row r="590" spans="1:6">
      <c r="A590" s="1">
        <v>589</v>
      </c>
      <c r="B590" s="12">
        <v>0.20290425419807401</v>
      </c>
      <c r="C590" s="12" t="s">
        <v>4</v>
      </c>
      <c r="F590" s="12">
        <v>0.93138653039932195</v>
      </c>
    </row>
    <row r="591" spans="1:6">
      <c r="A591" s="1">
        <v>590</v>
      </c>
      <c r="B591" s="12">
        <v>0.99277812242507901</v>
      </c>
      <c r="C591" s="12" t="s">
        <v>4</v>
      </c>
      <c r="F591" s="12">
        <v>0.78715568780899003</v>
      </c>
    </row>
    <row r="592" spans="1:6">
      <c r="A592" s="1">
        <v>591</v>
      </c>
      <c r="B592" s="12">
        <v>0.559825599193573</v>
      </c>
      <c r="C592" s="12" t="s">
        <v>180</v>
      </c>
      <c r="F592" s="12">
        <v>0.99805861711501997</v>
      </c>
    </row>
    <row r="593" spans="1:6">
      <c r="A593" s="1">
        <v>592</v>
      </c>
      <c r="B593" s="12">
        <v>0.51592868566512995</v>
      </c>
      <c r="C593" s="12" t="s">
        <v>4</v>
      </c>
      <c r="F593" s="12">
        <v>0.99916052818298295</v>
      </c>
    </row>
    <row r="594" spans="1:6">
      <c r="A594" s="1">
        <v>593</v>
      </c>
      <c r="B594" s="12">
        <v>0.89767754077911299</v>
      </c>
      <c r="C594" s="12" t="s">
        <v>4</v>
      </c>
      <c r="F594" s="12">
        <v>0.77359122037887496</v>
      </c>
    </row>
    <row r="595" spans="1:6">
      <c r="A595" s="1">
        <v>594</v>
      </c>
      <c r="B595" s="12">
        <v>0.99182230234146096</v>
      </c>
      <c r="C595" s="12" t="s">
        <v>4</v>
      </c>
      <c r="F595" s="12">
        <v>0.29932522773742598</v>
      </c>
    </row>
    <row r="596" spans="1:6">
      <c r="A596" s="1">
        <v>595</v>
      </c>
      <c r="B596" s="12">
        <v>0.71207058429717995</v>
      </c>
      <c r="C596" s="12" t="s">
        <v>4</v>
      </c>
      <c r="F596" s="12">
        <v>0.99296206235885598</v>
      </c>
    </row>
    <row r="597" spans="1:6">
      <c r="A597" s="1">
        <v>596</v>
      </c>
      <c r="B597" s="12">
        <v>0.54121607542037897</v>
      </c>
      <c r="C597" s="12" t="s">
        <v>4</v>
      </c>
      <c r="F597" s="12">
        <v>0.908788442611694</v>
      </c>
    </row>
    <row r="598" spans="1:6">
      <c r="A598" s="1">
        <v>597</v>
      </c>
      <c r="B598" s="12">
        <v>0.13554473221301999</v>
      </c>
      <c r="C598" s="12" t="s">
        <v>180</v>
      </c>
      <c r="F598" s="12">
        <v>0.55404812097549405</v>
      </c>
    </row>
    <row r="599" spans="1:6">
      <c r="A599" s="1">
        <v>598</v>
      </c>
      <c r="B599" s="12">
        <v>0.66426295042037897</v>
      </c>
      <c r="C599" s="12" t="s">
        <v>4</v>
      </c>
      <c r="F599" s="12">
        <v>0.78791314363479603</v>
      </c>
    </row>
    <row r="600" spans="1:6">
      <c r="A600" s="1">
        <v>599</v>
      </c>
      <c r="B600" s="12">
        <v>0.27366679906844998</v>
      </c>
      <c r="C600" s="12" t="s">
        <v>180</v>
      </c>
      <c r="F600" s="12">
        <v>0.98314374685287398</v>
      </c>
    </row>
    <row r="601" spans="1:6">
      <c r="A601" s="1">
        <v>600</v>
      </c>
      <c r="B601" s="12">
        <v>0.48428446054458602</v>
      </c>
      <c r="C601" s="12" t="s">
        <v>4</v>
      </c>
      <c r="F601" s="12">
        <v>0.99445843696594205</v>
      </c>
    </row>
    <row r="602" spans="1:6">
      <c r="A602" s="1">
        <v>601</v>
      </c>
      <c r="B602" s="12">
        <v>0.99970680475234897</v>
      </c>
      <c r="C602" s="12" t="s">
        <v>4</v>
      </c>
      <c r="F602" s="12">
        <v>0.89381992816925004</v>
      </c>
    </row>
    <row r="603" spans="1:6">
      <c r="A603" s="1">
        <v>602</v>
      </c>
      <c r="B603" s="12">
        <v>0.579481720924377</v>
      </c>
      <c r="C603" s="12" t="s">
        <v>4</v>
      </c>
      <c r="F603" s="12">
        <v>0.99524092674255304</v>
      </c>
    </row>
    <row r="604" spans="1:6">
      <c r="A604" s="1">
        <v>603</v>
      </c>
      <c r="B604" s="12">
        <v>0.39021286368370001</v>
      </c>
      <c r="C604" s="12" t="s">
        <v>180</v>
      </c>
      <c r="F604" s="12">
        <v>0.98873466253280595</v>
      </c>
    </row>
    <row r="605" spans="1:6">
      <c r="A605" s="1">
        <v>604</v>
      </c>
      <c r="B605" s="12">
        <v>0.79080736637115401</v>
      </c>
      <c r="C605" s="12" t="s">
        <v>180</v>
      </c>
      <c r="F605" s="12">
        <v>0.92101001739501898</v>
      </c>
    </row>
    <row r="606" spans="1:6">
      <c r="A606" s="1">
        <v>605</v>
      </c>
      <c r="B606" s="12">
        <v>0.92600303888320901</v>
      </c>
      <c r="C606" s="12" t="s">
        <v>4</v>
      </c>
      <c r="F606" s="12">
        <v>0.96341139078140203</v>
      </c>
    </row>
    <row r="607" spans="1:6">
      <c r="A607" s="1">
        <v>606</v>
      </c>
      <c r="B607" s="12">
        <v>0.39656776189803999</v>
      </c>
      <c r="C607" s="12" t="s">
        <v>180</v>
      </c>
      <c r="F607" s="12">
        <v>0.61605829000473</v>
      </c>
    </row>
    <row r="608" spans="1:6">
      <c r="A608" s="1">
        <v>607</v>
      </c>
      <c r="B608" s="12">
        <v>6.2091790139675099E-2</v>
      </c>
      <c r="C608" s="12" t="s">
        <v>180</v>
      </c>
      <c r="F608" s="12">
        <v>0.27587276697158802</v>
      </c>
    </row>
    <row r="609" spans="1:6">
      <c r="A609" s="1">
        <v>608</v>
      </c>
      <c r="B609" s="12">
        <v>0.99729013442993097</v>
      </c>
      <c r="C609" s="12" t="s">
        <v>4</v>
      </c>
      <c r="F609" s="12">
        <v>0.27549153566360401</v>
      </c>
    </row>
    <row r="610" spans="1:6">
      <c r="A610" s="1">
        <v>609</v>
      </c>
      <c r="B610" s="12">
        <v>0.70568144321441595</v>
      </c>
      <c r="C610" s="12" t="s">
        <v>4</v>
      </c>
      <c r="F610" s="12">
        <v>0.46931228041648798</v>
      </c>
    </row>
    <row r="611" spans="1:6">
      <c r="A611" s="1">
        <v>610</v>
      </c>
      <c r="B611" s="12">
        <v>0.21434132754802701</v>
      </c>
      <c r="C611" s="12" t="s">
        <v>180</v>
      </c>
      <c r="F611" s="12">
        <v>0.90665698051452603</v>
      </c>
    </row>
    <row r="612" spans="1:6">
      <c r="A612" s="1">
        <v>611</v>
      </c>
      <c r="B612" s="12">
        <v>0.845703125</v>
      </c>
      <c r="C612" s="12" t="s">
        <v>4</v>
      </c>
      <c r="F612" s="12">
        <v>0.74083042144775302</v>
      </c>
    </row>
    <row r="613" spans="1:6">
      <c r="A613" s="1">
        <v>612</v>
      </c>
      <c r="B613" s="12">
        <v>0.55957669019699097</v>
      </c>
      <c r="C613" s="12" t="s">
        <v>4</v>
      </c>
      <c r="F613" s="12">
        <v>0.99932134151458696</v>
      </c>
    </row>
    <row r="614" spans="1:6">
      <c r="A614" s="1">
        <v>613</v>
      </c>
      <c r="B614" s="12">
        <v>0.21365271508693601</v>
      </c>
      <c r="C614" s="12" t="s">
        <v>180</v>
      </c>
      <c r="F614" s="12">
        <v>0.95387893915176303</v>
      </c>
    </row>
    <row r="615" spans="1:6">
      <c r="A615" s="1">
        <v>614</v>
      </c>
      <c r="B615" s="12">
        <v>0.48151424527168202</v>
      </c>
      <c r="C615" s="12" t="s">
        <v>4</v>
      </c>
      <c r="F615" s="12">
        <v>0.83347189426422097</v>
      </c>
    </row>
    <row r="616" spans="1:6">
      <c r="A616" s="1">
        <v>615</v>
      </c>
      <c r="B616" s="12">
        <v>0.28284448385238598</v>
      </c>
      <c r="C616" s="12" t="s">
        <v>4</v>
      </c>
      <c r="F616" s="12">
        <v>0.99850034713745095</v>
      </c>
    </row>
    <row r="617" spans="1:6">
      <c r="A617" s="1">
        <v>616</v>
      </c>
      <c r="B617" s="12">
        <v>1.9451001659035599E-2</v>
      </c>
      <c r="C617" s="12" t="s">
        <v>180</v>
      </c>
      <c r="F617" s="12">
        <v>0.83378571271896296</v>
      </c>
    </row>
    <row r="618" spans="1:6">
      <c r="A618" s="1">
        <v>617</v>
      </c>
      <c r="B618" s="12">
        <v>0.68330281972885099</v>
      </c>
      <c r="C618" s="12" t="s">
        <v>4</v>
      </c>
      <c r="F618" s="12">
        <v>0.161255583167076</v>
      </c>
    </row>
    <row r="619" spans="1:6">
      <c r="A619" s="1">
        <v>618</v>
      </c>
      <c r="B619" s="12">
        <v>0.120512902736663</v>
      </c>
      <c r="C619" s="12" t="s">
        <v>4</v>
      </c>
      <c r="F619" s="12">
        <v>0.67294275760650601</v>
      </c>
    </row>
    <row r="620" spans="1:6">
      <c r="A620" s="1">
        <v>619</v>
      </c>
      <c r="B620" s="12">
        <v>0.99896168708801203</v>
      </c>
      <c r="C620" s="12" t="s">
        <v>4</v>
      </c>
      <c r="F620" s="12">
        <v>0.99873071908950795</v>
      </c>
    </row>
    <row r="621" spans="1:6">
      <c r="A621" s="1">
        <v>620</v>
      </c>
      <c r="B621" s="12">
        <v>0.55384367704391402</v>
      </c>
      <c r="C621" s="12" t="s">
        <v>4</v>
      </c>
      <c r="F621" s="12">
        <v>0.89688992500305098</v>
      </c>
    </row>
    <row r="622" spans="1:6">
      <c r="A622" s="1">
        <v>621</v>
      </c>
      <c r="B622" s="12">
        <v>0.15751740336418099</v>
      </c>
      <c r="C622" s="12" t="s">
        <v>180</v>
      </c>
      <c r="F622" s="12">
        <v>0.84637600183486905</v>
      </c>
    </row>
    <row r="623" spans="1:6">
      <c r="A623" s="1">
        <v>622</v>
      </c>
      <c r="B623" s="12">
        <v>0.95403373241424505</v>
      </c>
      <c r="C623" s="12" t="s">
        <v>4</v>
      </c>
      <c r="F623" s="12">
        <v>0.85523366928100497</v>
      </c>
    </row>
    <row r="624" spans="1:6">
      <c r="A624" s="1">
        <v>623</v>
      </c>
      <c r="B624" s="12">
        <v>0.834877669811248</v>
      </c>
      <c r="C624" s="12" t="s">
        <v>4</v>
      </c>
      <c r="F624" s="12">
        <v>0.868236184120178</v>
      </c>
    </row>
    <row r="625" spans="1:6">
      <c r="A625" s="1">
        <v>624</v>
      </c>
      <c r="B625" s="12">
        <v>0.98451209068298295</v>
      </c>
      <c r="C625" s="12" t="s">
        <v>180</v>
      </c>
      <c r="F625" s="12">
        <v>0.96097046136856001</v>
      </c>
    </row>
    <row r="626" spans="1:6">
      <c r="A626" s="1">
        <v>625</v>
      </c>
      <c r="B626" s="12">
        <v>0.79907983541488603</v>
      </c>
      <c r="C626" s="12" t="s">
        <v>4</v>
      </c>
      <c r="F626" s="12">
        <v>0.84296339750289895</v>
      </c>
    </row>
    <row r="627" spans="1:6">
      <c r="A627" s="1">
        <v>626</v>
      </c>
      <c r="B627" s="12">
        <v>0.99892979860305697</v>
      </c>
      <c r="C627" s="12" t="s">
        <v>4</v>
      </c>
      <c r="F627" s="12">
        <v>0.933843433856964</v>
      </c>
    </row>
    <row r="628" spans="1:6">
      <c r="A628" s="1">
        <v>627</v>
      </c>
      <c r="B628" s="12">
        <v>0.39495381712913502</v>
      </c>
      <c r="C628" s="12" t="s">
        <v>4</v>
      </c>
      <c r="F628" s="12">
        <v>0.71240806579589799</v>
      </c>
    </row>
    <row r="629" spans="1:6">
      <c r="A629" s="1">
        <v>628</v>
      </c>
      <c r="B629" s="12">
        <v>0.74831414222717196</v>
      </c>
      <c r="C629" s="12" t="s">
        <v>4</v>
      </c>
      <c r="F629" s="12">
        <v>0.85569280385971003</v>
      </c>
    </row>
    <row r="630" spans="1:6">
      <c r="A630" s="1">
        <v>629</v>
      </c>
      <c r="B630" s="12">
        <v>0.98293775320053101</v>
      </c>
      <c r="C630" s="12" t="s">
        <v>4</v>
      </c>
      <c r="F630" s="12">
        <v>0.99353832006454401</v>
      </c>
    </row>
    <row r="631" spans="1:6">
      <c r="A631" s="1">
        <v>630</v>
      </c>
      <c r="B631" s="12">
        <v>0.469481140375137</v>
      </c>
      <c r="C631" s="12" t="s">
        <v>4</v>
      </c>
      <c r="F631" s="12">
        <v>0.90423995256423895</v>
      </c>
    </row>
    <row r="632" spans="1:6">
      <c r="A632" s="1">
        <v>631</v>
      </c>
      <c r="B632" s="12">
        <v>0.60579675436019897</v>
      </c>
      <c r="C632" s="12" t="s">
        <v>4</v>
      </c>
      <c r="F632" s="12">
        <v>0.97089934349060003</v>
      </c>
    </row>
    <row r="633" spans="1:6">
      <c r="A633" s="1">
        <v>632</v>
      </c>
      <c r="B633" s="12">
        <v>0.99851197004318204</v>
      </c>
      <c r="C633" s="12" t="s">
        <v>4</v>
      </c>
      <c r="F633" s="12">
        <v>0.91356611251830999</v>
      </c>
    </row>
    <row r="634" spans="1:6">
      <c r="A634" s="1">
        <v>633</v>
      </c>
      <c r="B634" s="12">
        <v>0.97993260622024503</v>
      </c>
      <c r="C634" s="12" t="s">
        <v>4</v>
      </c>
      <c r="F634" s="12">
        <v>0.30260378122329701</v>
      </c>
    </row>
    <row r="635" spans="1:6">
      <c r="A635" s="1">
        <v>634</v>
      </c>
      <c r="B635" s="12">
        <v>0.59229212999343805</v>
      </c>
      <c r="C635" s="12" t="s">
        <v>4</v>
      </c>
      <c r="F635" s="12">
        <v>9.6379898488521507E-2</v>
      </c>
    </row>
    <row r="636" spans="1:6">
      <c r="A636" s="1">
        <v>635</v>
      </c>
      <c r="B636" s="12">
        <v>0.33732938766479398</v>
      </c>
      <c r="C636" s="12" t="s">
        <v>180</v>
      </c>
      <c r="F636" s="12">
        <v>0.21212783455848599</v>
      </c>
    </row>
    <row r="637" spans="1:6">
      <c r="A637" s="1">
        <v>636</v>
      </c>
      <c r="B637" s="12">
        <v>0.94731092453002896</v>
      </c>
      <c r="C637" s="12" t="s">
        <v>4</v>
      </c>
      <c r="F637" s="12">
        <v>0.92057329416275002</v>
      </c>
    </row>
    <row r="638" spans="1:6">
      <c r="A638" s="1">
        <v>637</v>
      </c>
      <c r="B638" s="12">
        <v>0.45048576593398998</v>
      </c>
      <c r="C638" s="12" t="s">
        <v>4</v>
      </c>
      <c r="F638" s="12">
        <v>0.48604062199592502</v>
      </c>
    </row>
    <row r="639" spans="1:6">
      <c r="A639" s="1">
        <v>638</v>
      </c>
      <c r="B639" s="12">
        <v>0.32931032776832497</v>
      </c>
      <c r="C639" s="12" t="s">
        <v>4</v>
      </c>
      <c r="F639" s="12">
        <v>0.81790286302566495</v>
      </c>
    </row>
    <row r="640" spans="1:6">
      <c r="A640" s="1">
        <v>639</v>
      </c>
      <c r="B640" s="12">
        <v>0.99771332740783603</v>
      </c>
      <c r="C640" s="12" t="s">
        <v>4</v>
      </c>
      <c r="F640" s="12">
        <v>0.91243767738342196</v>
      </c>
    </row>
    <row r="641" spans="1:6">
      <c r="A641" s="1">
        <v>640</v>
      </c>
      <c r="B641" s="12">
        <v>0.59637671709060602</v>
      </c>
      <c r="C641" s="12" t="s">
        <v>4</v>
      </c>
      <c r="F641" s="12">
        <v>0.71503627300262396</v>
      </c>
    </row>
    <row r="642" spans="1:6">
      <c r="A642" s="1">
        <v>641</v>
      </c>
      <c r="B642" s="12">
        <v>5.5309809744358E-2</v>
      </c>
      <c r="C642" s="12" t="s">
        <v>180</v>
      </c>
      <c r="F642" s="12">
        <v>0.170696511864662</v>
      </c>
    </row>
    <row r="643" spans="1:6">
      <c r="A643" s="1">
        <v>642</v>
      </c>
      <c r="B643" s="12">
        <v>0.99293631315231301</v>
      </c>
      <c r="C643" s="12" t="s">
        <v>4</v>
      </c>
      <c r="F643" s="12">
        <v>0.98950535058975198</v>
      </c>
    </row>
    <row r="644" spans="1:6">
      <c r="A644" s="1">
        <v>643</v>
      </c>
      <c r="B644" s="12">
        <v>0.72179174423217696</v>
      </c>
      <c r="C644" s="12" t="s">
        <v>4</v>
      </c>
      <c r="F644" s="12">
        <v>0.89840114116668701</v>
      </c>
    </row>
    <row r="645" spans="1:6">
      <c r="A645" s="1">
        <v>644</v>
      </c>
      <c r="B645" s="12">
        <v>0.65824019908904996</v>
      </c>
      <c r="C645" s="12" t="s">
        <v>4</v>
      </c>
      <c r="F645" s="12">
        <v>0.88377588987350397</v>
      </c>
    </row>
    <row r="646" spans="1:6">
      <c r="A646" s="1">
        <v>645</v>
      </c>
      <c r="B646" s="12">
        <v>0.67077994346618597</v>
      </c>
      <c r="C646" s="12" t="s">
        <v>4</v>
      </c>
      <c r="F646" s="12">
        <v>0.14541950821876501</v>
      </c>
    </row>
    <row r="647" spans="1:6">
      <c r="A647" s="1">
        <v>646</v>
      </c>
      <c r="B647" s="12">
        <v>0.52299720048904397</v>
      </c>
      <c r="C647" s="12" t="s">
        <v>4</v>
      </c>
      <c r="F647" s="12">
        <v>0.42049568891525202</v>
      </c>
    </row>
    <row r="648" spans="1:6">
      <c r="A648" s="1">
        <v>647</v>
      </c>
      <c r="B648" s="12">
        <v>0.84388768672943104</v>
      </c>
      <c r="C648" s="12" t="s">
        <v>4</v>
      </c>
      <c r="F648" s="12">
        <v>8.8064774870872498E-2</v>
      </c>
    </row>
    <row r="649" spans="1:6">
      <c r="A649" s="1">
        <v>648</v>
      </c>
      <c r="B649" s="12">
        <v>0.99363422393798795</v>
      </c>
      <c r="C649" s="12" t="s">
        <v>4</v>
      </c>
      <c r="F649" s="12">
        <v>0.95609843730926503</v>
      </c>
    </row>
    <row r="650" spans="1:6">
      <c r="A650" s="1">
        <v>649</v>
      </c>
      <c r="B650" s="12">
        <v>0.98953503370285001</v>
      </c>
      <c r="C650" s="12" t="s">
        <v>4</v>
      </c>
      <c r="F650" s="12">
        <v>0.89778637886047297</v>
      </c>
    </row>
    <row r="651" spans="1:6">
      <c r="A651" s="1">
        <v>650</v>
      </c>
      <c r="B651" s="12">
        <v>0.99863153696060103</v>
      </c>
      <c r="C651" s="12" t="s">
        <v>4</v>
      </c>
      <c r="F651" s="12">
        <v>0.99310594797134399</v>
      </c>
    </row>
    <row r="652" spans="1:6">
      <c r="A652" s="1">
        <v>651</v>
      </c>
      <c r="B652" s="12">
        <v>0.49706757068634</v>
      </c>
      <c r="C652" s="12" t="s">
        <v>4</v>
      </c>
      <c r="F652" s="12">
        <v>0.99059718847274703</v>
      </c>
    </row>
    <row r="653" spans="1:6">
      <c r="A653" s="1">
        <v>652</v>
      </c>
      <c r="B653" s="12">
        <v>0.51176059246063199</v>
      </c>
      <c r="C653" s="12" t="s">
        <v>4</v>
      </c>
      <c r="F653" s="12">
        <v>0.99243211746215798</v>
      </c>
    </row>
    <row r="654" spans="1:6">
      <c r="A654" s="1">
        <v>653</v>
      </c>
      <c r="B654" s="12">
        <v>0.92034411430358798</v>
      </c>
      <c r="C654" s="12" t="s">
        <v>4</v>
      </c>
      <c r="F654" s="12">
        <v>0.99989604949951105</v>
      </c>
    </row>
    <row r="655" spans="1:6">
      <c r="A655" s="1">
        <v>654</v>
      </c>
      <c r="B655" s="12">
        <v>0.240974515676498</v>
      </c>
      <c r="C655" s="12" t="s">
        <v>4</v>
      </c>
      <c r="F655" s="12">
        <v>0.98324996232986395</v>
      </c>
    </row>
    <row r="656" spans="1:6">
      <c r="A656" s="1">
        <v>655</v>
      </c>
      <c r="B656" s="12">
        <v>0.39885050058364802</v>
      </c>
      <c r="C656" s="12" t="s">
        <v>4</v>
      </c>
      <c r="F656" s="12">
        <v>0.58581191301345803</v>
      </c>
    </row>
    <row r="657" spans="1:6">
      <c r="A657" s="1">
        <v>656</v>
      </c>
      <c r="B657" s="12">
        <v>0.93138653039932195</v>
      </c>
      <c r="C657" s="12" t="s">
        <v>4</v>
      </c>
      <c r="F657" s="12">
        <v>0.93103677034377996</v>
      </c>
    </row>
    <row r="658" spans="1:6">
      <c r="A658" s="1">
        <v>657</v>
      </c>
      <c r="B658" s="12">
        <v>0.78715568780899003</v>
      </c>
      <c r="C658" s="12" t="s">
        <v>4</v>
      </c>
      <c r="F658" s="12">
        <v>0.23649825155734999</v>
      </c>
    </row>
    <row r="659" spans="1:6">
      <c r="A659" s="1">
        <v>658</v>
      </c>
      <c r="B659" s="12">
        <v>0.36704418063163702</v>
      </c>
      <c r="C659" s="12" t="s">
        <v>180</v>
      </c>
      <c r="F659" s="12">
        <v>0.95129424333572299</v>
      </c>
    </row>
    <row r="660" spans="1:6">
      <c r="A660" s="1">
        <v>659</v>
      </c>
      <c r="B660" s="12">
        <v>0.99805861711501997</v>
      </c>
      <c r="C660" s="12" t="s">
        <v>4</v>
      </c>
      <c r="F660" s="12">
        <v>0.17073032259941101</v>
      </c>
    </row>
    <row r="661" spans="1:6">
      <c r="A661" s="1">
        <v>660</v>
      </c>
      <c r="B661" s="12">
        <v>0.99916052818298295</v>
      </c>
      <c r="C661" s="12" t="s">
        <v>4</v>
      </c>
      <c r="F661" s="12">
        <v>0.96244895458221402</v>
      </c>
    </row>
    <row r="662" spans="1:6">
      <c r="A662" s="1">
        <v>661</v>
      </c>
      <c r="B662" s="12">
        <v>0.77359122037887496</v>
      </c>
      <c r="C662" s="12" t="s">
        <v>4</v>
      </c>
      <c r="F662" s="12">
        <v>0.98776477575302102</v>
      </c>
    </row>
    <row r="663" spans="1:6">
      <c r="A663" s="1">
        <v>662</v>
      </c>
      <c r="B663" s="12">
        <v>2.5273870676755902E-2</v>
      </c>
      <c r="C663" s="12" t="s">
        <v>180</v>
      </c>
      <c r="F663" s="12">
        <v>0.465564966201782</v>
      </c>
    </row>
    <row r="664" spans="1:6">
      <c r="A664" s="1">
        <v>663</v>
      </c>
      <c r="B664" s="12">
        <v>0.29932522773742598</v>
      </c>
      <c r="C664" s="12" t="s">
        <v>4</v>
      </c>
      <c r="F664" s="12">
        <v>0.99793612957000699</v>
      </c>
    </row>
    <row r="665" spans="1:6">
      <c r="A665" s="1">
        <v>664</v>
      </c>
      <c r="B665" s="12">
        <v>8.2488626241683904E-2</v>
      </c>
      <c r="C665" s="12" t="s">
        <v>180</v>
      </c>
      <c r="F665" s="12">
        <v>0.88447874784469604</v>
      </c>
    </row>
    <row r="666" spans="1:6">
      <c r="A666" s="1">
        <v>665</v>
      </c>
      <c r="B666" s="12">
        <v>0.99296206235885598</v>
      </c>
      <c r="C666" s="12" t="s">
        <v>4</v>
      </c>
      <c r="F666" s="12">
        <v>0.13161446154117501</v>
      </c>
    </row>
    <row r="667" spans="1:6">
      <c r="A667" s="1">
        <v>666</v>
      </c>
      <c r="B667" s="12">
        <v>0.908788442611694</v>
      </c>
      <c r="C667" s="12" t="s">
        <v>4</v>
      </c>
      <c r="F667" s="12">
        <v>0.99912089109420699</v>
      </c>
    </row>
    <row r="668" spans="1:6">
      <c r="A668" s="1">
        <v>667</v>
      </c>
      <c r="B668" s="12">
        <v>0.55404812097549405</v>
      </c>
      <c r="C668" s="12" t="s">
        <v>4</v>
      </c>
      <c r="F668" s="12">
        <v>0.37752449512481601</v>
      </c>
    </row>
    <row r="669" spans="1:6">
      <c r="A669" s="1">
        <v>668</v>
      </c>
      <c r="B669" s="12">
        <v>0.95450198650360096</v>
      </c>
      <c r="C669" s="12" t="s">
        <v>180</v>
      </c>
      <c r="F669" s="12">
        <v>0.81515866518020597</v>
      </c>
    </row>
    <row r="670" spans="1:6">
      <c r="A670" s="1">
        <v>669</v>
      </c>
      <c r="B670" s="12">
        <v>0.78791314363479603</v>
      </c>
      <c r="C670" s="12" t="s">
        <v>4</v>
      </c>
      <c r="F670" s="12">
        <v>0.13188835978507901</v>
      </c>
    </row>
    <row r="671" spans="1:6">
      <c r="A671" s="1">
        <v>670</v>
      </c>
      <c r="B671" s="12">
        <v>0.98314374685287398</v>
      </c>
      <c r="C671" s="12" t="s">
        <v>4</v>
      </c>
      <c r="F671" s="12">
        <v>0.76062554121017401</v>
      </c>
    </row>
    <row r="672" spans="1:6">
      <c r="A672" s="1">
        <v>671</v>
      </c>
      <c r="B672" s="12">
        <v>0.99445843696594205</v>
      </c>
      <c r="C672" s="12" t="s">
        <v>4</v>
      </c>
      <c r="F672" s="12">
        <v>0.42352324724197299</v>
      </c>
    </row>
    <row r="673" spans="1:6">
      <c r="A673" s="1">
        <v>672</v>
      </c>
      <c r="B673" s="12">
        <v>0.22756007313728299</v>
      </c>
      <c r="C673" s="12" t="s">
        <v>180</v>
      </c>
      <c r="F673" s="12">
        <v>0.901960790157318</v>
      </c>
    </row>
    <row r="674" spans="1:6">
      <c r="A674" s="1">
        <v>673</v>
      </c>
      <c r="B674" s="12">
        <v>0.89381992816925004</v>
      </c>
      <c r="C674" s="12" t="s">
        <v>4</v>
      </c>
      <c r="F674" s="12">
        <v>0.90786015987396196</v>
      </c>
    </row>
    <row r="675" spans="1:6">
      <c r="A675" s="1">
        <v>674</v>
      </c>
      <c r="B675" s="12">
        <v>0.62675446271896296</v>
      </c>
      <c r="C675" s="12" t="s">
        <v>180</v>
      </c>
      <c r="F675" s="12">
        <v>0.97514027357101396</v>
      </c>
    </row>
    <row r="676" spans="1:6">
      <c r="A676" s="1">
        <v>675</v>
      </c>
      <c r="B676" s="12">
        <v>0.20294930040836301</v>
      </c>
      <c r="C676" s="12" t="s">
        <v>180</v>
      </c>
      <c r="F676" s="12">
        <v>0.68209075927734297</v>
      </c>
    </row>
    <row r="677" spans="1:6">
      <c r="A677" s="1">
        <v>676</v>
      </c>
      <c r="B677" s="12">
        <v>0.99524092674255304</v>
      </c>
      <c r="C677" s="12" t="s">
        <v>4</v>
      </c>
      <c r="F677" s="12">
        <v>0.56041300296783403</v>
      </c>
    </row>
    <row r="678" spans="1:6">
      <c r="A678" s="1">
        <v>677</v>
      </c>
      <c r="B678" s="12">
        <v>0.98873466253280595</v>
      </c>
      <c r="C678" s="12" t="s">
        <v>4</v>
      </c>
      <c r="F678" s="12">
        <v>0.89758551120758001</v>
      </c>
    </row>
    <row r="679" spans="1:6">
      <c r="A679" s="1">
        <v>678</v>
      </c>
      <c r="B679" s="12">
        <v>0.177125543355941</v>
      </c>
      <c r="C679" s="12" t="s">
        <v>180</v>
      </c>
      <c r="F679" s="12">
        <v>0.16411994397640201</v>
      </c>
    </row>
    <row r="680" spans="1:6">
      <c r="A680" s="1">
        <v>679</v>
      </c>
      <c r="B680" s="12">
        <v>0.92101001739501898</v>
      </c>
      <c r="C680" s="12" t="s">
        <v>4</v>
      </c>
      <c r="F680" s="12">
        <v>0.85416841506957997</v>
      </c>
    </row>
    <row r="681" spans="1:6">
      <c r="A681" s="1">
        <v>680</v>
      </c>
      <c r="B681" s="12">
        <v>0.96341139078140203</v>
      </c>
      <c r="C681" s="12" t="s">
        <v>4</v>
      </c>
      <c r="F681" s="12">
        <v>0.13717371225357</v>
      </c>
    </row>
    <row r="682" spans="1:6">
      <c r="A682" s="1">
        <v>681</v>
      </c>
      <c r="B682" s="12">
        <v>0.61605829000473</v>
      </c>
      <c r="C682" s="12" t="s">
        <v>4</v>
      </c>
      <c r="F682" s="12">
        <v>0.98684757947921697</v>
      </c>
    </row>
    <row r="683" spans="1:6">
      <c r="A683" s="1">
        <v>682</v>
      </c>
      <c r="B683" s="12">
        <v>0.27587276697158802</v>
      </c>
      <c r="C683" s="12" t="s">
        <v>4</v>
      </c>
      <c r="F683" s="12">
        <v>0.98318278789520197</v>
      </c>
    </row>
    <row r="684" spans="1:6">
      <c r="A684" s="1">
        <v>683</v>
      </c>
      <c r="B684" s="12">
        <v>0.27549153566360401</v>
      </c>
      <c r="C684" s="12" t="s">
        <v>4</v>
      </c>
      <c r="F684" s="12">
        <v>0.59856957197189298</v>
      </c>
    </row>
    <row r="685" spans="1:6">
      <c r="A685" s="1">
        <v>684</v>
      </c>
      <c r="B685" s="12">
        <v>0.283405572175979</v>
      </c>
      <c r="C685" s="12" t="s">
        <v>180</v>
      </c>
      <c r="F685" s="12">
        <v>0.95327508449554399</v>
      </c>
    </row>
    <row r="686" spans="1:6">
      <c r="A686" s="1">
        <v>685</v>
      </c>
      <c r="B686" s="12">
        <v>0.46931228041648798</v>
      </c>
      <c r="C686" s="12" t="s">
        <v>4</v>
      </c>
      <c r="F686" s="12">
        <v>0.92452913522720304</v>
      </c>
    </row>
    <row r="687" spans="1:6">
      <c r="A687" s="1">
        <v>686</v>
      </c>
      <c r="B687" s="12">
        <v>6.3108310103416401E-2</v>
      </c>
      <c r="C687" s="12" t="s">
        <v>180</v>
      </c>
      <c r="F687" s="12">
        <v>0.85493522882461503</v>
      </c>
    </row>
    <row r="688" spans="1:6">
      <c r="A688" s="1">
        <v>687</v>
      </c>
      <c r="B688" s="12">
        <v>0.90665698051452603</v>
      </c>
      <c r="C688" s="12" t="s">
        <v>4</v>
      </c>
      <c r="F688" s="12">
        <v>0.201019942760467</v>
      </c>
    </row>
    <row r="689" spans="1:6">
      <c r="A689" s="1">
        <v>688</v>
      </c>
      <c r="B689" s="12">
        <v>8.7997950613498604E-2</v>
      </c>
      <c r="C689" s="12" t="s">
        <v>180</v>
      </c>
      <c r="F689" s="12">
        <v>0.98819422721862704</v>
      </c>
    </row>
    <row r="690" spans="1:6">
      <c r="A690" s="1">
        <v>689</v>
      </c>
      <c r="B690" s="12">
        <v>0.74083042144775302</v>
      </c>
      <c r="C690" s="12" t="s">
        <v>4</v>
      </c>
      <c r="F690" s="12">
        <v>0.42915084958076399</v>
      </c>
    </row>
    <row r="691" spans="1:6">
      <c r="A691" s="1">
        <v>690</v>
      </c>
      <c r="B691" s="12">
        <v>0.99932134151458696</v>
      </c>
      <c r="C691" s="12" t="s">
        <v>4</v>
      </c>
      <c r="F691" s="12">
        <v>0.55390018224716098</v>
      </c>
    </row>
    <row r="692" spans="1:6">
      <c r="A692" s="1">
        <v>691</v>
      </c>
      <c r="B692" s="12">
        <v>0.95387893915176303</v>
      </c>
      <c r="C692" s="12" t="s">
        <v>4</v>
      </c>
      <c r="F692" s="12">
        <v>0.94889545440673795</v>
      </c>
    </row>
    <row r="693" spans="1:6">
      <c r="A693" s="1">
        <v>692</v>
      </c>
      <c r="B693" s="12">
        <v>0.32132005691528298</v>
      </c>
      <c r="C693" s="12" t="s">
        <v>180</v>
      </c>
      <c r="F693" s="12">
        <v>0.974795341491699</v>
      </c>
    </row>
    <row r="694" spans="1:6">
      <c r="A694" s="1">
        <v>693</v>
      </c>
      <c r="B694" s="12">
        <v>0.21911388635635301</v>
      </c>
      <c r="C694" s="12" t="s">
        <v>180</v>
      </c>
      <c r="F694" s="12">
        <v>0.98875254392623901</v>
      </c>
    </row>
    <row r="695" spans="1:6">
      <c r="A695" s="1">
        <v>694</v>
      </c>
      <c r="B695" s="12">
        <v>0.83347189426422097</v>
      </c>
      <c r="C695" s="12" t="s">
        <v>4</v>
      </c>
      <c r="F695" s="12">
        <v>0.96813207864761297</v>
      </c>
    </row>
    <row r="696" spans="1:6">
      <c r="A696" s="1">
        <v>695</v>
      </c>
      <c r="B696" s="12">
        <v>0.200569182634353</v>
      </c>
      <c r="C696" s="12" t="s">
        <v>180</v>
      </c>
      <c r="F696" s="12">
        <v>0.158068001270294</v>
      </c>
    </row>
    <row r="697" spans="1:6">
      <c r="A697" s="1">
        <v>696</v>
      </c>
      <c r="B697" s="12">
        <v>0.99850034713745095</v>
      </c>
      <c r="C697" s="12" t="s">
        <v>4</v>
      </c>
      <c r="F697" s="12">
        <v>0.53958737850189198</v>
      </c>
    </row>
    <row r="698" spans="1:6">
      <c r="A698" s="1">
        <v>697</v>
      </c>
      <c r="B698" s="12">
        <v>0.83378571271896296</v>
      </c>
      <c r="C698" s="12" t="s">
        <v>4</v>
      </c>
      <c r="F698" s="12">
        <v>0.99134892225265503</v>
      </c>
    </row>
    <row r="699" spans="1:6">
      <c r="A699" s="1">
        <v>698</v>
      </c>
      <c r="B699" s="12">
        <v>0.161255583167076</v>
      </c>
      <c r="C699" s="12" t="s">
        <v>4</v>
      </c>
      <c r="F699" s="12">
        <v>0.99939453601837103</v>
      </c>
    </row>
    <row r="700" spans="1:6">
      <c r="A700" s="1">
        <v>699</v>
      </c>
      <c r="B700" s="12">
        <v>0.67294275760650601</v>
      </c>
      <c r="C700" s="12" t="s">
        <v>4</v>
      </c>
      <c r="F700" s="12">
        <v>0.78439813852310103</v>
      </c>
    </row>
    <row r="701" spans="1:6">
      <c r="A701" s="1">
        <v>700</v>
      </c>
      <c r="B701" s="12">
        <v>0.27004224061965898</v>
      </c>
      <c r="C701" s="12" t="s">
        <v>180</v>
      </c>
      <c r="F701" s="12">
        <v>0.91336566209793002</v>
      </c>
    </row>
    <row r="702" spans="1:6">
      <c r="A702" s="1">
        <v>701</v>
      </c>
      <c r="B702" s="12">
        <v>0.99873071908950795</v>
      </c>
      <c r="C702" s="12" t="s">
        <v>4</v>
      </c>
      <c r="F702" s="12">
        <v>0.94352912902831998</v>
      </c>
    </row>
    <row r="703" spans="1:6">
      <c r="A703" s="1">
        <v>702</v>
      </c>
      <c r="B703" s="12">
        <v>0.57539457082748402</v>
      </c>
      <c r="C703" s="12" t="s">
        <v>180</v>
      </c>
      <c r="F703" s="12">
        <v>0.71728259325027399</v>
      </c>
    </row>
    <row r="704" spans="1:6">
      <c r="A704" s="1">
        <v>703</v>
      </c>
      <c r="B704" s="12">
        <v>0.89688992500305098</v>
      </c>
      <c r="C704" s="12" t="s">
        <v>4</v>
      </c>
      <c r="F704" s="12">
        <v>0.48479714989662098</v>
      </c>
    </row>
    <row r="705" spans="1:6">
      <c r="A705" s="1">
        <v>704</v>
      </c>
      <c r="B705" s="12">
        <v>0.19556820392608601</v>
      </c>
      <c r="C705" s="12" t="s">
        <v>180</v>
      </c>
      <c r="F705" s="12">
        <v>0.70995748043060303</v>
      </c>
    </row>
    <row r="706" spans="1:6">
      <c r="A706" s="1">
        <v>705</v>
      </c>
      <c r="B706" s="12">
        <v>0.84637600183486905</v>
      </c>
      <c r="C706" s="12" t="s">
        <v>4</v>
      </c>
      <c r="F706" s="12">
        <v>0.852220058441162</v>
      </c>
    </row>
    <row r="707" spans="1:6">
      <c r="A707" s="1">
        <v>706</v>
      </c>
      <c r="B707" s="12">
        <v>0.85523366928100497</v>
      </c>
      <c r="C707" s="12" t="s">
        <v>4</v>
      </c>
      <c r="F707" s="12">
        <v>0.88295865058898904</v>
      </c>
    </row>
    <row r="708" spans="1:6">
      <c r="A708" s="1">
        <v>707</v>
      </c>
      <c r="B708" s="12">
        <v>0.868236184120178</v>
      </c>
      <c r="C708" s="12" t="s">
        <v>4</v>
      </c>
      <c r="F708" s="12">
        <v>0.98627972602844205</v>
      </c>
    </row>
    <row r="709" spans="1:6">
      <c r="A709" s="1">
        <v>708</v>
      </c>
      <c r="B709" s="12">
        <v>0.96097046136856001</v>
      </c>
      <c r="C709" s="12" t="s">
        <v>4</v>
      </c>
      <c r="F709" s="12">
        <v>0.995017349720001</v>
      </c>
    </row>
    <row r="710" spans="1:6">
      <c r="A710" s="1">
        <v>709</v>
      </c>
      <c r="B710" s="12">
        <v>0.84296339750289895</v>
      </c>
      <c r="C710" s="12" t="s">
        <v>4</v>
      </c>
      <c r="F710" s="12">
        <v>0.219232156872749</v>
      </c>
    </row>
    <row r="711" spans="1:6">
      <c r="A711" s="1">
        <v>710</v>
      </c>
      <c r="B711" s="12">
        <v>0.933843433856964</v>
      </c>
      <c r="C711" s="12" t="s">
        <v>4</v>
      </c>
      <c r="F711" s="12">
        <v>0.99785357713699296</v>
      </c>
    </row>
    <row r="712" spans="1:6">
      <c r="A712" s="1">
        <v>711</v>
      </c>
      <c r="B712" s="12">
        <v>0.71240806579589799</v>
      </c>
      <c r="C712" s="12" t="s">
        <v>4</v>
      </c>
      <c r="F712" s="12">
        <v>0.79920494556427002</v>
      </c>
    </row>
    <row r="713" spans="1:6">
      <c r="A713" s="1">
        <v>712</v>
      </c>
      <c r="B713" s="12">
        <v>0.85569280385971003</v>
      </c>
      <c r="C713" s="12" t="s">
        <v>4</v>
      </c>
      <c r="F713" s="12">
        <v>0.91089206933975198</v>
      </c>
    </row>
    <row r="714" spans="1:6">
      <c r="A714" s="1">
        <v>713</v>
      </c>
      <c r="B714" s="12">
        <v>0.88368165493011397</v>
      </c>
      <c r="C714" s="12" t="s">
        <v>180</v>
      </c>
      <c r="F714" s="12">
        <v>0.99593520164489702</v>
      </c>
    </row>
    <row r="715" spans="1:6">
      <c r="A715" s="1">
        <v>714</v>
      </c>
      <c r="B715" s="12">
        <v>0.139849454164505</v>
      </c>
      <c r="C715" s="12" t="s">
        <v>180</v>
      </c>
      <c r="F715" s="12">
        <v>0.99702507257461503</v>
      </c>
    </row>
    <row r="716" spans="1:6">
      <c r="A716" s="1">
        <v>715</v>
      </c>
      <c r="B716" s="12">
        <v>0.99353832006454401</v>
      </c>
      <c r="C716" s="12" t="s">
        <v>4</v>
      </c>
      <c r="F716" s="12">
        <v>0.21242000162601399</v>
      </c>
    </row>
    <row r="717" spans="1:6">
      <c r="A717" s="1">
        <v>716</v>
      </c>
      <c r="B717" s="12">
        <v>0.90423995256423895</v>
      </c>
      <c r="C717" s="12" t="s">
        <v>4</v>
      </c>
      <c r="F717" s="12">
        <v>0.95936542749404896</v>
      </c>
    </row>
    <row r="718" spans="1:6">
      <c r="A718" s="1">
        <v>717</v>
      </c>
      <c r="B718" s="12">
        <v>0.92029070854187001</v>
      </c>
      <c r="C718" s="12" t="s">
        <v>180</v>
      </c>
      <c r="F718" s="12">
        <v>0.99617445468902499</v>
      </c>
    </row>
    <row r="719" spans="1:6">
      <c r="A719" s="1">
        <v>718</v>
      </c>
      <c r="B719" s="12">
        <v>0.115548834204673</v>
      </c>
      <c r="C719" s="12" t="s">
        <v>180</v>
      </c>
      <c r="F719" s="12">
        <v>0.35485395789146401</v>
      </c>
    </row>
    <row r="720" spans="1:6">
      <c r="A720" s="1">
        <v>719</v>
      </c>
      <c r="B720" s="12">
        <v>8.3312466740608201E-2</v>
      </c>
      <c r="C720" s="12" t="s">
        <v>180</v>
      </c>
      <c r="F720" s="12">
        <v>0.31423971056938099</v>
      </c>
    </row>
    <row r="721" spans="1:6">
      <c r="A721" s="1">
        <v>720</v>
      </c>
      <c r="B721" s="12">
        <v>0.97089934349060003</v>
      </c>
      <c r="C721" s="12" t="s">
        <v>4</v>
      </c>
      <c r="F721" s="12">
        <v>0.84026849269866899</v>
      </c>
    </row>
    <row r="722" spans="1:6">
      <c r="A722" s="1">
        <v>721</v>
      </c>
      <c r="B722" s="12">
        <v>0.91356611251830999</v>
      </c>
      <c r="C722" s="12" t="s">
        <v>4</v>
      </c>
    </row>
    <row r="723" spans="1:6">
      <c r="A723" s="1">
        <v>722</v>
      </c>
      <c r="B723" s="12">
        <v>0.30260378122329701</v>
      </c>
      <c r="C723" s="12" t="s">
        <v>4</v>
      </c>
    </row>
    <row r="724" spans="1:6">
      <c r="A724" s="1">
        <v>723</v>
      </c>
      <c r="B724" s="12">
        <v>9.6379898488521507E-2</v>
      </c>
      <c r="C724" s="12" t="s">
        <v>4</v>
      </c>
    </row>
    <row r="725" spans="1:6">
      <c r="A725" s="1">
        <v>724</v>
      </c>
      <c r="B725" s="12">
        <v>0.27414003014564498</v>
      </c>
      <c r="C725" s="12" t="s">
        <v>180</v>
      </c>
    </row>
    <row r="726" spans="1:6">
      <c r="A726" s="1">
        <v>725</v>
      </c>
      <c r="B726" s="12">
        <v>3.6882787942886297E-2</v>
      </c>
      <c r="C726" s="12" t="s">
        <v>180</v>
      </c>
    </row>
    <row r="727" spans="1:6">
      <c r="A727" s="1">
        <v>726</v>
      </c>
      <c r="B727" s="12">
        <v>0.21212783455848599</v>
      </c>
      <c r="C727" s="12" t="s">
        <v>4</v>
      </c>
    </row>
    <row r="728" spans="1:6">
      <c r="A728" s="1">
        <v>727</v>
      </c>
      <c r="B728" s="12">
        <v>0.92057329416275002</v>
      </c>
      <c r="C728" s="12" t="s">
        <v>4</v>
      </c>
    </row>
    <row r="729" spans="1:6">
      <c r="A729" s="1">
        <v>728</v>
      </c>
      <c r="B729" s="12">
        <v>0.48604062199592502</v>
      </c>
      <c r="C729" s="12" t="s">
        <v>4</v>
      </c>
    </row>
    <row r="730" spans="1:6">
      <c r="A730" s="1">
        <v>729</v>
      </c>
      <c r="B730" s="12">
        <v>0.81790286302566495</v>
      </c>
      <c r="C730" s="12" t="s">
        <v>4</v>
      </c>
    </row>
    <row r="731" spans="1:6">
      <c r="A731" s="1">
        <v>730</v>
      </c>
      <c r="B731" s="12">
        <v>0.91243767738342196</v>
      </c>
      <c r="C731" s="12" t="s">
        <v>4</v>
      </c>
    </row>
    <row r="732" spans="1:6">
      <c r="A732" s="1">
        <v>731</v>
      </c>
      <c r="B732" s="12">
        <v>0.71503627300262396</v>
      </c>
      <c r="C732" s="12" t="s">
        <v>4</v>
      </c>
    </row>
    <row r="733" spans="1:6">
      <c r="A733" s="1">
        <v>732</v>
      </c>
      <c r="B733" s="12">
        <v>0.170696511864662</v>
      </c>
      <c r="C733" s="12" t="s">
        <v>4</v>
      </c>
    </row>
    <row r="734" spans="1:6">
      <c r="A734" s="1">
        <v>733</v>
      </c>
      <c r="B734" s="12">
        <v>0.128162145614624</v>
      </c>
      <c r="C734" s="12" t="s">
        <v>180</v>
      </c>
    </row>
    <row r="735" spans="1:6">
      <c r="A735" s="1">
        <v>734</v>
      </c>
      <c r="B735" s="12">
        <v>0.98950535058975198</v>
      </c>
      <c r="C735" s="12" t="s">
        <v>4</v>
      </c>
    </row>
    <row r="736" spans="1:6">
      <c r="A736" s="1">
        <v>735</v>
      </c>
      <c r="B736" s="12">
        <v>0.89840114116668701</v>
      </c>
      <c r="C736" s="12" t="s">
        <v>4</v>
      </c>
    </row>
    <row r="737" spans="1:3">
      <c r="A737" s="1">
        <v>736</v>
      </c>
      <c r="B737" s="12">
        <v>0.88377588987350397</v>
      </c>
      <c r="C737" s="12" t="s">
        <v>4</v>
      </c>
    </row>
    <row r="738" spans="1:3">
      <c r="A738" s="1">
        <v>737</v>
      </c>
      <c r="B738" s="12">
        <v>0.14541950821876501</v>
      </c>
      <c r="C738" s="12" t="s">
        <v>4</v>
      </c>
    </row>
    <row r="739" spans="1:3">
      <c r="A739" s="1">
        <v>738</v>
      </c>
      <c r="B739" s="12">
        <v>0.106242060661315</v>
      </c>
      <c r="C739" s="12" t="s">
        <v>180</v>
      </c>
    </row>
    <row r="740" spans="1:3">
      <c r="A740" s="1">
        <v>739</v>
      </c>
      <c r="B740" s="12">
        <v>0.42049568891525202</v>
      </c>
      <c r="C740" s="12" t="s">
        <v>4</v>
      </c>
    </row>
    <row r="741" spans="1:3">
      <c r="A741" s="1">
        <v>740</v>
      </c>
      <c r="B741" s="12">
        <v>8.8064774870872498E-2</v>
      </c>
      <c r="C741" s="12" t="s">
        <v>4</v>
      </c>
    </row>
    <row r="742" spans="1:3">
      <c r="A742" s="1">
        <v>741</v>
      </c>
      <c r="B742" s="12">
        <v>0.95609843730926503</v>
      </c>
      <c r="C742" s="12" t="s">
        <v>4</v>
      </c>
    </row>
    <row r="743" spans="1:3">
      <c r="A743" s="1">
        <v>742</v>
      </c>
      <c r="B743" s="12">
        <v>5.8459598571061998E-2</v>
      </c>
      <c r="C743" s="12" t="s">
        <v>180</v>
      </c>
    </row>
    <row r="744" spans="1:3">
      <c r="A744" s="1">
        <v>743</v>
      </c>
      <c r="B744" s="12">
        <v>0.89778637886047297</v>
      </c>
      <c r="C744" s="12" t="s">
        <v>4</v>
      </c>
    </row>
    <row r="745" spans="1:3">
      <c r="A745" s="1">
        <v>744</v>
      </c>
      <c r="B745" s="12">
        <v>0.99310594797134399</v>
      </c>
      <c r="C745" s="12" t="s">
        <v>4</v>
      </c>
    </row>
    <row r="746" spans="1:3">
      <c r="A746" s="1">
        <v>745</v>
      </c>
      <c r="B746" s="12">
        <v>0.99059718847274703</v>
      </c>
      <c r="C746" s="12" t="s">
        <v>4</v>
      </c>
    </row>
    <row r="747" spans="1:3">
      <c r="A747" s="1">
        <v>746</v>
      </c>
      <c r="B747" s="12">
        <v>7.7553220093250205E-2</v>
      </c>
      <c r="C747" s="12" t="s">
        <v>180</v>
      </c>
    </row>
    <row r="748" spans="1:3">
      <c r="A748" s="1">
        <v>747</v>
      </c>
      <c r="B748" s="12">
        <v>0.99243211746215798</v>
      </c>
      <c r="C748" s="12" t="s">
        <v>4</v>
      </c>
    </row>
    <row r="749" spans="1:3">
      <c r="A749" s="1">
        <v>748</v>
      </c>
      <c r="B749" s="12">
        <v>0.99989604949951105</v>
      </c>
      <c r="C749" s="12" t="s">
        <v>4</v>
      </c>
    </row>
    <row r="750" spans="1:3">
      <c r="A750" s="1">
        <v>749</v>
      </c>
      <c r="B750" s="12">
        <v>0.98324996232986395</v>
      </c>
      <c r="C750" s="12" t="s">
        <v>4</v>
      </c>
    </row>
    <row r="751" spans="1:3">
      <c r="A751" s="1">
        <v>750</v>
      </c>
      <c r="B751" s="12">
        <v>0.58581191301345803</v>
      </c>
      <c r="C751" s="12" t="s">
        <v>4</v>
      </c>
    </row>
    <row r="752" spans="1:3">
      <c r="A752" s="1">
        <v>751</v>
      </c>
      <c r="B752" s="12">
        <v>0.93103677034377996</v>
      </c>
      <c r="C752" s="12" t="s">
        <v>4</v>
      </c>
    </row>
    <row r="753" spans="1:3">
      <c r="A753" s="1">
        <v>752</v>
      </c>
      <c r="B753" s="12">
        <v>0.23649825155734999</v>
      </c>
      <c r="C753" s="12" t="s">
        <v>4</v>
      </c>
    </row>
    <row r="754" spans="1:3">
      <c r="A754" s="1">
        <v>753</v>
      </c>
      <c r="B754" s="12">
        <v>0.95129424333572299</v>
      </c>
      <c r="C754" s="12" t="s">
        <v>4</v>
      </c>
    </row>
    <row r="755" spans="1:3">
      <c r="A755" s="1">
        <v>754</v>
      </c>
      <c r="B755" s="12">
        <v>0.17073032259941101</v>
      </c>
      <c r="C755" s="12" t="s">
        <v>4</v>
      </c>
    </row>
    <row r="756" spans="1:3">
      <c r="A756" s="1">
        <v>755</v>
      </c>
      <c r="B756" s="12">
        <v>0.96244895458221402</v>
      </c>
      <c r="C756" s="12" t="s">
        <v>4</v>
      </c>
    </row>
    <row r="757" spans="1:3">
      <c r="A757" s="1">
        <v>756</v>
      </c>
      <c r="B757" s="12">
        <v>0.98776477575302102</v>
      </c>
      <c r="C757" s="12" t="s">
        <v>4</v>
      </c>
    </row>
    <row r="758" spans="1:3">
      <c r="A758" s="1">
        <v>757</v>
      </c>
      <c r="B758" s="12">
        <v>0.465564966201782</v>
      </c>
      <c r="C758" s="12" t="s">
        <v>4</v>
      </c>
    </row>
    <row r="759" spans="1:3">
      <c r="A759" s="1">
        <v>758</v>
      </c>
      <c r="B759" s="12">
        <v>0.99793612957000699</v>
      </c>
      <c r="C759" s="12" t="s">
        <v>4</v>
      </c>
    </row>
    <row r="760" spans="1:3">
      <c r="A760" s="1">
        <v>759</v>
      </c>
      <c r="B760" s="12">
        <v>0.88447874784469604</v>
      </c>
      <c r="C760" s="12" t="s">
        <v>4</v>
      </c>
    </row>
    <row r="761" spans="1:3">
      <c r="A761" s="1">
        <v>760</v>
      </c>
      <c r="B761" s="12">
        <v>0.13161446154117501</v>
      </c>
      <c r="C761" s="12" t="s">
        <v>4</v>
      </c>
    </row>
    <row r="762" spans="1:3">
      <c r="A762" s="1">
        <v>761</v>
      </c>
      <c r="B762" s="12">
        <v>0.99912089109420699</v>
      </c>
      <c r="C762" s="12" t="s">
        <v>4</v>
      </c>
    </row>
    <row r="763" spans="1:3">
      <c r="A763" s="1">
        <v>762</v>
      </c>
      <c r="B763" s="12">
        <v>0.21499410271644501</v>
      </c>
      <c r="C763" s="12" t="s">
        <v>180</v>
      </c>
    </row>
    <row r="764" spans="1:3">
      <c r="A764" s="1">
        <v>763</v>
      </c>
      <c r="B764" s="12">
        <v>0.37752449512481601</v>
      </c>
      <c r="C764" s="12" t="s">
        <v>4</v>
      </c>
    </row>
    <row r="765" spans="1:3">
      <c r="A765" s="1">
        <v>764</v>
      </c>
      <c r="B765" s="12">
        <v>0.25384604930877602</v>
      </c>
      <c r="C765" s="12" t="s">
        <v>180</v>
      </c>
    </row>
    <row r="766" spans="1:3">
      <c r="A766" s="1">
        <v>765</v>
      </c>
      <c r="B766" s="12">
        <v>0.81515866518020597</v>
      </c>
      <c r="C766" s="12" t="s">
        <v>4</v>
      </c>
    </row>
    <row r="767" spans="1:3">
      <c r="A767" s="1">
        <v>766</v>
      </c>
      <c r="B767" s="12">
        <v>0.28270047903060902</v>
      </c>
      <c r="C767" s="12" t="s">
        <v>180</v>
      </c>
    </row>
    <row r="768" spans="1:3">
      <c r="A768" s="1">
        <v>767</v>
      </c>
      <c r="B768" s="12">
        <v>0.13188835978507901</v>
      </c>
      <c r="C768" s="12" t="s">
        <v>4</v>
      </c>
    </row>
    <row r="769" spans="1:3">
      <c r="A769" s="1">
        <v>768</v>
      </c>
      <c r="B769" s="12">
        <v>0.48824149370193398</v>
      </c>
      <c r="C769" s="12" t="s">
        <v>180</v>
      </c>
    </row>
    <row r="770" spans="1:3">
      <c r="A770" s="1">
        <v>769</v>
      </c>
      <c r="B770" s="12">
        <v>3.5546608269214602E-2</v>
      </c>
      <c r="C770" s="12" t="s">
        <v>180</v>
      </c>
    </row>
    <row r="771" spans="1:3">
      <c r="A771" s="1">
        <v>770</v>
      </c>
      <c r="B771" s="12">
        <v>0.76062554121017401</v>
      </c>
      <c r="C771" s="12" t="s">
        <v>4</v>
      </c>
    </row>
    <row r="772" spans="1:3">
      <c r="A772" s="1">
        <v>771</v>
      </c>
      <c r="B772" s="12">
        <v>0.42352324724197299</v>
      </c>
      <c r="C772" s="12" t="s">
        <v>4</v>
      </c>
    </row>
    <row r="773" spans="1:3">
      <c r="A773" s="1">
        <v>772</v>
      </c>
      <c r="B773" s="12">
        <v>0.901960790157318</v>
      </c>
      <c r="C773" s="12" t="s">
        <v>4</v>
      </c>
    </row>
    <row r="774" spans="1:3">
      <c r="A774" s="1">
        <v>773</v>
      </c>
      <c r="B774" s="12">
        <v>0.137043923139572</v>
      </c>
      <c r="C774" s="12" t="s">
        <v>180</v>
      </c>
    </row>
    <row r="775" spans="1:3">
      <c r="A775" s="1">
        <v>774</v>
      </c>
      <c r="B775" s="12">
        <v>0.283058911561965</v>
      </c>
      <c r="C775" s="12" t="s">
        <v>180</v>
      </c>
    </row>
    <row r="776" spans="1:3">
      <c r="A776" s="1">
        <v>775</v>
      </c>
      <c r="B776" s="12">
        <v>0.65879911184310902</v>
      </c>
      <c r="C776" s="12" t="s">
        <v>180</v>
      </c>
    </row>
    <row r="777" spans="1:3">
      <c r="A777" s="1">
        <v>776</v>
      </c>
      <c r="B777" s="12">
        <v>5.6681971997022601E-2</v>
      </c>
      <c r="C777" s="12" t="s">
        <v>180</v>
      </c>
    </row>
    <row r="778" spans="1:3">
      <c r="A778" s="1">
        <v>777</v>
      </c>
      <c r="B778" s="12">
        <v>0.90786015987396196</v>
      </c>
      <c r="C778" s="12" t="s">
        <v>4</v>
      </c>
    </row>
    <row r="779" spans="1:3">
      <c r="A779" s="1">
        <v>778</v>
      </c>
      <c r="B779" s="12">
        <v>0.18148839473724299</v>
      </c>
      <c r="C779" s="12" t="s">
        <v>180</v>
      </c>
    </row>
    <row r="780" spans="1:3">
      <c r="A780" s="1">
        <v>779</v>
      </c>
      <c r="B780" s="12">
        <v>0.97514027357101396</v>
      </c>
      <c r="C780" s="12" t="s">
        <v>4</v>
      </c>
    </row>
    <row r="781" spans="1:3">
      <c r="A781" s="1">
        <v>780</v>
      </c>
      <c r="B781" s="12">
        <v>0.16690260171890201</v>
      </c>
      <c r="C781" s="12" t="s">
        <v>180</v>
      </c>
    </row>
    <row r="782" spans="1:3">
      <c r="A782" s="1">
        <v>781</v>
      </c>
      <c r="B782" s="12">
        <v>0.68209075927734297</v>
      </c>
      <c r="C782" s="12" t="s">
        <v>4</v>
      </c>
    </row>
    <row r="783" spans="1:3">
      <c r="A783" s="1">
        <v>782</v>
      </c>
      <c r="B783" s="12">
        <v>0.56041300296783403</v>
      </c>
      <c r="C783" s="12" t="s">
        <v>4</v>
      </c>
    </row>
    <row r="784" spans="1:3">
      <c r="A784" s="1">
        <v>783</v>
      </c>
      <c r="B784" s="12">
        <v>0.89758551120758001</v>
      </c>
      <c r="C784" s="12" t="s">
        <v>4</v>
      </c>
    </row>
    <row r="785" spans="1:3">
      <c r="A785" s="1">
        <v>784</v>
      </c>
      <c r="B785" s="12">
        <v>0.15281139314174599</v>
      </c>
      <c r="C785" s="12" t="s">
        <v>180</v>
      </c>
    </row>
    <row r="786" spans="1:3">
      <c r="A786" s="1">
        <v>785</v>
      </c>
      <c r="B786" s="12">
        <v>0.16411994397640201</v>
      </c>
      <c r="C786" s="12" t="s">
        <v>4</v>
      </c>
    </row>
    <row r="787" spans="1:3">
      <c r="A787" s="1">
        <v>786</v>
      </c>
      <c r="B787" s="12">
        <v>0.85416841506957997</v>
      </c>
      <c r="C787" s="12" t="s">
        <v>4</v>
      </c>
    </row>
    <row r="788" spans="1:3">
      <c r="A788" s="1">
        <v>787</v>
      </c>
      <c r="B788" s="12">
        <v>0.13717371225357</v>
      </c>
      <c r="C788" s="12" t="s">
        <v>4</v>
      </c>
    </row>
    <row r="789" spans="1:3">
      <c r="A789" s="1">
        <v>788</v>
      </c>
      <c r="B789" s="12">
        <v>0.22146093845367401</v>
      </c>
      <c r="C789" s="12" t="s">
        <v>180</v>
      </c>
    </row>
    <row r="790" spans="1:3">
      <c r="A790" s="1">
        <v>789</v>
      </c>
      <c r="B790" s="12">
        <v>0.28676006197929299</v>
      </c>
      <c r="C790" s="12" t="s">
        <v>180</v>
      </c>
    </row>
    <row r="791" spans="1:3">
      <c r="A791" s="1">
        <v>790</v>
      </c>
      <c r="B791" s="12">
        <v>0.13922554254531799</v>
      </c>
      <c r="C791" s="12" t="s">
        <v>180</v>
      </c>
    </row>
    <row r="792" spans="1:3">
      <c r="A792" s="1">
        <v>791</v>
      </c>
      <c r="B792" s="12">
        <v>0.98684757947921697</v>
      </c>
      <c r="C792" s="12" t="s">
        <v>4</v>
      </c>
    </row>
    <row r="793" spans="1:3">
      <c r="A793" s="1">
        <v>792</v>
      </c>
      <c r="B793" s="12">
        <v>0.10980452597141201</v>
      </c>
      <c r="C793" s="12" t="s">
        <v>180</v>
      </c>
    </row>
    <row r="794" spans="1:3">
      <c r="A794" s="1">
        <v>793</v>
      </c>
      <c r="B794" s="12">
        <v>0.98318278789520197</v>
      </c>
      <c r="C794" s="12" t="s">
        <v>4</v>
      </c>
    </row>
    <row r="795" spans="1:3">
      <c r="A795" s="1">
        <v>794</v>
      </c>
      <c r="B795" s="12">
        <v>0.59856957197189298</v>
      </c>
      <c r="C795" s="12" t="s">
        <v>4</v>
      </c>
    </row>
    <row r="796" spans="1:3">
      <c r="A796" s="1">
        <v>795</v>
      </c>
      <c r="B796" s="12">
        <v>0.461773872375488</v>
      </c>
      <c r="C796" s="12" t="s">
        <v>180</v>
      </c>
    </row>
    <row r="797" spans="1:3">
      <c r="A797" s="1">
        <v>796</v>
      </c>
      <c r="B797" s="12">
        <v>0.95327508449554399</v>
      </c>
      <c r="C797" s="12" t="s">
        <v>4</v>
      </c>
    </row>
    <row r="798" spans="1:3">
      <c r="A798" s="1">
        <v>797</v>
      </c>
      <c r="B798" s="12">
        <v>0.92452913522720304</v>
      </c>
      <c r="C798" s="12" t="s">
        <v>4</v>
      </c>
    </row>
    <row r="799" spans="1:3">
      <c r="A799" s="1">
        <v>798</v>
      </c>
      <c r="B799" s="12">
        <v>0.85493522882461503</v>
      </c>
      <c r="C799" s="12" t="s">
        <v>4</v>
      </c>
    </row>
    <row r="800" spans="1:3">
      <c r="A800" s="1">
        <v>799</v>
      </c>
      <c r="B800" s="12">
        <v>0.201019942760467</v>
      </c>
      <c r="C800" s="12" t="s">
        <v>4</v>
      </c>
    </row>
    <row r="801" spans="1:3">
      <c r="A801" s="1">
        <v>800</v>
      </c>
      <c r="B801" s="12">
        <v>0.98819422721862704</v>
      </c>
      <c r="C801" s="12" t="s">
        <v>4</v>
      </c>
    </row>
    <row r="802" spans="1:3">
      <c r="A802" s="1">
        <v>801</v>
      </c>
      <c r="B802" s="12">
        <v>0.35915133357048001</v>
      </c>
      <c r="C802" s="12" t="s">
        <v>180</v>
      </c>
    </row>
    <row r="803" spans="1:3">
      <c r="A803" s="1">
        <v>802</v>
      </c>
      <c r="B803" s="12">
        <v>0.42929938435554499</v>
      </c>
      <c r="C803" s="12" t="s">
        <v>180</v>
      </c>
    </row>
    <row r="804" spans="1:3">
      <c r="A804" s="1">
        <v>803</v>
      </c>
      <c r="B804" s="12">
        <v>9.3791030347347204E-2</v>
      </c>
      <c r="C804" s="12" t="s">
        <v>180</v>
      </c>
    </row>
    <row r="805" spans="1:3">
      <c r="A805" s="1">
        <v>804</v>
      </c>
      <c r="B805" s="12">
        <v>0.42915084958076399</v>
      </c>
      <c r="C805" s="12" t="s">
        <v>4</v>
      </c>
    </row>
    <row r="806" spans="1:3">
      <c r="A806" s="1">
        <v>805</v>
      </c>
      <c r="B806" s="12">
        <v>0.111288137733936</v>
      </c>
      <c r="C806" s="12" t="s">
        <v>180</v>
      </c>
    </row>
    <row r="807" spans="1:3">
      <c r="A807" s="1">
        <v>806</v>
      </c>
      <c r="B807" s="12">
        <v>0.26368051767349199</v>
      </c>
      <c r="C807" s="12" t="s">
        <v>180</v>
      </c>
    </row>
    <row r="808" spans="1:3">
      <c r="A808" s="1">
        <v>807</v>
      </c>
      <c r="B808" s="12">
        <v>0.55390018224716098</v>
      </c>
      <c r="C808" s="12" t="s">
        <v>4</v>
      </c>
    </row>
    <row r="809" spans="1:3">
      <c r="A809" s="1">
        <v>808</v>
      </c>
      <c r="B809" s="12">
        <v>0.94889545440673795</v>
      </c>
      <c r="C809" s="12" t="s">
        <v>4</v>
      </c>
    </row>
    <row r="810" spans="1:3">
      <c r="A810" s="1">
        <v>809</v>
      </c>
      <c r="B810" s="12">
        <v>0.974795341491699</v>
      </c>
      <c r="C810" s="12" t="s">
        <v>4</v>
      </c>
    </row>
    <row r="811" spans="1:3">
      <c r="A811" s="1">
        <v>810</v>
      </c>
      <c r="B811" s="12">
        <v>0.98875254392623901</v>
      </c>
      <c r="C811" s="12" t="s">
        <v>4</v>
      </c>
    </row>
    <row r="812" spans="1:3">
      <c r="A812" s="1">
        <v>811</v>
      </c>
      <c r="B812" s="12">
        <v>0.20906537771224901</v>
      </c>
      <c r="C812" s="12" t="s">
        <v>180</v>
      </c>
    </row>
    <row r="813" spans="1:3">
      <c r="A813" s="1">
        <v>812</v>
      </c>
      <c r="B813" s="12">
        <v>0.24291072785854301</v>
      </c>
      <c r="C813" s="12" t="s">
        <v>180</v>
      </c>
    </row>
    <row r="814" spans="1:3">
      <c r="A814" s="1">
        <v>813</v>
      </c>
      <c r="B814" s="12">
        <v>0.96813207864761297</v>
      </c>
      <c r="C814" s="12" t="s">
        <v>4</v>
      </c>
    </row>
    <row r="815" spans="1:3">
      <c r="A815" s="1">
        <v>814</v>
      </c>
      <c r="B815" s="12">
        <v>0.36366945505142201</v>
      </c>
      <c r="C815" s="12" t="s">
        <v>180</v>
      </c>
    </row>
    <row r="816" spans="1:3">
      <c r="A816" s="1">
        <v>815</v>
      </c>
      <c r="B816" s="12">
        <v>0.158068001270294</v>
      </c>
      <c r="C816" s="12" t="s">
        <v>4</v>
      </c>
    </row>
    <row r="817" spans="1:3">
      <c r="A817" s="1">
        <v>816</v>
      </c>
      <c r="B817" s="12">
        <v>0.11568672209978099</v>
      </c>
      <c r="C817" s="12" t="s">
        <v>180</v>
      </c>
    </row>
    <row r="818" spans="1:3">
      <c r="A818" s="1">
        <v>817</v>
      </c>
      <c r="B818" s="12">
        <v>0.53958737850189198</v>
      </c>
      <c r="C818" s="12" t="s">
        <v>4</v>
      </c>
    </row>
    <row r="819" spans="1:3">
      <c r="A819" s="1">
        <v>818</v>
      </c>
      <c r="B819" s="12">
        <v>0.16919729113578699</v>
      </c>
      <c r="C819" s="12" t="s">
        <v>180</v>
      </c>
    </row>
    <row r="820" spans="1:3">
      <c r="A820" s="1">
        <v>819</v>
      </c>
      <c r="B820" s="12">
        <v>0.99134892225265503</v>
      </c>
      <c r="C820" s="12" t="s">
        <v>4</v>
      </c>
    </row>
    <row r="821" spans="1:3">
      <c r="A821" s="1">
        <v>820</v>
      </c>
      <c r="B821" s="12">
        <v>0.99939453601837103</v>
      </c>
      <c r="C821" s="12" t="s">
        <v>4</v>
      </c>
    </row>
    <row r="822" spans="1:3">
      <c r="A822" s="1">
        <v>821</v>
      </c>
      <c r="B822" s="12">
        <v>0.78439813852310103</v>
      </c>
      <c r="C822" s="12" t="s">
        <v>4</v>
      </c>
    </row>
    <row r="823" spans="1:3">
      <c r="A823" s="1">
        <v>822</v>
      </c>
      <c r="B823" s="12">
        <v>0.91336566209793002</v>
      </c>
      <c r="C823" s="12" t="s">
        <v>4</v>
      </c>
    </row>
    <row r="824" spans="1:3">
      <c r="A824" s="1">
        <v>823</v>
      </c>
      <c r="B824" s="12">
        <v>0.94352912902831998</v>
      </c>
      <c r="C824" s="12" t="s">
        <v>4</v>
      </c>
    </row>
    <row r="825" spans="1:3">
      <c r="A825" s="1">
        <v>824</v>
      </c>
      <c r="B825" s="12">
        <v>0.71728259325027399</v>
      </c>
      <c r="C825" s="12" t="s">
        <v>4</v>
      </c>
    </row>
    <row r="826" spans="1:3">
      <c r="A826" s="1">
        <v>825</v>
      </c>
      <c r="B826" s="12">
        <v>0.48479714989662098</v>
      </c>
      <c r="C826" s="12" t="s">
        <v>4</v>
      </c>
    </row>
    <row r="827" spans="1:3">
      <c r="A827" s="1">
        <v>826</v>
      </c>
      <c r="B827" s="12">
        <v>0.397606492042541</v>
      </c>
      <c r="C827" s="12" t="s">
        <v>180</v>
      </c>
    </row>
    <row r="828" spans="1:3">
      <c r="A828" s="1">
        <v>827</v>
      </c>
      <c r="B828" s="12">
        <v>0.70995748043060303</v>
      </c>
      <c r="C828" s="12" t="s">
        <v>4</v>
      </c>
    </row>
    <row r="829" spans="1:3">
      <c r="A829" s="1">
        <v>828</v>
      </c>
      <c r="B829" s="12">
        <v>0.852220058441162</v>
      </c>
      <c r="C829" s="12" t="s">
        <v>4</v>
      </c>
    </row>
    <row r="830" spans="1:3">
      <c r="A830" s="1">
        <v>829</v>
      </c>
      <c r="B830" s="12">
        <v>0.88295865058898904</v>
      </c>
      <c r="C830" s="12" t="s">
        <v>4</v>
      </c>
    </row>
    <row r="831" spans="1:3">
      <c r="A831" s="1">
        <v>830</v>
      </c>
      <c r="B831" s="12">
        <v>0.98627972602844205</v>
      </c>
      <c r="C831" s="12" t="s">
        <v>4</v>
      </c>
    </row>
    <row r="832" spans="1:3">
      <c r="A832" s="1">
        <v>831</v>
      </c>
      <c r="B832" s="12">
        <v>0.177438333630561</v>
      </c>
      <c r="C832" s="12" t="s">
        <v>180</v>
      </c>
    </row>
    <row r="833" spans="1:3">
      <c r="A833" s="1">
        <v>832</v>
      </c>
      <c r="B833" s="12">
        <v>0.995017349720001</v>
      </c>
      <c r="C833" s="12" t="s">
        <v>4</v>
      </c>
    </row>
    <row r="834" spans="1:3">
      <c r="A834" s="1">
        <v>833</v>
      </c>
      <c r="B834" s="12">
        <v>0.219232156872749</v>
      </c>
      <c r="C834" s="12" t="s">
        <v>4</v>
      </c>
    </row>
    <row r="835" spans="1:3">
      <c r="A835" s="1">
        <v>834</v>
      </c>
      <c r="B835" s="12">
        <v>0.18998347222805001</v>
      </c>
      <c r="C835" s="12" t="s">
        <v>180</v>
      </c>
    </row>
    <row r="836" spans="1:3">
      <c r="A836" s="1">
        <v>835</v>
      </c>
      <c r="B836" s="12">
        <v>0.99785357713699296</v>
      </c>
      <c r="C836" s="12" t="s">
        <v>4</v>
      </c>
    </row>
    <row r="837" spans="1:3">
      <c r="A837" s="1">
        <v>836</v>
      </c>
      <c r="B837" s="12">
        <v>0.97831624746322599</v>
      </c>
      <c r="C837" s="12" t="s">
        <v>180</v>
      </c>
    </row>
    <row r="838" spans="1:3">
      <c r="A838" s="1">
        <v>837</v>
      </c>
      <c r="B838" s="12">
        <v>0.79920494556427002</v>
      </c>
      <c r="C838" s="12" t="s">
        <v>4</v>
      </c>
    </row>
    <row r="839" spans="1:3">
      <c r="A839" s="1">
        <v>838</v>
      </c>
      <c r="B839" s="12">
        <v>0.91089206933975198</v>
      </c>
      <c r="C839" s="12" t="s">
        <v>4</v>
      </c>
    </row>
    <row r="840" spans="1:3">
      <c r="A840" s="1">
        <v>839</v>
      </c>
      <c r="B840" s="12">
        <v>0.99593520164489702</v>
      </c>
      <c r="C840" s="12" t="s">
        <v>4</v>
      </c>
    </row>
    <row r="841" spans="1:3">
      <c r="A841" s="1">
        <v>840</v>
      </c>
      <c r="B841" s="12">
        <v>0.99702507257461503</v>
      </c>
      <c r="C841" s="12" t="s">
        <v>4</v>
      </c>
    </row>
    <row r="842" spans="1:3">
      <c r="A842" s="1">
        <v>841</v>
      </c>
      <c r="B842" s="12">
        <v>9.6357233822345706E-2</v>
      </c>
      <c r="C842" s="12" t="s">
        <v>180</v>
      </c>
    </row>
    <row r="843" spans="1:3">
      <c r="A843" s="1">
        <v>842</v>
      </c>
      <c r="B843" s="12">
        <v>0.21242000162601399</v>
      </c>
      <c r="C843" s="12" t="s">
        <v>4</v>
      </c>
    </row>
    <row r="844" spans="1:3">
      <c r="A844" s="1">
        <v>843</v>
      </c>
      <c r="B844" s="12">
        <v>0.95936542749404896</v>
      </c>
      <c r="C844" s="12" t="s">
        <v>4</v>
      </c>
    </row>
    <row r="845" spans="1:3">
      <c r="A845" s="1">
        <v>844</v>
      </c>
      <c r="B845" s="12">
        <v>0.40594673156738198</v>
      </c>
      <c r="C845" s="12" t="s">
        <v>180</v>
      </c>
    </row>
    <row r="846" spans="1:3">
      <c r="A846" s="1">
        <v>845</v>
      </c>
      <c r="B846" s="12">
        <v>0.30564203858375499</v>
      </c>
      <c r="C846" s="12" t="s">
        <v>180</v>
      </c>
    </row>
    <row r="847" spans="1:3">
      <c r="A847" s="1">
        <v>846</v>
      </c>
      <c r="B847" s="12">
        <v>4.7433603554964003E-2</v>
      </c>
      <c r="C847" s="12" t="s">
        <v>180</v>
      </c>
    </row>
    <row r="848" spans="1:3">
      <c r="A848" s="1">
        <v>847</v>
      </c>
      <c r="B848" s="12">
        <v>0.99617445468902499</v>
      </c>
      <c r="C848" s="12" t="s">
        <v>4</v>
      </c>
    </row>
    <row r="849" spans="1:3">
      <c r="A849" s="1">
        <v>848</v>
      </c>
      <c r="B849" s="12">
        <v>0.35485395789146401</v>
      </c>
      <c r="C849" s="12" t="s">
        <v>4</v>
      </c>
    </row>
    <row r="850" spans="1:3">
      <c r="A850" s="1">
        <v>849</v>
      </c>
      <c r="B850" s="12">
        <v>8.6933463811874306E-2</v>
      </c>
      <c r="C850" s="12" t="s">
        <v>180</v>
      </c>
    </row>
    <row r="851" spans="1:3">
      <c r="A851" s="1">
        <v>850</v>
      </c>
      <c r="B851" s="12">
        <v>0.292866200208663</v>
      </c>
      <c r="C851" s="12" t="s">
        <v>180</v>
      </c>
    </row>
    <row r="852" spans="1:3">
      <c r="A852" s="1">
        <v>851</v>
      </c>
      <c r="B852" s="12">
        <v>0.31423971056938099</v>
      </c>
      <c r="C852" s="12" t="s">
        <v>4</v>
      </c>
    </row>
    <row r="853" spans="1:3">
      <c r="A853" s="1">
        <v>852</v>
      </c>
      <c r="B853" s="12">
        <v>0.84026849269866899</v>
      </c>
      <c r="C853" s="12" t="s">
        <v>4</v>
      </c>
    </row>
  </sheetData>
  <autoFilter ref="A1:C853" xr:uid="{158D04AB-8732-434F-81AD-8CAB69B8BD50}"/>
  <sortState xmlns:xlrd2="http://schemas.microsoft.com/office/spreadsheetml/2017/richdata2" ref="S29:S48">
    <sortCondition ref="S29"/>
  </sortState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A4A0-DE2B-8A4E-8C34-A3AA14362772}">
  <dimension ref="A1:V853"/>
  <sheetViews>
    <sheetView topLeftCell="G26" zoomScale="134" workbookViewId="0">
      <selection activeCell="N28" sqref="N28"/>
    </sheetView>
  </sheetViews>
  <sheetFormatPr baseColWidth="10" defaultRowHeight="16"/>
  <sheetData>
    <row r="1" spans="1:22">
      <c r="A1" s="3" t="s">
        <v>2334</v>
      </c>
      <c r="B1" s="3" t="s">
        <v>1727</v>
      </c>
      <c r="C1" s="3" t="s">
        <v>2424</v>
      </c>
      <c r="H1" t="s">
        <v>2422</v>
      </c>
      <c r="I1" t="s">
        <v>2423</v>
      </c>
    </row>
    <row r="2" spans="1:22">
      <c r="A2" s="1">
        <v>1</v>
      </c>
      <c r="B2" s="1" t="s">
        <v>4</v>
      </c>
      <c r="C2" s="1">
        <v>-1.98670323355827E-2</v>
      </c>
      <c r="H2">
        <v>-1.9867032E-2</v>
      </c>
      <c r="I2">
        <v>-1.0438048E-2</v>
      </c>
    </row>
    <row r="3" spans="1:22">
      <c r="A3" s="1">
        <v>2</v>
      </c>
      <c r="B3" s="1" t="s">
        <v>4</v>
      </c>
      <c r="C3" s="1">
        <v>-1.2834970961279101E-2</v>
      </c>
      <c r="H3">
        <v>-1.2834971000000001E-2</v>
      </c>
      <c r="I3">
        <v>-2.0653782999999998E-2</v>
      </c>
      <c r="K3" t="s">
        <v>2422</v>
      </c>
      <c r="N3" t="s">
        <v>2437</v>
      </c>
      <c r="S3" t="s">
        <v>2423</v>
      </c>
      <c r="V3" t="s">
        <v>2437</v>
      </c>
    </row>
    <row r="4" spans="1:22">
      <c r="A4" s="1">
        <v>3</v>
      </c>
      <c r="B4" s="1" t="s">
        <v>4</v>
      </c>
      <c r="C4" s="1">
        <v>-9.06875585813793E-3</v>
      </c>
      <c r="H4">
        <v>-9.0687560000000007E-3</v>
      </c>
      <c r="I4">
        <v>-2.3326763E-2</v>
      </c>
      <c r="K4" t="s">
        <v>2426</v>
      </c>
      <c r="L4">
        <f>MAX(H2:H721)</f>
        <v>6.1171245999999999E-2</v>
      </c>
      <c r="M4">
        <v>1</v>
      </c>
      <c r="N4">
        <v>-7.8214663000000004E-2</v>
      </c>
      <c r="S4" t="s">
        <v>2426</v>
      </c>
      <c r="T4">
        <f>MAX(I2:I133)</f>
        <v>5.9905899999999998E-2</v>
      </c>
      <c r="U4">
        <v>1</v>
      </c>
      <c r="V4">
        <v>-5.9260452999999998E-2</v>
      </c>
    </row>
    <row r="5" spans="1:22">
      <c r="A5" s="1">
        <v>4</v>
      </c>
      <c r="B5" s="1" t="s">
        <v>4</v>
      </c>
      <c r="C5" s="1">
        <v>-3.98615789611085E-2</v>
      </c>
      <c r="H5">
        <v>-3.9861579000000001E-2</v>
      </c>
      <c r="I5">
        <v>2.6878214000000001E-2</v>
      </c>
      <c r="K5" t="s">
        <v>2428</v>
      </c>
      <c r="L5">
        <f>MIN(H2:H721)</f>
        <v>-7.8214663000000004E-2</v>
      </c>
      <c r="M5">
        <v>2</v>
      </c>
      <c r="N5">
        <f>N4+L$9</f>
        <v>-7.0878562526315789E-2</v>
      </c>
      <c r="S5" t="s">
        <v>2428</v>
      </c>
      <c r="T5">
        <f>MIN(I2:I133)</f>
        <v>-5.9260452999999998E-2</v>
      </c>
      <c r="U5">
        <v>2</v>
      </c>
      <c r="V5">
        <f>V4+T$9</f>
        <v>-5.2988539684210523E-2</v>
      </c>
    </row>
    <row r="6" spans="1:22">
      <c r="A6" s="1">
        <v>5</v>
      </c>
      <c r="B6" s="1" t="s">
        <v>4</v>
      </c>
      <c r="C6" s="1">
        <v>-1.83969982169074E-2</v>
      </c>
      <c r="H6">
        <v>-1.8396998000000001E-2</v>
      </c>
      <c r="I6">
        <v>2.8638685000000001E-2</v>
      </c>
      <c r="K6" t="s">
        <v>2430</v>
      </c>
      <c r="L6">
        <f>AVERAGE(H2:H721)</f>
        <v>1.3428884027777788E-3</v>
      </c>
      <c r="M6">
        <v>3</v>
      </c>
      <c r="N6">
        <f t="shared" ref="N6:N23" si="0">N5+L$9</f>
        <v>-6.3542462052631574E-2</v>
      </c>
      <c r="S6" t="s">
        <v>2430</v>
      </c>
      <c r="T6">
        <f>AVERAGE(I2:I133)</f>
        <v>6.997906363636362E-4</v>
      </c>
      <c r="U6">
        <v>3</v>
      </c>
      <c r="V6">
        <f t="shared" ref="V6:V23" si="1">V5+T$9</f>
        <v>-4.6716626368421048E-2</v>
      </c>
    </row>
    <row r="7" spans="1:22">
      <c r="A7" s="1">
        <v>6</v>
      </c>
      <c r="B7" s="1" t="s">
        <v>4</v>
      </c>
      <c r="C7" s="1">
        <v>3.1722287843528797E-2</v>
      </c>
      <c r="H7">
        <v>3.1722288000000001E-2</v>
      </c>
      <c r="I7">
        <v>-5.9260452999999998E-2</v>
      </c>
      <c r="K7" t="s">
        <v>2432</v>
      </c>
      <c r="L7">
        <f>_xlfn.STDEV.S(H2:H721)</f>
        <v>2.0693046738397631E-2</v>
      </c>
      <c r="M7">
        <v>4</v>
      </c>
      <c r="N7">
        <f t="shared" si="0"/>
        <v>-5.6206361578947366E-2</v>
      </c>
      <c r="S7" t="s">
        <v>2432</v>
      </c>
      <c r="T7">
        <f>_xlfn.STDEV.S(I2:I133)</f>
        <v>2.2686038107188711E-2</v>
      </c>
      <c r="U7">
        <v>4</v>
      </c>
      <c r="V7">
        <f t="shared" si="1"/>
        <v>-4.0444713052631573E-2</v>
      </c>
    </row>
    <row r="8" spans="1:22">
      <c r="A8" s="1">
        <v>7</v>
      </c>
      <c r="B8" s="1" t="s">
        <v>4</v>
      </c>
      <c r="C8" s="1">
        <v>1.43140618632031E-3</v>
      </c>
      <c r="H8">
        <v>1.4314060000000001E-3</v>
      </c>
      <c r="I8" s="26">
        <v>2.9499999999999999E-5</v>
      </c>
      <c r="K8" t="s">
        <v>2436</v>
      </c>
      <c r="L8">
        <v>20</v>
      </c>
      <c r="M8">
        <v>5</v>
      </c>
      <c r="N8">
        <f t="shared" si="0"/>
        <v>-4.8870261105263157E-2</v>
      </c>
      <c r="S8" t="s">
        <v>2436</v>
      </c>
      <c r="T8">
        <v>20</v>
      </c>
      <c r="U8">
        <v>5</v>
      </c>
      <c r="V8">
        <f t="shared" si="1"/>
        <v>-3.4172799736842098E-2</v>
      </c>
    </row>
    <row r="9" spans="1:22">
      <c r="A9" s="1">
        <v>8</v>
      </c>
      <c r="B9" s="1" t="s">
        <v>4</v>
      </c>
      <c r="C9" s="1">
        <v>3.6651894407641203E-2</v>
      </c>
      <c r="H9">
        <v>3.6651893999999997E-2</v>
      </c>
      <c r="I9">
        <v>-8.3264110000000006E-3</v>
      </c>
      <c r="K9" t="s">
        <v>2434</v>
      </c>
      <c r="L9">
        <f>(L4-L5)/19</f>
        <v>7.3361004736842107E-3</v>
      </c>
      <c r="M9">
        <v>6</v>
      </c>
      <c r="N9">
        <f t="shared" si="0"/>
        <v>-4.1534160631578949E-2</v>
      </c>
      <c r="S9" t="s">
        <v>2434</v>
      </c>
      <c r="T9">
        <f>(T4-T5)/19</f>
        <v>6.2719133157894741E-3</v>
      </c>
      <c r="U9">
        <v>6</v>
      </c>
      <c r="V9">
        <f t="shared" si="1"/>
        <v>-2.7900886421052623E-2</v>
      </c>
    </row>
    <row r="10" spans="1:22">
      <c r="A10" s="1">
        <v>9</v>
      </c>
      <c r="B10" s="1" t="s">
        <v>4</v>
      </c>
      <c r="C10" s="1">
        <v>-9.6513906428157201E-3</v>
      </c>
      <c r="H10">
        <v>-9.6513910000000005E-3</v>
      </c>
      <c r="I10">
        <v>8.4348930000000006E-3</v>
      </c>
      <c r="M10">
        <v>7</v>
      </c>
      <c r="N10">
        <f t="shared" si="0"/>
        <v>-3.4198060157894741E-2</v>
      </c>
      <c r="U10">
        <v>7</v>
      </c>
      <c r="V10">
        <f t="shared" si="1"/>
        <v>-2.1628973105263148E-2</v>
      </c>
    </row>
    <row r="11" spans="1:22">
      <c r="A11" s="1">
        <v>10</v>
      </c>
      <c r="B11" s="1" t="s">
        <v>4</v>
      </c>
      <c r="C11" s="1">
        <v>4.3267394313772902E-3</v>
      </c>
      <c r="H11">
        <v>4.3267389999999996E-3</v>
      </c>
      <c r="I11">
        <v>3.2018798000000001E-2</v>
      </c>
      <c r="M11">
        <v>8</v>
      </c>
      <c r="N11">
        <f t="shared" si="0"/>
        <v>-2.686195968421053E-2</v>
      </c>
      <c r="U11">
        <v>8</v>
      </c>
      <c r="V11">
        <f t="shared" si="1"/>
        <v>-1.5357059789473673E-2</v>
      </c>
    </row>
    <row r="12" spans="1:22">
      <c r="A12" s="1">
        <v>11</v>
      </c>
      <c r="B12" s="1" t="s">
        <v>4</v>
      </c>
      <c r="C12" s="1">
        <v>-1.68375004250815E-2</v>
      </c>
      <c r="H12">
        <v>-1.6837499999999998E-2</v>
      </c>
      <c r="I12">
        <v>-1.3268967E-2</v>
      </c>
      <c r="M12">
        <v>9</v>
      </c>
      <c r="N12">
        <f t="shared" si="0"/>
        <v>-1.9525859210526318E-2</v>
      </c>
      <c r="U12">
        <v>9</v>
      </c>
      <c r="V12">
        <f t="shared" si="1"/>
        <v>-9.0851464736841983E-3</v>
      </c>
    </row>
    <row r="13" spans="1:22">
      <c r="A13" s="1">
        <v>12</v>
      </c>
      <c r="B13" s="1" t="s">
        <v>4</v>
      </c>
      <c r="C13" s="1">
        <v>-5.6708616062763799E-3</v>
      </c>
      <c r="H13">
        <v>-5.6708619999999996E-3</v>
      </c>
      <c r="I13">
        <v>-2.4929712999999999E-2</v>
      </c>
      <c r="M13">
        <v>10</v>
      </c>
      <c r="N13">
        <f t="shared" si="0"/>
        <v>-1.2189758736842107E-2</v>
      </c>
      <c r="U13">
        <v>10</v>
      </c>
      <c r="V13">
        <f t="shared" si="1"/>
        <v>-2.8132331578947243E-3</v>
      </c>
    </row>
    <row r="14" spans="1:22">
      <c r="A14" s="1">
        <v>13</v>
      </c>
      <c r="B14" s="1" t="s">
        <v>4</v>
      </c>
      <c r="C14" s="1">
        <v>1.4390976549826399E-2</v>
      </c>
      <c r="H14">
        <v>1.4390976999999999E-2</v>
      </c>
      <c r="I14">
        <v>9.9035700000000009E-4</v>
      </c>
      <c r="M14">
        <v>11</v>
      </c>
      <c r="N14">
        <f t="shared" si="0"/>
        <v>-4.8536582631578959E-3</v>
      </c>
      <c r="U14">
        <v>11</v>
      </c>
      <c r="V14">
        <f t="shared" si="1"/>
        <v>3.4586801578947498E-3</v>
      </c>
    </row>
    <row r="15" spans="1:22">
      <c r="A15" s="1">
        <v>14</v>
      </c>
      <c r="B15" s="1" t="s">
        <v>4</v>
      </c>
      <c r="C15" s="1">
        <v>9.8547988728903092E-4</v>
      </c>
      <c r="H15">
        <v>9.8547999999999995E-4</v>
      </c>
      <c r="I15">
        <v>-4.9474080000000004E-3</v>
      </c>
      <c r="M15">
        <v>12</v>
      </c>
      <c r="N15">
        <f t="shared" si="0"/>
        <v>2.4824422105263148E-3</v>
      </c>
      <c r="U15">
        <v>12</v>
      </c>
      <c r="V15">
        <f t="shared" si="1"/>
        <v>9.730593473684223E-3</v>
      </c>
    </row>
    <row r="16" spans="1:22">
      <c r="A16" s="1">
        <v>15</v>
      </c>
      <c r="B16" s="1" t="s">
        <v>4</v>
      </c>
      <c r="C16" s="1">
        <v>-1.14794135942872E-2</v>
      </c>
      <c r="H16">
        <v>-1.1479414E-2</v>
      </c>
      <c r="I16">
        <v>-3.8530451E-2</v>
      </c>
      <c r="M16">
        <v>13</v>
      </c>
      <c r="N16">
        <f t="shared" si="0"/>
        <v>9.8185426842105246E-3</v>
      </c>
      <c r="U16">
        <v>13</v>
      </c>
      <c r="V16">
        <f t="shared" si="1"/>
        <v>1.6002506789473698E-2</v>
      </c>
    </row>
    <row r="17" spans="1:22">
      <c r="A17" s="1">
        <v>16</v>
      </c>
      <c r="B17" s="1" t="s">
        <v>4</v>
      </c>
      <c r="C17" s="1">
        <v>-6.5020669637831903E-3</v>
      </c>
      <c r="H17">
        <v>-6.5020670000000003E-3</v>
      </c>
      <c r="I17">
        <v>1.9726105000000001E-2</v>
      </c>
      <c r="M17">
        <v>14</v>
      </c>
      <c r="N17">
        <f t="shared" si="0"/>
        <v>1.7154643157894736E-2</v>
      </c>
      <c r="U17">
        <v>14</v>
      </c>
      <c r="V17">
        <f t="shared" si="1"/>
        <v>2.2274420105263173E-2</v>
      </c>
    </row>
    <row r="18" spans="1:22">
      <c r="A18" s="1">
        <v>17</v>
      </c>
      <c r="B18" s="1" t="s">
        <v>4</v>
      </c>
      <c r="C18" s="1">
        <v>-1.9163659703560001E-2</v>
      </c>
      <c r="H18">
        <v>-1.9163659999999999E-2</v>
      </c>
      <c r="I18">
        <v>7.5960999999999997E-3</v>
      </c>
      <c r="M18">
        <v>15</v>
      </c>
      <c r="N18">
        <f t="shared" si="0"/>
        <v>2.4490743631578948E-2</v>
      </c>
      <c r="U18">
        <v>15</v>
      </c>
      <c r="V18">
        <f t="shared" si="1"/>
        <v>2.8546333421052648E-2</v>
      </c>
    </row>
    <row r="19" spans="1:22">
      <c r="A19" s="1">
        <v>18</v>
      </c>
      <c r="B19" s="1" t="s">
        <v>4</v>
      </c>
      <c r="C19" s="1">
        <v>2.14942978558596E-3</v>
      </c>
      <c r="H19">
        <v>2.1494299999999999E-3</v>
      </c>
      <c r="I19">
        <v>4.14869E-3</v>
      </c>
      <c r="M19">
        <v>16</v>
      </c>
      <c r="N19">
        <f t="shared" si="0"/>
        <v>3.1826844105263159E-2</v>
      </c>
      <c r="U19">
        <v>16</v>
      </c>
      <c r="V19">
        <f t="shared" si="1"/>
        <v>3.4818246736842119E-2</v>
      </c>
    </row>
    <row r="20" spans="1:22">
      <c r="A20" s="1">
        <v>19</v>
      </c>
      <c r="B20" s="1" t="s">
        <v>4</v>
      </c>
      <c r="C20" s="1">
        <v>-1.7562112183050201E-2</v>
      </c>
      <c r="H20">
        <v>-1.7562112000000001E-2</v>
      </c>
      <c r="I20">
        <v>-1.9409137E-2</v>
      </c>
      <c r="M20">
        <v>17</v>
      </c>
      <c r="N20">
        <f t="shared" si="0"/>
        <v>3.9162944578947367E-2</v>
      </c>
      <c r="U20">
        <v>17</v>
      </c>
      <c r="V20">
        <f t="shared" si="1"/>
        <v>4.1090160052631594E-2</v>
      </c>
    </row>
    <row r="21" spans="1:22">
      <c r="A21" s="1">
        <v>20</v>
      </c>
      <c r="B21" s="1" t="s">
        <v>4</v>
      </c>
      <c r="C21" s="1">
        <v>8.1658027068840493E-3</v>
      </c>
      <c r="H21">
        <v>8.1658029999999993E-3</v>
      </c>
      <c r="I21">
        <v>-2.184875E-2</v>
      </c>
      <c r="M21">
        <v>18</v>
      </c>
      <c r="N21">
        <f t="shared" si="0"/>
        <v>4.6499045052631575E-2</v>
      </c>
      <c r="U21">
        <v>18</v>
      </c>
      <c r="V21">
        <f t="shared" si="1"/>
        <v>4.7362073368421069E-2</v>
      </c>
    </row>
    <row r="22" spans="1:22">
      <c r="A22" s="1">
        <v>21</v>
      </c>
      <c r="B22" s="1" t="s">
        <v>4</v>
      </c>
      <c r="C22" s="1">
        <v>-5.9042653517522503E-3</v>
      </c>
      <c r="H22">
        <v>-5.9042649999999997E-3</v>
      </c>
      <c r="I22">
        <v>-1.1800598000000001E-2</v>
      </c>
      <c r="M22">
        <v>19</v>
      </c>
      <c r="N22">
        <f t="shared" si="0"/>
        <v>5.3835145526315784E-2</v>
      </c>
      <c r="U22">
        <v>19</v>
      </c>
      <c r="V22">
        <f t="shared" si="1"/>
        <v>5.3633986684210544E-2</v>
      </c>
    </row>
    <row r="23" spans="1:22">
      <c r="A23" s="1">
        <v>22</v>
      </c>
      <c r="B23" s="1" t="s">
        <v>4</v>
      </c>
      <c r="C23" s="1">
        <v>1.51035591449186E-2</v>
      </c>
      <c r="H23">
        <v>1.5103559000000001E-2</v>
      </c>
      <c r="I23">
        <v>-2.9676659000000001E-2</v>
      </c>
      <c r="M23">
        <v>20</v>
      </c>
      <c r="N23">
        <f t="shared" si="0"/>
        <v>6.1171245999999992E-2</v>
      </c>
      <c r="U23">
        <v>20</v>
      </c>
      <c r="V23">
        <f t="shared" si="1"/>
        <v>5.9905900000000019E-2</v>
      </c>
    </row>
    <row r="24" spans="1:22">
      <c r="A24" s="1">
        <v>23</v>
      </c>
      <c r="B24" s="1" t="s">
        <v>4</v>
      </c>
      <c r="C24" s="1">
        <v>9.7502497125745401E-3</v>
      </c>
      <c r="H24">
        <v>9.7502500000000002E-3</v>
      </c>
      <c r="I24">
        <v>-1.8811182999999999E-2</v>
      </c>
    </row>
    <row r="25" spans="1:22">
      <c r="A25" s="1">
        <v>24</v>
      </c>
      <c r="B25" s="1" t="s">
        <v>4</v>
      </c>
      <c r="C25" s="1">
        <v>5.2074330650382798E-2</v>
      </c>
      <c r="H25">
        <v>5.2074331000000001E-2</v>
      </c>
      <c r="I25">
        <v>-4.3361329999999998E-3</v>
      </c>
    </row>
    <row r="26" spans="1:22" ht="17" thickBot="1">
      <c r="A26" s="1">
        <v>25</v>
      </c>
      <c r="B26" s="1" t="s">
        <v>4</v>
      </c>
      <c r="C26" s="1">
        <v>-1.59104842184376E-2</v>
      </c>
      <c r="H26">
        <v>-1.5910483999999999E-2</v>
      </c>
      <c r="I26">
        <v>5.1316257999999997E-2</v>
      </c>
    </row>
    <row r="27" spans="1:22">
      <c r="A27" s="1">
        <v>26</v>
      </c>
      <c r="B27" s="1" t="s">
        <v>4</v>
      </c>
      <c r="C27" s="1">
        <v>-1.99230579404314E-2</v>
      </c>
      <c r="H27">
        <v>-1.9923058E-2</v>
      </c>
      <c r="I27">
        <v>2.6636351999999999E-2</v>
      </c>
      <c r="L27" s="28" t="s">
        <v>2463</v>
      </c>
      <c r="M27" s="28" t="s">
        <v>2464</v>
      </c>
      <c r="N27" t="s">
        <v>2443</v>
      </c>
      <c r="T27" s="28" t="s">
        <v>2463</v>
      </c>
      <c r="U27" s="28" t="s">
        <v>2464</v>
      </c>
      <c r="V27" t="s">
        <v>2444</v>
      </c>
    </row>
    <row r="28" spans="1:22">
      <c r="A28" s="1">
        <v>27</v>
      </c>
      <c r="B28" s="1" t="s">
        <v>4</v>
      </c>
      <c r="C28" s="1">
        <v>-2.6313689382412499E-2</v>
      </c>
      <c r="H28">
        <v>-2.6313689000000001E-2</v>
      </c>
      <c r="I28">
        <v>-1.0204865E-2</v>
      </c>
      <c r="L28">
        <v>-7.8214663000000004E-2</v>
      </c>
      <c r="M28">
        <v>1</v>
      </c>
      <c r="N28">
        <f>_xlfn.NORM.DIST(L28,L$6,L$7,0)</f>
        <v>1.1894808443613163E-2</v>
      </c>
      <c r="T28">
        <v>-5.9260452999999998E-2</v>
      </c>
      <c r="U28">
        <v>1</v>
      </c>
      <c r="V28">
        <f>_xlfn.NORM.DIST(T28,T$6,T$7,0)</f>
        <v>0.53484453356525985</v>
      </c>
    </row>
    <row r="29" spans="1:22">
      <c r="A29" s="1">
        <v>28</v>
      </c>
      <c r="B29" s="1" t="s">
        <v>4</v>
      </c>
      <c r="C29" s="1">
        <v>5.1901236373410597E-3</v>
      </c>
      <c r="H29">
        <v>5.190124E-3</v>
      </c>
      <c r="I29">
        <v>-7.48491E-4</v>
      </c>
      <c r="L29">
        <v>-7.0878562526315789E-2</v>
      </c>
      <c r="M29">
        <v>0</v>
      </c>
      <c r="N29">
        <f t="shared" ref="N29:N47" si="2">_xlfn.NORM.DIST(L29,L$6,L$7,0)</f>
        <v>4.3652733531600631E-2</v>
      </c>
      <c r="T29">
        <v>-5.2988539684210523E-2</v>
      </c>
      <c r="U29">
        <v>0</v>
      </c>
      <c r="V29">
        <f t="shared" ref="V29:V47" si="3">_xlfn.NORM.DIST(T29,T$6,T$7,0)</f>
        <v>1.0689918103410219</v>
      </c>
    </row>
    <row r="30" spans="1:22">
      <c r="A30" s="1">
        <v>29</v>
      </c>
      <c r="B30" s="1" t="s">
        <v>4</v>
      </c>
      <c r="C30" s="1">
        <v>4.7286883882762202E-3</v>
      </c>
      <c r="H30">
        <v>4.728688E-3</v>
      </c>
      <c r="I30">
        <v>-4.5879930000000003E-3</v>
      </c>
      <c r="L30">
        <v>-6.3542462052631574E-2</v>
      </c>
      <c r="M30">
        <v>0</v>
      </c>
      <c r="N30">
        <f t="shared" si="2"/>
        <v>0.14128021877668334</v>
      </c>
      <c r="T30">
        <v>-4.6716626368421048E-2</v>
      </c>
      <c r="U30">
        <v>1</v>
      </c>
      <c r="V30">
        <f t="shared" si="3"/>
        <v>1.9793683484601339</v>
      </c>
    </row>
    <row r="31" spans="1:22">
      <c r="A31" s="1">
        <v>30</v>
      </c>
      <c r="B31" s="1" t="s">
        <v>4</v>
      </c>
      <c r="C31" s="1">
        <v>-1.97054760674575E-3</v>
      </c>
      <c r="H31">
        <v>-1.9705479999999999E-3</v>
      </c>
      <c r="I31">
        <v>1.6567447999999999E-2</v>
      </c>
      <c r="L31">
        <v>-5.6206361578947366E-2</v>
      </c>
      <c r="M31">
        <v>1</v>
      </c>
      <c r="N31">
        <f t="shared" si="2"/>
        <v>0.40324333283138813</v>
      </c>
      <c r="T31">
        <v>-4.0444713052631573E-2</v>
      </c>
      <c r="U31">
        <v>1</v>
      </c>
      <c r="V31">
        <f t="shared" si="3"/>
        <v>3.395347984788128</v>
      </c>
    </row>
    <row r="32" spans="1:22">
      <c r="A32" s="1">
        <v>31</v>
      </c>
      <c r="B32" s="1" t="s">
        <v>4</v>
      </c>
      <c r="C32" s="1">
        <v>2.7576008241652499E-2</v>
      </c>
      <c r="H32">
        <v>2.7576007999999999E-2</v>
      </c>
      <c r="I32">
        <v>-3.7814893000000002E-2</v>
      </c>
      <c r="L32">
        <v>-4.8870261105263157E-2</v>
      </c>
      <c r="M32">
        <v>3</v>
      </c>
      <c r="N32">
        <f t="shared" si="2"/>
        <v>1.0150068070166631</v>
      </c>
      <c r="T32">
        <v>-3.4172799736842098E-2</v>
      </c>
      <c r="U32">
        <v>3</v>
      </c>
      <c r="V32">
        <f t="shared" si="3"/>
        <v>5.3956949395928868</v>
      </c>
    </row>
    <row r="33" spans="1:22">
      <c r="A33" s="1">
        <v>32</v>
      </c>
      <c r="B33" s="1" t="s">
        <v>4</v>
      </c>
      <c r="C33" s="1">
        <v>-1.4327410780738899E-2</v>
      </c>
      <c r="H33">
        <v>-1.4327411E-2</v>
      </c>
      <c r="I33">
        <v>-1.3972406999999999E-2</v>
      </c>
      <c r="L33">
        <v>-4.1534160631578949E-2</v>
      </c>
      <c r="M33">
        <v>4</v>
      </c>
      <c r="N33">
        <f t="shared" si="2"/>
        <v>2.2531320042724379</v>
      </c>
      <c r="T33">
        <v>-2.7900886421052623E-2</v>
      </c>
      <c r="U33">
        <v>3</v>
      </c>
      <c r="V33">
        <f t="shared" si="3"/>
        <v>7.9435733619860054</v>
      </c>
    </row>
    <row r="34" spans="1:22">
      <c r="A34" s="1">
        <v>33</v>
      </c>
      <c r="B34" s="1" t="s">
        <v>4</v>
      </c>
      <c r="C34" s="1">
        <v>-3.1025130392898701E-2</v>
      </c>
      <c r="H34">
        <v>-3.1025130000000001E-2</v>
      </c>
      <c r="I34">
        <v>-1.4080551E-2</v>
      </c>
      <c r="L34">
        <v>-3.4198060157894741E-2</v>
      </c>
      <c r="M34">
        <v>18</v>
      </c>
      <c r="N34">
        <f t="shared" si="2"/>
        <v>4.4108291963249968</v>
      </c>
      <c r="T34">
        <v>-2.1628973105263148E-2</v>
      </c>
      <c r="U34">
        <v>14</v>
      </c>
      <c r="V34">
        <f t="shared" si="3"/>
        <v>10.834025676013262</v>
      </c>
    </row>
    <row r="35" spans="1:22">
      <c r="A35" s="1">
        <v>34</v>
      </c>
      <c r="B35" s="1" t="s">
        <v>4</v>
      </c>
      <c r="C35" s="1">
        <v>-7.1602318261483298E-3</v>
      </c>
      <c r="H35">
        <v>-7.1602319999999999E-3</v>
      </c>
      <c r="I35">
        <v>2.9090973999999999E-2</v>
      </c>
      <c r="L35">
        <v>-2.686195968421053E-2</v>
      </c>
      <c r="M35">
        <v>27</v>
      </c>
      <c r="N35">
        <f t="shared" si="2"/>
        <v>7.6149975364954461</v>
      </c>
      <c r="T35">
        <v>-1.5357059789473673E-2</v>
      </c>
      <c r="U35">
        <v>9</v>
      </c>
      <c r="V35">
        <f t="shared" si="3"/>
        <v>13.688921621159498</v>
      </c>
    </row>
    <row r="36" spans="1:22">
      <c r="A36" s="1">
        <v>35</v>
      </c>
      <c r="B36" s="1" t="s">
        <v>4</v>
      </c>
      <c r="C36" s="1">
        <v>1.2853521237353499E-2</v>
      </c>
      <c r="H36">
        <v>1.2853521E-2</v>
      </c>
      <c r="I36">
        <v>9.6910020000000006E-3</v>
      </c>
      <c r="L36">
        <v>-1.9525859210526318E-2</v>
      </c>
      <c r="M36">
        <v>61</v>
      </c>
      <c r="N36">
        <f t="shared" si="2"/>
        <v>11.594051260632781</v>
      </c>
      <c r="T36">
        <v>-9.0851464736841983E-3</v>
      </c>
      <c r="U36">
        <v>15</v>
      </c>
      <c r="V36">
        <f t="shared" si="3"/>
        <v>16.023376589645512</v>
      </c>
    </row>
    <row r="37" spans="1:22">
      <c r="A37" s="1">
        <v>36</v>
      </c>
      <c r="B37" s="1" t="s">
        <v>4</v>
      </c>
      <c r="C37" s="1">
        <v>2.1733521347357499E-2</v>
      </c>
      <c r="H37">
        <v>2.1733520999999999E-2</v>
      </c>
      <c r="I37">
        <v>-1.0021182999999999E-2</v>
      </c>
      <c r="L37">
        <v>-1.2189758736842107E-2</v>
      </c>
      <c r="M37">
        <v>66</v>
      </c>
      <c r="N37">
        <f t="shared" si="2"/>
        <v>15.567418029864186</v>
      </c>
      <c r="T37">
        <v>-2.8132331578947243E-3</v>
      </c>
      <c r="U37">
        <v>12</v>
      </c>
      <c r="V37">
        <f t="shared" si="3"/>
        <v>17.375778407541237</v>
      </c>
    </row>
    <row r="38" spans="1:22">
      <c r="A38" s="1">
        <v>37</v>
      </c>
      <c r="B38" s="1" t="s">
        <v>4</v>
      </c>
      <c r="C38" s="1">
        <v>1.35682830735106E-3</v>
      </c>
      <c r="H38">
        <v>1.356828E-3</v>
      </c>
      <c r="I38">
        <v>1.4421832000000001E-2</v>
      </c>
      <c r="L38">
        <v>-4.8536582631578959E-3</v>
      </c>
      <c r="M38">
        <v>107</v>
      </c>
      <c r="N38">
        <f t="shared" si="2"/>
        <v>18.43375799044389</v>
      </c>
      <c r="T38">
        <v>3.4586801578947498E-3</v>
      </c>
      <c r="U38">
        <v>19</v>
      </c>
      <c r="V38">
        <f t="shared" si="3"/>
        <v>17.455806763493008</v>
      </c>
    </row>
    <row r="39" spans="1:22">
      <c r="A39" s="1">
        <v>38</v>
      </c>
      <c r="B39" s="1" t="s">
        <v>4</v>
      </c>
      <c r="C39" s="1">
        <v>-5.4338473748671802E-3</v>
      </c>
      <c r="H39">
        <v>-5.4338470000000003E-3</v>
      </c>
      <c r="I39">
        <v>-2.1548307999999999E-2</v>
      </c>
      <c r="L39">
        <v>2.4824422105263148E-3</v>
      </c>
      <c r="M39">
        <v>90</v>
      </c>
      <c r="N39">
        <f t="shared" si="2"/>
        <v>19.249838835424047</v>
      </c>
      <c r="T39">
        <v>9.730593473684223E-3</v>
      </c>
      <c r="U39">
        <v>12</v>
      </c>
      <c r="V39">
        <f t="shared" si="3"/>
        <v>16.245796485602302</v>
      </c>
    </row>
    <row r="40" spans="1:22">
      <c r="A40" s="1">
        <v>39</v>
      </c>
      <c r="B40" s="1" t="s">
        <v>4</v>
      </c>
      <c r="C40" s="1">
        <v>1.13720533752541E-2</v>
      </c>
      <c r="H40">
        <v>1.1372053E-2</v>
      </c>
      <c r="I40">
        <v>-2.5533108999999998E-2</v>
      </c>
      <c r="L40">
        <v>9.8185426842105246E-3</v>
      </c>
      <c r="M40">
        <v>100</v>
      </c>
      <c r="N40">
        <f t="shared" si="2"/>
        <v>17.727856866581547</v>
      </c>
      <c r="T40">
        <v>1.6002506789473698E-2</v>
      </c>
      <c r="U40">
        <v>10</v>
      </c>
      <c r="V40">
        <f t="shared" si="3"/>
        <v>14.007077058386772</v>
      </c>
    </row>
    <row r="41" spans="1:22">
      <c r="A41" s="1">
        <v>40</v>
      </c>
      <c r="B41" s="1" t="s">
        <v>4</v>
      </c>
      <c r="C41" s="1">
        <v>-2.1619558074533501E-2</v>
      </c>
      <c r="H41">
        <v>-2.1619558000000001E-2</v>
      </c>
      <c r="I41">
        <v>-1.8730298999999999E-2</v>
      </c>
      <c r="L41">
        <v>1.7154643157894736E-2</v>
      </c>
      <c r="M41">
        <v>86</v>
      </c>
      <c r="N41">
        <f t="shared" si="2"/>
        <v>14.397971110111813</v>
      </c>
      <c r="T41">
        <v>2.2274420105263173E-2</v>
      </c>
      <c r="U41">
        <v>8</v>
      </c>
      <c r="V41">
        <f t="shared" si="3"/>
        <v>11.188180233911011</v>
      </c>
    </row>
    <row r="42" spans="1:22">
      <c r="A42" s="1">
        <v>41</v>
      </c>
      <c r="B42" s="1" t="s">
        <v>4</v>
      </c>
      <c r="C42" s="1">
        <v>-1.67140352761663E-3</v>
      </c>
      <c r="H42">
        <v>-1.671404E-3</v>
      </c>
      <c r="I42">
        <v>3.0312598999999999E-2</v>
      </c>
      <c r="L42">
        <v>2.4490743631578948E-2</v>
      </c>
      <c r="M42">
        <v>60</v>
      </c>
      <c r="N42">
        <f t="shared" si="2"/>
        <v>10.312460105270477</v>
      </c>
      <c r="T42">
        <v>2.8546333421052648E-2</v>
      </c>
      <c r="U42">
        <v>6</v>
      </c>
      <c r="V42">
        <f t="shared" si="3"/>
        <v>8.2789796793316146</v>
      </c>
    </row>
    <row r="43" spans="1:22">
      <c r="A43" s="1">
        <v>42</v>
      </c>
      <c r="B43" s="1" t="s">
        <v>4</v>
      </c>
      <c r="C43" s="1">
        <v>-4.5762277704163502E-2</v>
      </c>
      <c r="H43">
        <v>-4.5762278000000003E-2</v>
      </c>
      <c r="I43">
        <v>-1.7173391E-2</v>
      </c>
      <c r="L43">
        <v>3.1826844105263159E-2</v>
      </c>
      <c r="M43">
        <v>40</v>
      </c>
      <c r="N43">
        <f t="shared" si="2"/>
        <v>6.5138715091293617</v>
      </c>
      <c r="T43">
        <v>3.4818246736842119E-2</v>
      </c>
      <c r="U43">
        <v>8</v>
      </c>
      <c r="V43">
        <f t="shared" si="3"/>
        <v>5.6754409042085259</v>
      </c>
    </row>
    <row r="44" spans="1:22">
      <c r="A44" s="1">
        <v>43</v>
      </c>
      <c r="B44" s="1" t="s">
        <v>4</v>
      </c>
      <c r="C44" s="1">
        <v>-9.2460733577297508E-3</v>
      </c>
      <c r="H44">
        <v>-9.2460730000000005E-3</v>
      </c>
      <c r="I44">
        <v>1.293538E-2</v>
      </c>
      <c r="L44">
        <v>3.9162944578947367E-2</v>
      </c>
      <c r="M44">
        <v>23</v>
      </c>
      <c r="N44">
        <f t="shared" si="2"/>
        <v>3.6285408445252219</v>
      </c>
      <c r="T44">
        <v>4.1090160052631594E-2</v>
      </c>
      <c r="U44">
        <v>4</v>
      </c>
      <c r="V44">
        <f t="shared" si="3"/>
        <v>3.6043571819923108</v>
      </c>
    </row>
    <row r="45" spans="1:22">
      <c r="A45" s="1">
        <v>44</v>
      </c>
      <c r="B45" s="1" t="s">
        <v>4</v>
      </c>
      <c r="C45" s="1">
        <v>-2.9766834500282599E-2</v>
      </c>
      <c r="H45">
        <v>-2.9766834999999998E-2</v>
      </c>
      <c r="I45">
        <v>-1.015432E-2</v>
      </c>
      <c r="L45">
        <v>4.6499045052631575E-2</v>
      </c>
      <c r="M45">
        <v>21</v>
      </c>
      <c r="N45">
        <f t="shared" si="2"/>
        <v>1.7825460864022813</v>
      </c>
      <c r="T45">
        <v>4.7362073368421069E-2</v>
      </c>
      <c r="U45">
        <v>3</v>
      </c>
      <c r="V45">
        <f t="shared" si="3"/>
        <v>2.1206132194512324</v>
      </c>
    </row>
    <row r="46" spans="1:22">
      <c r="A46" s="1">
        <v>45</v>
      </c>
      <c r="B46" s="1" t="s">
        <v>4</v>
      </c>
      <c r="C46" s="1">
        <v>1.0839481025225599E-2</v>
      </c>
      <c r="H46">
        <v>1.0839481E-2</v>
      </c>
      <c r="I46">
        <v>-1.2620525E-2</v>
      </c>
      <c r="L46">
        <v>5.3835145526315784E-2</v>
      </c>
      <c r="M46">
        <v>9</v>
      </c>
      <c r="N46">
        <f t="shared" si="2"/>
        <v>0.77226337812093948</v>
      </c>
      <c r="T46">
        <v>5.3633986684210544E-2</v>
      </c>
      <c r="U46">
        <v>1</v>
      </c>
      <c r="V46">
        <f t="shared" si="3"/>
        <v>1.1558474881264129</v>
      </c>
    </row>
    <row r="47" spans="1:22">
      <c r="A47" s="1">
        <v>46</v>
      </c>
      <c r="B47" s="1" t="s">
        <v>4</v>
      </c>
      <c r="C47" s="1">
        <v>-1.1280227366507099E-2</v>
      </c>
      <c r="H47">
        <v>-1.1280227E-2</v>
      </c>
      <c r="I47">
        <v>-1.325541E-3</v>
      </c>
      <c r="L47">
        <v>6.1171245999999992E-2</v>
      </c>
      <c r="M47">
        <v>2</v>
      </c>
      <c r="N47">
        <f t="shared" si="2"/>
        <v>0.2950570773713459</v>
      </c>
      <c r="T47">
        <v>5.9905900000000019E-2</v>
      </c>
      <c r="U47">
        <v>2</v>
      </c>
      <c r="V47">
        <f t="shared" si="3"/>
        <v>0.58363997382654409</v>
      </c>
    </row>
    <row r="48" spans="1:22" ht="17" thickBot="1">
      <c r="A48" s="1">
        <v>47</v>
      </c>
      <c r="B48" s="1" t="s">
        <v>4</v>
      </c>
      <c r="C48" s="1">
        <v>-2.4932880845540201E-2</v>
      </c>
      <c r="H48">
        <v>-2.4932881E-2</v>
      </c>
      <c r="I48">
        <v>-4.5556684E-2</v>
      </c>
      <c r="L48" s="27" t="s">
        <v>2439</v>
      </c>
      <c r="M48" s="27">
        <v>1</v>
      </c>
      <c r="T48" s="27" t="s">
        <v>2439</v>
      </c>
      <c r="U48" s="27">
        <v>0</v>
      </c>
    </row>
    <row r="49" spans="1:15">
      <c r="A49" s="1">
        <v>48</v>
      </c>
      <c r="B49" s="1" t="s">
        <v>4</v>
      </c>
      <c r="C49" s="1">
        <v>3.3834254457417501E-2</v>
      </c>
      <c r="H49">
        <v>3.3834254000000001E-2</v>
      </c>
      <c r="I49">
        <v>2.7527760000000002E-3</v>
      </c>
    </row>
    <row r="50" spans="1:15">
      <c r="A50" s="1">
        <v>49</v>
      </c>
      <c r="B50" s="1" t="s">
        <v>4</v>
      </c>
      <c r="C50" s="1">
        <v>1.97292128969195E-3</v>
      </c>
      <c r="H50">
        <v>1.9729209999999999E-3</v>
      </c>
      <c r="I50">
        <v>8.0304130000000001E-3</v>
      </c>
    </row>
    <row r="51" spans="1:15">
      <c r="A51" s="1">
        <v>50</v>
      </c>
      <c r="B51" s="1" t="s">
        <v>4</v>
      </c>
      <c r="C51" s="1">
        <v>1.5749693368977798E-2</v>
      </c>
      <c r="H51">
        <v>1.5749692999999999E-2</v>
      </c>
      <c r="I51">
        <v>-8.1275570000000005E-3</v>
      </c>
    </row>
    <row r="52" spans="1:15">
      <c r="A52" s="1">
        <v>51</v>
      </c>
      <c r="B52" s="1" t="s">
        <v>4</v>
      </c>
      <c r="C52" s="1">
        <v>-1.39290172562596E-2</v>
      </c>
      <c r="H52">
        <v>-1.3929017E-2</v>
      </c>
      <c r="I52">
        <v>6.8173749999999997E-3</v>
      </c>
    </row>
    <row r="53" spans="1:15">
      <c r="A53" s="1">
        <v>52</v>
      </c>
      <c r="B53" s="1" t="s">
        <v>4</v>
      </c>
      <c r="C53" s="1">
        <v>-2.2543601268777101E-2</v>
      </c>
      <c r="H53">
        <v>-2.2543601E-2</v>
      </c>
      <c r="I53">
        <v>-9.3110160000000001E-3</v>
      </c>
    </row>
    <row r="54" spans="1:15">
      <c r="A54" s="1">
        <v>53</v>
      </c>
      <c r="B54" s="1" t="s">
        <v>4</v>
      </c>
      <c r="C54" s="1">
        <v>-1.9901452102047301E-2</v>
      </c>
      <c r="H54">
        <v>-1.9901452E-2</v>
      </c>
      <c r="I54">
        <v>-2.3794910000000001E-3</v>
      </c>
    </row>
    <row r="55" spans="1:15">
      <c r="A55" s="1">
        <v>54</v>
      </c>
      <c r="B55" s="1" t="s">
        <v>4</v>
      </c>
      <c r="C55" s="1">
        <v>5.6176706471830996E-3</v>
      </c>
      <c r="H55">
        <v>5.6176710000000003E-3</v>
      </c>
      <c r="I55">
        <v>1.2698311E-2</v>
      </c>
    </row>
    <row r="56" spans="1:15">
      <c r="A56" s="1">
        <v>55</v>
      </c>
      <c r="B56" s="1" t="s">
        <v>4</v>
      </c>
      <c r="C56" s="1">
        <v>-5.3646776987079604E-3</v>
      </c>
      <c r="H56">
        <v>-5.3646780000000003E-3</v>
      </c>
      <c r="I56">
        <v>2.2401106E-2</v>
      </c>
    </row>
    <row r="57" spans="1:15">
      <c r="A57" s="1">
        <v>56</v>
      </c>
      <c r="B57" s="1" t="s">
        <v>4</v>
      </c>
      <c r="C57" s="1">
        <v>8.0274317069495196E-4</v>
      </c>
      <c r="H57">
        <v>8.0274299999999997E-4</v>
      </c>
      <c r="I57">
        <v>1.9143309000000001E-2</v>
      </c>
    </row>
    <row r="58" spans="1:15">
      <c r="A58" s="1">
        <v>57</v>
      </c>
      <c r="B58" s="1" t="s">
        <v>4</v>
      </c>
      <c r="C58" s="1">
        <v>-6.5252479369348705E-4</v>
      </c>
      <c r="H58">
        <v>-6.5252500000000005E-4</v>
      </c>
      <c r="I58">
        <v>1.6097496999999999E-2</v>
      </c>
    </row>
    <row r="59" spans="1:15">
      <c r="A59" s="1">
        <v>58</v>
      </c>
      <c r="B59" s="1" t="s">
        <v>4</v>
      </c>
      <c r="C59" s="1">
        <v>-9.9728727700636403E-3</v>
      </c>
      <c r="H59">
        <v>-9.9728730000000002E-3</v>
      </c>
      <c r="I59">
        <v>-2.4149891999999999E-2</v>
      </c>
    </row>
    <row r="60" spans="1:15">
      <c r="A60" s="1">
        <v>59</v>
      </c>
      <c r="B60" s="1" t="s">
        <v>4</v>
      </c>
      <c r="C60" s="1">
        <v>2.5195644774485399E-2</v>
      </c>
      <c r="H60">
        <v>2.5195644999999999E-2</v>
      </c>
      <c r="I60">
        <v>3.3582094999999999E-2</v>
      </c>
      <c r="M60" s="24" t="s">
        <v>2422</v>
      </c>
      <c r="N60" s="24">
        <v>-7.8214663000000004E-2</v>
      </c>
      <c r="O60" s="24">
        <v>1.1894808443613163E-2</v>
      </c>
    </row>
    <row r="61" spans="1:15">
      <c r="A61" s="1">
        <v>60</v>
      </c>
      <c r="B61" s="1" t="s">
        <v>180</v>
      </c>
      <c r="C61" s="1">
        <v>-1.04380476877992E-2</v>
      </c>
      <c r="H61">
        <v>2.2922089999999999E-3</v>
      </c>
      <c r="I61">
        <v>-2.4216141E-2</v>
      </c>
      <c r="M61" s="24" t="s">
        <v>2422</v>
      </c>
      <c r="N61" s="24">
        <v>-7.0878562526315789E-2</v>
      </c>
      <c r="O61" s="24">
        <v>4.3652733531600631E-2</v>
      </c>
    </row>
    <row r="62" spans="1:15">
      <c r="A62" s="1">
        <v>61</v>
      </c>
      <c r="B62" s="1" t="s">
        <v>4</v>
      </c>
      <c r="C62" s="1">
        <v>2.2922089947456899E-3</v>
      </c>
      <c r="H62">
        <v>2.8090099999999998E-3</v>
      </c>
      <c r="I62">
        <v>7.9392100000000004E-3</v>
      </c>
      <c r="M62" s="24" t="s">
        <v>2422</v>
      </c>
      <c r="N62" s="24">
        <v>-6.3542462052631574E-2</v>
      </c>
      <c r="O62" s="24">
        <v>0.14128021877668334</v>
      </c>
    </row>
    <row r="63" spans="1:15">
      <c r="A63" s="1">
        <v>62</v>
      </c>
      <c r="B63" s="1" t="s">
        <v>4</v>
      </c>
      <c r="C63" s="1">
        <v>2.8090096882635801E-3</v>
      </c>
      <c r="H63">
        <v>1.0838225E-2</v>
      </c>
      <c r="I63">
        <v>2.2328015999999999E-2</v>
      </c>
      <c r="M63" s="24" t="s">
        <v>2422</v>
      </c>
      <c r="N63" s="24">
        <v>-5.6206361578947366E-2</v>
      </c>
      <c r="O63" s="24">
        <v>0.40324333283138813</v>
      </c>
    </row>
    <row r="64" spans="1:15">
      <c r="A64" s="1">
        <v>63</v>
      </c>
      <c r="B64" s="1" t="s">
        <v>4</v>
      </c>
      <c r="C64" s="1">
        <v>1.08382245176557E-2</v>
      </c>
      <c r="H64">
        <v>-1.3569813E-2</v>
      </c>
      <c r="I64">
        <v>1.7455139000000001E-2</v>
      </c>
      <c r="M64" s="24" t="s">
        <v>2422</v>
      </c>
      <c r="N64" s="24">
        <v>-4.8870261105263157E-2</v>
      </c>
      <c r="O64" s="24">
        <v>1.0150068070166631</v>
      </c>
    </row>
    <row r="65" spans="1:15">
      <c r="A65" s="1">
        <v>64</v>
      </c>
      <c r="B65" s="1" t="s">
        <v>4</v>
      </c>
      <c r="C65" s="1">
        <v>-1.3569813144414401E-2</v>
      </c>
      <c r="H65">
        <v>2.3446706000000001E-2</v>
      </c>
      <c r="I65">
        <v>5.6103610000000003E-3</v>
      </c>
      <c r="M65" s="24" t="s">
        <v>2422</v>
      </c>
      <c r="N65" s="24">
        <v>-4.1534160631578949E-2</v>
      </c>
      <c r="O65" s="24">
        <v>2.2531320042724379</v>
      </c>
    </row>
    <row r="66" spans="1:15">
      <c r="A66" s="1">
        <v>65</v>
      </c>
      <c r="B66" s="1" t="s">
        <v>4</v>
      </c>
      <c r="C66" s="1">
        <v>2.3446706016898099E-2</v>
      </c>
      <c r="H66">
        <v>4.9840765000000002E-2</v>
      </c>
      <c r="I66">
        <v>-1.3667926E-2</v>
      </c>
      <c r="M66" s="24" t="s">
        <v>2422</v>
      </c>
      <c r="N66" s="24">
        <v>-3.4198060157894741E-2</v>
      </c>
      <c r="O66" s="24">
        <v>4.4108291963249968</v>
      </c>
    </row>
    <row r="67" spans="1:15">
      <c r="A67" s="1">
        <v>66</v>
      </c>
      <c r="B67" s="1" t="s">
        <v>4</v>
      </c>
      <c r="C67" s="1">
        <v>4.9840765165626501E-2</v>
      </c>
      <c r="H67">
        <v>-2.3648655000000001E-2</v>
      </c>
      <c r="I67">
        <v>7.1768229999999997E-3</v>
      </c>
      <c r="M67" s="24" t="s">
        <v>2422</v>
      </c>
      <c r="N67" s="24">
        <v>-2.686195968421053E-2</v>
      </c>
      <c r="O67" s="24">
        <v>7.6149975364954461</v>
      </c>
    </row>
    <row r="68" spans="1:15">
      <c r="A68" s="1">
        <v>67</v>
      </c>
      <c r="B68" s="1" t="s">
        <v>180</v>
      </c>
      <c r="C68" s="1">
        <v>-2.06537833270488E-2</v>
      </c>
      <c r="H68">
        <v>-1.818804E-3</v>
      </c>
      <c r="I68">
        <v>3.0234334000000002E-2</v>
      </c>
      <c r="M68" s="24" t="s">
        <v>2422</v>
      </c>
      <c r="N68" s="24">
        <v>-1.9525859210526318E-2</v>
      </c>
      <c r="O68" s="24">
        <v>11.594051260632781</v>
      </c>
    </row>
    <row r="69" spans="1:15">
      <c r="A69" s="1">
        <v>68</v>
      </c>
      <c r="B69" s="1" t="s">
        <v>4</v>
      </c>
      <c r="C69" s="1">
        <v>-2.36486547117849E-2</v>
      </c>
      <c r="H69">
        <v>2.8100149999999999E-3</v>
      </c>
      <c r="I69" s="26">
        <v>-4.8000000000000001E-5</v>
      </c>
      <c r="M69" s="24" t="s">
        <v>2422</v>
      </c>
      <c r="N69" s="24">
        <v>-1.2189758736842107E-2</v>
      </c>
      <c r="O69" s="24">
        <v>15.567418029864186</v>
      </c>
    </row>
    <row r="70" spans="1:15">
      <c r="A70" s="1">
        <v>69</v>
      </c>
      <c r="B70" s="1" t="s">
        <v>4</v>
      </c>
      <c r="C70" s="1">
        <v>-1.81880401295542E-3</v>
      </c>
      <c r="H70">
        <v>2.2083062000000001E-2</v>
      </c>
      <c r="I70">
        <v>2.0996770000000001E-2</v>
      </c>
      <c r="M70" s="24" t="s">
        <v>2422</v>
      </c>
      <c r="N70" s="24">
        <v>-4.8536582631578959E-3</v>
      </c>
      <c r="O70" s="24">
        <v>18.43375799044389</v>
      </c>
    </row>
    <row r="71" spans="1:15">
      <c r="A71" s="1">
        <v>70</v>
      </c>
      <c r="B71" s="1" t="s">
        <v>4</v>
      </c>
      <c r="C71" s="1">
        <v>2.81001521631263E-3</v>
      </c>
      <c r="H71">
        <v>-3.9408127000000001E-2</v>
      </c>
      <c r="I71">
        <v>2.4038229999999998E-3</v>
      </c>
      <c r="M71" s="24" t="s">
        <v>2422</v>
      </c>
      <c r="N71" s="24">
        <v>2.4824422105263148E-3</v>
      </c>
      <c r="O71" s="24">
        <v>19.249838835424047</v>
      </c>
    </row>
    <row r="72" spans="1:15">
      <c r="A72" s="1">
        <v>71</v>
      </c>
      <c r="B72" s="1" t="s">
        <v>4</v>
      </c>
      <c r="C72" s="1">
        <v>2.2083062246728902E-2</v>
      </c>
      <c r="H72">
        <v>2.1247721000000001E-2</v>
      </c>
      <c r="I72">
        <v>-3.6870178000000003E-2</v>
      </c>
      <c r="M72" s="24" t="s">
        <v>2422</v>
      </c>
      <c r="N72" s="24">
        <v>9.8185426842105246E-3</v>
      </c>
      <c r="O72" s="24">
        <v>17.727856866581547</v>
      </c>
    </row>
    <row r="73" spans="1:15">
      <c r="A73" s="1">
        <v>72</v>
      </c>
      <c r="B73" s="1" t="s">
        <v>4</v>
      </c>
      <c r="C73" s="1">
        <v>-3.9408126826565103E-2</v>
      </c>
      <c r="H73">
        <v>-7.5779590000000004E-3</v>
      </c>
      <c r="I73">
        <v>-3.0939008E-2</v>
      </c>
      <c r="M73" s="24" t="s">
        <v>2422</v>
      </c>
      <c r="N73" s="24">
        <v>1.7154643157894736E-2</v>
      </c>
      <c r="O73" s="24">
        <v>14.397971110111813</v>
      </c>
    </row>
    <row r="74" spans="1:15">
      <c r="A74" s="1">
        <v>73</v>
      </c>
      <c r="B74" s="1" t="s">
        <v>4</v>
      </c>
      <c r="C74" s="1">
        <v>2.1247721072544499E-2</v>
      </c>
      <c r="H74">
        <v>-3.4702967000000001E-2</v>
      </c>
      <c r="I74">
        <v>8.611456E-3</v>
      </c>
      <c r="M74" s="24" t="s">
        <v>2422</v>
      </c>
      <c r="N74" s="24">
        <v>2.4490743631578948E-2</v>
      </c>
      <c r="O74" s="24">
        <v>10.312460105270477</v>
      </c>
    </row>
    <row r="75" spans="1:15">
      <c r="A75" s="1">
        <v>74</v>
      </c>
      <c r="B75" s="1" t="s">
        <v>4</v>
      </c>
      <c r="C75" s="1">
        <v>-7.5779592876301597E-3</v>
      </c>
      <c r="H75">
        <v>6.5543600000000002E-4</v>
      </c>
      <c r="I75">
        <v>-4.2178759999999997E-3</v>
      </c>
      <c r="M75" s="24" t="s">
        <v>2422</v>
      </c>
      <c r="N75" s="24">
        <v>3.1826844105263159E-2</v>
      </c>
      <c r="O75" s="24">
        <v>6.5138715091293617</v>
      </c>
    </row>
    <row r="76" spans="1:15">
      <c r="A76" s="1">
        <v>75</v>
      </c>
      <c r="B76" s="1" t="s">
        <v>4</v>
      </c>
      <c r="C76" s="1">
        <v>-3.4702966771135303E-2</v>
      </c>
      <c r="H76">
        <v>1.5689339999999999E-3</v>
      </c>
      <c r="I76">
        <v>-4.9032520000000003E-3</v>
      </c>
      <c r="M76" s="24" t="s">
        <v>2422</v>
      </c>
      <c r="N76" s="24">
        <v>3.9162944578947367E-2</v>
      </c>
      <c r="O76" s="24">
        <v>3.6285408445252219</v>
      </c>
    </row>
    <row r="77" spans="1:15">
      <c r="A77" s="1">
        <v>76</v>
      </c>
      <c r="B77" s="1" t="s">
        <v>4</v>
      </c>
      <c r="C77" s="1">
        <v>6.5543615295382497E-4</v>
      </c>
      <c r="H77">
        <v>-1.4841160000000001E-2</v>
      </c>
      <c r="I77">
        <v>-6.8723489999999998E-3</v>
      </c>
      <c r="M77" s="24" t="s">
        <v>2422</v>
      </c>
      <c r="N77" s="24">
        <v>4.6499045052631575E-2</v>
      </c>
      <c r="O77" s="24">
        <v>1.7825460864022813</v>
      </c>
    </row>
    <row r="78" spans="1:15">
      <c r="A78" s="1">
        <v>77</v>
      </c>
      <c r="B78" s="1" t="s">
        <v>4</v>
      </c>
      <c r="C78" s="1">
        <v>1.5689341134361701E-3</v>
      </c>
      <c r="H78">
        <v>2.9154069000000001E-2</v>
      </c>
      <c r="I78">
        <v>5.9905899999999998E-2</v>
      </c>
      <c r="M78" s="24" t="s">
        <v>2422</v>
      </c>
      <c r="N78" s="24">
        <v>5.3835145526315784E-2</v>
      </c>
      <c r="O78" s="24">
        <v>0.77226337812093948</v>
      </c>
    </row>
    <row r="79" spans="1:15">
      <c r="A79" s="1">
        <v>78</v>
      </c>
      <c r="B79" s="1" t="s">
        <v>4</v>
      </c>
      <c r="C79" s="1">
        <v>-1.48411602872329E-2</v>
      </c>
      <c r="H79">
        <v>2.9755858999999999E-2</v>
      </c>
      <c r="I79">
        <v>1.0912346E-2</v>
      </c>
      <c r="M79" s="24" t="s">
        <v>2422</v>
      </c>
      <c r="N79" s="24">
        <v>6.1171245999999992E-2</v>
      </c>
      <c r="O79" s="24">
        <v>0.2950570773713459</v>
      </c>
    </row>
    <row r="80" spans="1:15">
      <c r="A80" s="1">
        <v>79</v>
      </c>
      <c r="B80" s="1" t="s">
        <v>4</v>
      </c>
      <c r="C80" s="1">
        <v>2.9154068741730599E-2</v>
      </c>
      <c r="H80">
        <v>-3.5017188999999997E-2</v>
      </c>
      <c r="I80">
        <v>-2.7025611000000001E-2</v>
      </c>
      <c r="M80" s="24" t="s">
        <v>2423</v>
      </c>
      <c r="N80" s="24">
        <v>-5.9260452999999998E-2</v>
      </c>
      <c r="O80" s="24">
        <v>0.53484453356525985</v>
      </c>
    </row>
    <row r="81" spans="1:15">
      <c r="A81" s="1">
        <v>80</v>
      </c>
      <c r="B81" s="1" t="s">
        <v>4</v>
      </c>
      <c r="C81" s="1">
        <v>2.9755858517285402E-2</v>
      </c>
      <c r="H81">
        <v>-3.8427369000000003E-2</v>
      </c>
      <c r="I81">
        <v>1.1940519999999999E-3</v>
      </c>
      <c r="M81" s="24" t="s">
        <v>2423</v>
      </c>
      <c r="N81" s="24">
        <v>-5.2988539684210523E-2</v>
      </c>
      <c r="O81" s="24">
        <v>1.0689918103410219</v>
      </c>
    </row>
    <row r="82" spans="1:15">
      <c r="A82" s="1">
        <v>81</v>
      </c>
      <c r="B82" s="1" t="s">
        <v>4</v>
      </c>
      <c r="C82" s="1">
        <v>-3.5017188513350499E-2</v>
      </c>
      <c r="H82">
        <v>-6.6419390000000003E-3</v>
      </c>
      <c r="I82">
        <v>3.6707348000000001E-2</v>
      </c>
      <c r="M82" s="24" t="s">
        <v>2423</v>
      </c>
      <c r="N82" s="24">
        <v>-4.6716626368421048E-2</v>
      </c>
      <c r="O82" s="24">
        <v>1.9793683484601339</v>
      </c>
    </row>
    <row r="83" spans="1:15">
      <c r="A83" s="1">
        <v>82</v>
      </c>
      <c r="B83" s="1" t="s">
        <v>4</v>
      </c>
      <c r="C83" s="1">
        <v>-3.8427368526441699E-2</v>
      </c>
      <c r="H83">
        <v>1.7197376E-2</v>
      </c>
      <c r="I83">
        <v>1.1230498E-2</v>
      </c>
      <c r="M83" s="24" t="s">
        <v>2423</v>
      </c>
      <c r="N83" s="24">
        <v>-4.0444713052631573E-2</v>
      </c>
      <c r="O83" s="24">
        <v>3.395347984788128</v>
      </c>
    </row>
    <row r="84" spans="1:15">
      <c r="A84" s="1">
        <v>83</v>
      </c>
      <c r="B84" s="1" t="s">
        <v>4</v>
      </c>
      <c r="C84" s="1">
        <v>-6.6419393401175803E-3</v>
      </c>
      <c r="H84">
        <v>7.676258E-3</v>
      </c>
      <c r="I84">
        <v>1.0408504000000001E-2</v>
      </c>
      <c r="M84" s="24" t="s">
        <v>2423</v>
      </c>
      <c r="N84" s="24">
        <v>-3.4172799736842098E-2</v>
      </c>
      <c r="O84" s="24">
        <v>5.3956949395928868</v>
      </c>
    </row>
    <row r="85" spans="1:15">
      <c r="A85" s="1">
        <v>84</v>
      </c>
      <c r="B85" s="1" t="s">
        <v>4</v>
      </c>
      <c r="C85" s="1">
        <v>1.71973758547849E-2</v>
      </c>
      <c r="H85">
        <v>-4.3837058999999998E-2</v>
      </c>
      <c r="I85">
        <v>-6.5952909999999997E-3</v>
      </c>
      <c r="M85" s="24" t="s">
        <v>2423</v>
      </c>
      <c r="N85" s="24">
        <v>-2.7900886421052623E-2</v>
      </c>
      <c r="O85" s="24">
        <v>7.9435733619860054</v>
      </c>
    </row>
    <row r="86" spans="1:15">
      <c r="A86" s="1">
        <v>85</v>
      </c>
      <c r="B86" s="1" t="s">
        <v>4</v>
      </c>
      <c r="C86" s="1">
        <v>7.6762584277254497E-3</v>
      </c>
      <c r="H86">
        <v>6.7151049999999999E-3</v>
      </c>
      <c r="I86">
        <v>-1.9828279999999998E-3</v>
      </c>
      <c r="M86" s="24" t="s">
        <v>2423</v>
      </c>
      <c r="N86" s="24">
        <v>-2.1628973105263148E-2</v>
      </c>
      <c r="O86" s="24">
        <v>10.834025676013262</v>
      </c>
    </row>
    <row r="87" spans="1:15">
      <c r="A87" s="1">
        <v>86</v>
      </c>
      <c r="B87" s="1" t="s">
        <v>4</v>
      </c>
      <c r="C87" s="1">
        <v>-4.3837059039399898E-2</v>
      </c>
      <c r="H87">
        <v>-4.6195990000000003E-3</v>
      </c>
      <c r="I87">
        <v>-2.3828719999999999E-3</v>
      </c>
      <c r="M87" s="24" t="s">
        <v>2423</v>
      </c>
      <c r="N87" s="24">
        <v>-1.5357059789473673E-2</v>
      </c>
      <c r="O87" s="24">
        <v>13.688921621159498</v>
      </c>
    </row>
    <row r="88" spans="1:15">
      <c r="A88" s="1">
        <v>87</v>
      </c>
      <c r="B88" s="1" t="s">
        <v>4</v>
      </c>
      <c r="C88" s="1">
        <v>6.7151045410867001E-3</v>
      </c>
      <c r="H88">
        <v>-1.6237802999999999E-2</v>
      </c>
      <c r="I88">
        <v>-2.3577185000000001E-2</v>
      </c>
      <c r="M88" s="24" t="s">
        <v>2423</v>
      </c>
      <c r="N88" s="24">
        <v>-9.0851464736841983E-3</v>
      </c>
      <c r="O88" s="24">
        <v>16.023376589645512</v>
      </c>
    </row>
    <row r="89" spans="1:15">
      <c r="A89" s="1">
        <v>88</v>
      </c>
      <c r="B89" s="1" t="s">
        <v>4</v>
      </c>
      <c r="C89" s="1">
        <v>-4.6195985812147403E-3</v>
      </c>
      <c r="H89">
        <v>-1.2261819999999999E-3</v>
      </c>
      <c r="I89">
        <v>2.3039632000000001E-2</v>
      </c>
      <c r="M89" s="24" t="s">
        <v>2423</v>
      </c>
      <c r="N89" s="24">
        <v>-2.8132331578947243E-3</v>
      </c>
      <c r="O89" s="24">
        <v>17.375778407541237</v>
      </c>
    </row>
    <row r="90" spans="1:15">
      <c r="A90" s="1">
        <v>89</v>
      </c>
      <c r="B90" s="1" t="s">
        <v>4</v>
      </c>
      <c r="C90" s="1">
        <v>-1.6237802533908E-2</v>
      </c>
      <c r="H90">
        <v>1.9020045999999999E-2</v>
      </c>
      <c r="I90">
        <v>4.0427325E-2</v>
      </c>
      <c r="M90" s="24" t="s">
        <v>2423</v>
      </c>
      <c r="N90" s="24">
        <v>3.4586801578947498E-3</v>
      </c>
      <c r="O90" s="24">
        <v>17.455806763493008</v>
      </c>
    </row>
    <row r="91" spans="1:15">
      <c r="A91" s="1">
        <v>90</v>
      </c>
      <c r="B91" s="1" t="s">
        <v>4</v>
      </c>
      <c r="C91" s="1">
        <v>-1.2261817948864199E-3</v>
      </c>
      <c r="H91">
        <v>-1.9719756000000001E-2</v>
      </c>
      <c r="I91">
        <v>-2.3242045999999999E-2</v>
      </c>
      <c r="M91" s="24" t="s">
        <v>2423</v>
      </c>
      <c r="N91" s="24">
        <v>9.730593473684223E-3</v>
      </c>
      <c r="O91" s="24">
        <v>16.245796485602302</v>
      </c>
    </row>
    <row r="92" spans="1:15">
      <c r="A92" s="1">
        <v>91</v>
      </c>
      <c r="B92" s="1" t="s">
        <v>4</v>
      </c>
      <c r="C92" s="1">
        <v>1.9020045781957099E-2</v>
      </c>
      <c r="H92">
        <v>-2.1025317000000002E-2</v>
      </c>
      <c r="I92">
        <v>1.5392128999999999E-2</v>
      </c>
      <c r="M92" s="24" t="s">
        <v>2423</v>
      </c>
      <c r="N92" s="24">
        <v>1.6002506789473698E-2</v>
      </c>
      <c r="O92" s="24">
        <v>14.007077058386772</v>
      </c>
    </row>
    <row r="93" spans="1:15">
      <c r="A93" s="1">
        <v>92</v>
      </c>
      <c r="B93" s="1" t="s">
        <v>4</v>
      </c>
      <c r="C93" s="1">
        <v>-1.9719755666443399E-2</v>
      </c>
      <c r="H93">
        <v>3.533778E-3</v>
      </c>
      <c r="I93">
        <v>-1.8446262000000001E-2</v>
      </c>
      <c r="M93" s="24" t="s">
        <v>2423</v>
      </c>
      <c r="N93" s="24">
        <v>2.2274420105263173E-2</v>
      </c>
      <c r="O93" s="24">
        <v>11.188180233911011</v>
      </c>
    </row>
    <row r="94" spans="1:15">
      <c r="A94" s="1">
        <v>93</v>
      </c>
      <c r="B94" s="1" t="s">
        <v>4</v>
      </c>
      <c r="C94" s="1">
        <v>-2.1025317273668499E-2</v>
      </c>
      <c r="H94">
        <v>-2.1887495999999999E-2</v>
      </c>
      <c r="I94">
        <v>1.2235358999999999E-2</v>
      </c>
      <c r="M94" s="24" t="s">
        <v>2423</v>
      </c>
      <c r="N94" s="24">
        <v>2.8546333421052648E-2</v>
      </c>
      <c r="O94" s="24">
        <v>8.2789796793316146</v>
      </c>
    </row>
    <row r="95" spans="1:15">
      <c r="A95" s="1">
        <v>94</v>
      </c>
      <c r="B95" s="1" t="s">
        <v>4</v>
      </c>
      <c r="C95" s="1">
        <v>3.5337780462825199E-3</v>
      </c>
      <c r="H95">
        <v>4.3300450000000002E-3</v>
      </c>
      <c r="I95">
        <v>2.8846117000000001E-2</v>
      </c>
      <c r="M95" s="24" t="s">
        <v>2423</v>
      </c>
      <c r="N95" s="24">
        <v>3.4818246736842119E-2</v>
      </c>
      <c r="O95" s="24">
        <v>5.6754409042085259</v>
      </c>
    </row>
    <row r="96" spans="1:15">
      <c r="A96" s="1">
        <v>95</v>
      </c>
      <c r="B96" s="1" t="s">
        <v>4</v>
      </c>
      <c r="C96" s="1">
        <v>-2.1887495859793601E-2</v>
      </c>
      <c r="H96">
        <v>-1.0033399999999999E-3</v>
      </c>
      <c r="I96">
        <v>-4.7352699999999998E-2</v>
      </c>
      <c r="M96" s="24" t="s">
        <v>2423</v>
      </c>
      <c r="N96" s="24">
        <v>4.1090160052631594E-2</v>
      </c>
      <c r="O96" s="24">
        <v>3.6043571819923108</v>
      </c>
    </row>
    <row r="97" spans="1:15">
      <c r="A97" s="1">
        <v>96</v>
      </c>
      <c r="B97" s="1" t="s">
        <v>4</v>
      </c>
      <c r="C97" s="1">
        <v>4.3300453544006202E-3</v>
      </c>
      <c r="H97">
        <v>1.5232135000000001E-2</v>
      </c>
      <c r="I97">
        <v>-2.6537499999999999E-3</v>
      </c>
      <c r="M97" s="24" t="s">
        <v>2423</v>
      </c>
      <c r="N97" s="24">
        <v>4.7362073368421069E-2</v>
      </c>
      <c r="O97" s="24">
        <v>2.1206132194512324</v>
      </c>
    </row>
    <row r="98" spans="1:15">
      <c r="A98" s="1">
        <v>97</v>
      </c>
      <c r="B98" s="1" t="s">
        <v>4</v>
      </c>
      <c r="C98" s="1">
        <v>-1.0033396890491899E-3</v>
      </c>
      <c r="H98">
        <v>6.1589100000000001E-3</v>
      </c>
      <c r="I98">
        <v>-2.4908863E-2</v>
      </c>
      <c r="M98" s="24" t="s">
        <v>2423</v>
      </c>
      <c r="N98" s="24">
        <v>5.3633986684210544E-2</v>
      </c>
      <c r="O98" s="24">
        <v>1.1558474881264129</v>
      </c>
    </row>
    <row r="99" spans="1:15">
      <c r="A99" s="1">
        <v>98</v>
      </c>
      <c r="B99" s="1" t="s">
        <v>4</v>
      </c>
      <c r="C99" s="1">
        <v>1.523213494022E-2</v>
      </c>
      <c r="H99">
        <v>-1.0046146000000001E-2</v>
      </c>
      <c r="I99">
        <v>-1.188812E-3</v>
      </c>
      <c r="M99" s="24" t="s">
        <v>2423</v>
      </c>
      <c r="N99" s="24">
        <v>5.9905900000000019E-2</v>
      </c>
      <c r="O99" s="24">
        <v>0.58363997382654409</v>
      </c>
    </row>
    <row r="100" spans="1:15">
      <c r="A100" s="1">
        <v>99</v>
      </c>
      <c r="B100" s="1" t="s">
        <v>4</v>
      </c>
      <c r="C100" s="1">
        <v>6.1589095967633503E-3</v>
      </c>
      <c r="H100">
        <v>-1.2798113E-2</v>
      </c>
      <c r="I100">
        <v>-2.55214E-2</v>
      </c>
    </row>
    <row r="101" spans="1:15">
      <c r="A101" s="1">
        <v>100</v>
      </c>
      <c r="B101" s="1" t="s">
        <v>4</v>
      </c>
      <c r="C101" s="1">
        <v>-1.0046145930004901E-2</v>
      </c>
      <c r="H101">
        <v>-1.109099E-2</v>
      </c>
      <c r="I101">
        <v>-2.6070673999999999E-2</v>
      </c>
    </row>
    <row r="102" spans="1:15">
      <c r="A102" s="1">
        <v>101</v>
      </c>
      <c r="B102" s="1" t="s">
        <v>4</v>
      </c>
      <c r="C102" s="1">
        <v>-1.27981132637202E-2</v>
      </c>
      <c r="H102">
        <v>-4.5915249999999999E-3</v>
      </c>
      <c r="I102">
        <v>6.5621120000000002E-3</v>
      </c>
    </row>
    <row r="103" spans="1:15">
      <c r="A103" s="1">
        <v>102</v>
      </c>
      <c r="B103" s="1" t="s">
        <v>4</v>
      </c>
      <c r="C103" s="1">
        <v>-1.10909899766795E-2</v>
      </c>
      <c r="H103">
        <v>2.9746379E-2</v>
      </c>
      <c r="I103">
        <v>-5.6692230000000001E-3</v>
      </c>
    </row>
    <row r="104" spans="1:15">
      <c r="A104" s="1">
        <v>103</v>
      </c>
      <c r="B104" s="1" t="s">
        <v>4</v>
      </c>
      <c r="C104" s="1">
        <v>-4.5915251079122702E-3</v>
      </c>
      <c r="H104">
        <v>1.8609285999999999E-2</v>
      </c>
      <c r="I104">
        <v>-1.1924941E-2</v>
      </c>
    </row>
    <row r="105" spans="1:15">
      <c r="A105" s="1">
        <v>104</v>
      </c>
      <c r="B105" s="1" t="s">
        <v>4</v>
      </c>
      <c r="C105" s="1">
        <v>2.9746379197732101E-2</v>
      </c>
      <c r="H105">
        <v>-1.5007091E-2</v>
      </c>
      <c r="I105">
        <v>4.0405578999999997E-2</v>
      </c>
    </row>
    <row r="106" spans="1:15">
      <c r="A106" s="1">
        <v>105</v>
      </c>
      <c r="B106" s="1" t="s">
        <v>4</v>
      </c>
      <c r="C106" s="1">
        <v>1.8609286288047099E-2</v>
      </c>
      <c r="H106">
        <v>-2.7436700000000001E-2</v>
      </c>
      <c r="I106">
        <v>-1.8548532999999999E-2</v>
      </c>
    </row>
    <row r="107" spans="1:15">
      <c r="A107" s="1">
        <v>106</v>
      </c>
      <c r="B107" s="1" t="s">
        <v>4</v>
      </c>
      <c r="C107" s="1">
        <v>-1.500709128468E-2</v>
      </c>
      <c r="H107">
        <v>2.2451690999999999E-2</v>
      </c>
      <c r="I107">
        <v>2.272839E-3</v>
      </c>
    </row>
    <row r="108" spans="1:15">
      <c r="A108" s="1">
        <v>107</v>
      </c>
      <c r="B108" s="1" t="s">
        <v>4</v>
      </c>
      <c r="C108" s="1">
        <v>-2.7436699529587799E-2</v>
      </c>
      <c r="H108">
        <v>-5.2627359999999996E-3</v>
      </c>
      <c r="I108">
        <v>-1.6191459999999999E-3</v>
      </c>
    </row>
    <row r="109" spans="1:15">
      <c r="A109" s="1">
        <v>108</v>
      </c>
      <c r="B109" s="1" t="s">
        <v>4</v>
      </c>
      <c r="C109" s="1">
        <v>2.2451691278092701E-2</v>
      </c>
      <c r="H109">
        <v>-3.5696955000000002E-2</v>
      </c>
      <c r="I109">
        <v>2.073465E-3</v>
      </c>
    </row>
    <row r="110" spans="1:15">
      <c r="A110" s="1">
        <v>109</v>
      </c>
      <c r="B110" s="1" t="s">
        <v>4</v>
      </c>
      <c r="C110" s="1">
        <v>-5.2627358911632102E-3</v>
      </c>
      <c r="H110">
        <v>3.9611797999999997E-2</v>
      </c>
      <c r="I110">
        <v>3.3618110999999999E-2</v>
      </c>
    </row>
    <row r="111" spans="1:15">
      <c r="A111" s="1">
        <v>110</v>
      </c>
      <c r="B111" s="1" t="s">
        <v>4</v>
      </c>
      <c r="C111" s="1">
        <v>-3.5696954663396903E-2</v>
      </c>
      <c r="H111">
        <v>-1.2067720000000001E-2</v>
      </c>
      <c r="I111">
        <v>5.7564496E-2</v>
      </c>
    </row>
    <row r="112" spans="1:15">
      <c r="A112" s="1">
        <v>111</v>
      </c>
      <c r="B112" s="1" t="s">
        <v>4</v>
      </c>
      <c r="C112" s="1">
        <v>3.9611797989969902E-2</v>
      </c>
      <c r="H112">
        <v>4.6274790000000003E-3</v>
      </c>
      <c r="I112">
        <v>-3.3703135000000002E-2</v>
      </c>
    </row>
    <row r="113" spans="1:9">
      <c r="A113" s="1">
        <v>112</v>
      </c>
      <c r="B113" s="1" t="s">
        <v>4</v>
      </c>
      <c r="C113" s="1">
        <v>-1.2067719787852401E-2</v>
      </c>
      <c r="H113">
        <v>-2.1329399999999998E-2</v>
      </c>
      <c r="I113">
        <v>4.0514418000000003E-2</v>
      </c>
    </row>
    <row r="114" spans="1:9">
      <c r="A114" s="1">
        <v>113</v>
      </c>
      <c r="B114" s="1" t="s">
        <v>4</v>
      </c>
      <c r="C114" s="1">
        <v>4.6274785526918497E-3</v>
      </c>
      <c r="H114">
        <v>-3.3607922999999998E-2</v>
      </c>
      <c r="I114" s="26">
        <v>-6.5099999999999997E-5</v>
      </c>
    </row>
    <row r="115" spans="1:9">
      <c r="A115" s="1">
        <v>114</v>
      </c>
      <c r="B115" s="1" t="s">
        <v>4</v>
      </c>
      <c r="C115" s="1">
        <v>-2.13294002947126E-2</v>
      </c>
      <c r="H115">
        <v>-4.0943855000000001E-2</v>
      </c>
      <c r="I115">
        <v>-5.957637E-3</v>
      </c>
    </row>
    <row r="116" spans="1:9">
      <c r="A116" s="1">
        <v>115</v>
      </c>
      <c r="B116" s="1" t="s">
        <v>4</v>
      </c>
      <c r="C116" s="1">
        <v>-3.3607923384937399E-2</v>
      </c>
      <c r="H116">
        <v>-4.1689420000000001E-3</v>
      </c>
      <c r="I116">
        <v>4.7267072E-2</v>
      </c>
    </row>
    <row r="117" spans="1:9">
      <c r="A117" s="1">
        <v>116</v>
      </c>
      <c r="B117" s="1" t="s">
        <v>4</v>
      </c>
      <c r="C117" s="1">
        <v>-4.0943854501808999E-2</v>
      </c>
      <c r="H117">
        <v>-6.4715800000000002E-3</v>
      </c>
      <c r="I117">
        <v>1.1834018E-2</v>
      </c>
    </row>
    <row r="118" spans="1:9">
      <c r="A118" s="1">
        <v>117</v>
      </c>
      <c r="B118" s="1" t="s">
        <v>4</v>
      </c>
      <c r="C118" s="1">
        <v>-4.16894178442106E-3</v>
      </c>
      <c r="H118">
        <v>-1.522832E-3</v>
      </c>
      <c r="I118">
        <v>-9.1730449999999995E-3</v>
      </c>
    </row>
    <row r="119" spans="1:9">
      <c r="A119" s="1">
        <v>118</v>
      </c>
      <c r="B119" s="1" t="s">
        <v>4</v>
      </c>
      <c r="C119" s="1">
        <v>-6.4715801730521596E-3</v>
      </c>
      <c r="H119">
        <v>-1.0615542E-2</v>
      </c>
      <c r="I119">
        <v>8.8309670000000003E-3</v>
      </c>
    </row>
    <row r="120" spans="1:9">
      <c r="A120" s="1">
        <v>119</v>
      </c>
      <c r="B120" s="1" t="s">
        <v>4</v>
      </c>
      <c r="C120" s="1">
        <v>-1.5228320556275299E-3</v>
      </c>
      <c r="H120">
        <v>-4.862931E-3</v>
      </c>
      <c r="I120">
        <v>-2.4415764999999999E-2</v>
      </c>
    </row>
    <row r="121" spans="1:9">
      <c r="A121" s="1">
        <v>120</v>
      </c>
      <c r="B121" s="1" t="s">
        <v>4</v>
      </c>
      <c r="C121" s="1">
        <v>-1.06155421772768E-2</v>
      </c>
      <c r="H121">
        <v>-2.7698299999999999E-2</v>
      </c>
      <c r="I121">
        <v>-1.2624504999999999E-2</v>
      </c>
    </row>
    <row r="122" spans="1:9">
      <c r="A122" s="1">
        <v>121</v>
      </c>
      <c r="B122" s="1" t="s">
        <v>4</v>
      </c>
      <c r="C122" s="1">
        <v>-4.8629309122505404E-3</v>
      </c>
      <c r="H122">
        <v>-5.0496289999999999E-3</v>
      </c>
      <c r="I122">
        <v>-3.0055300000000001E-4</v>
      </c>
    </row>
    <row r="123" spans="1:9">
      <c r="A123" s="1">
        <v>122</v>
      </c>
      <c r="B123" s="1" t="s">
        <v>4</v>
      </c>
      <c r="C123" s="1">
        <v>-2.7698300207632E-2</v>
      </c>
      <c r="H123">
        <v>-3.3316275999999999E-2</v>
      </c>
      <c r="I123">
        <v>2.4071569000000001E-2</v>
      </c>
    </row>
    <row r="124" spans="1:9">
      <c r="A124" s="1">
        <v>123</v>
      </c>
      <c r="B124" s="1" t="s">
        <v>4</v>
      </c>
      <c r="C124" s="1">
        <v>-5.0496287859402803E-3</v>
      </c>
      <c r="H124">
        <v>1.7349304999999999E-2</v>
      </c>
      <c r="I124">
        <v>9.7412109999999996E-3</v>
      </c>
    </row>
    <row r="125" spans="1:9">
      <c r="A125" s="1">
        <v>124</v>
      </c>
      <c r="B125" s="1" t="s">
        <v>180</v>
      </c>
      <c r="C125" s="1">
        <v>-2.33267632327454E-2</v>
      </c>
      <c r="H125">
        <v>2.121993E-3</v>
      </c>
      <c r="I125">
        <v>-2.2210594E-2</v>
      </c>
    </row>
    <row r="126" spans="1:9">
      <c r="A126" s="1">
        <v>125</v>
      </c>
      <c r="B126" s="1" t="s">
        <v>4</v>
      </c>
      <c r="C126" s="1">
        <v>-3.3316276050911101E-2</v>
      </c>
      <c r="H126">
        <v>1.3077184E-2</v>
      </c>
      <c r="I126">
        <v>1.6068506999999999E-2</v>
      </c>
    </row>
    <row r="127" spans="1:9">
      <c r="A127" s="1">
        <v>126</v>
      </c>
      <c r="B127" s="1" t="s">
        <v>4</v>
      </c>
      <c r="C127" s="1">
        <v>1.73493052112405E-2</v>
      </c>
      <c r="H127">
        <v>-2.0988947000000001E-2</v>
      </c>
      <c r="I127">
        <v>1.9782349000000001E-2</v>
      </c>
    </row>
    <row r="128" spans="1:9">
      <c r="A128" s="1">
        <v>127</v>
      </c>
      <c r="B128" s="1" t="s">
        <v>4</v>
      </c>
      <c r="C128" s="1">
        <v>2.12199316021521E-3</v>
      </c>
      <c r="H128">
        <v>1.8643495E-2</v>
      </c>
      <c r="I128">
        <v>4.5216415000000003E-2</v>
      </c>
    </row>
    <row r="129" spans="1:9">
      <c r="A129" s="1">
        <v>128</v>
      </c>
      <c r="B129" s="1" t="s">
        <v>4</v>
      </c>
      <c r="C129" s="1">
        <v>1.307718362008E-2</v>
      </c>
      <c r="H129">
        <v>-3.4165188999999999E-2</v>
      </c>
      <c r="I129">
        <v>-6.4974830000000001E-3</v>
      </c>
    </row>
    <row r="130" spans="1:9">
      <c r="A130" s="1">
        <v>129</v>
      </c>
      <c r="B130" s="1" t="s">
        <v>4</v>
      </c>
      <c r="C130" s="1">
        <v>-2.0988946813671899E-2</v>
      </c>
      <c r="H130">
        <v>-4.5592239999999997E-3</v>
      </c>
      <c r="I130">
        <v>-1.1084289000000001E-2</v>
      </c>
    </row>
    <row r="131" spans="1:9">
      <c r="A131" s="1">
        <v>130</v>
      </c>
      <c r="B131" s="1" t="s">
        <v>4</v>
      </c>
      <c r="C131" s="1">
        <v>1.86434949315223E-2</v>
      </c>
      <c r="H131">
        <v>-3.1907379999999998E-3</v>
      </c>
      <c r="I131">
        <v>4.5811383999999997E-2</v>
      </c>
    </row>
    <row r="132" spans="1:9">
      <c r="A132" s="1">
        <v>131</v>
      </c>
      <c r="B132" s="1" t="s">
        <v>4</v>
      </c>
      <c r="C132" s="1">
        <v>-3.4165188795775202E-2</v>
      </c>
      <c r="H132">
        <v>-1.627789E-2</v>
      </c>
      <c r="I132">
        <v>-1.8609304E-2</v>
      </c>
    </row>
    <row r="133" spans="1:9">
      <c r="A133" s="1">
        <v>132</v>
      </c>
      <c r="B133" s="1" t="s">
        <v>4</v>
      </c>
      <c r="C133" s="1">
        <v>-4.5592242617740197E-3</v>
      </c>
      <c r="H133">
        <v>1.5135644E-2</v>
      </c>
      <c r="I133">
        <v>-5.8210900000000003E-4</v>
      </c>
    </row>
    <row r="134" spans="1:9">
      <c r="A134" s="1">
        <v>133</v>
      </c>
      <c r="B134" s="1" t="s">
        <v>4</v>
      </c>
      <c r="C134" s="1">
        <v>-3.1907382256832701E-3</v>
      </c>
      <c r="H134">
        <v>1.051845E-2</v>
      </c>
    </row>
    <row r="135" spans="1:9">
      <c r="A135" s="1">
        <v>134</v>
      </c>
      <c r="B135" s="1" t="s">
        <v>4</v>
      </c>
      <c r="C135" s="1">
        <v>-1.6277889713258199E-2</v>
      </c>
      <c r="H135">
        <v>-3.6166038999999997E-2</v>
      </c>
    </row>
    <row r="136" spans="1:9">
      <c r="A136" s="1">
        <v>135</v>
      </c>
      <c r="B136" s="1" t="s">
        <v>4</v>
      </c>
      <c r="C136" s="1">
        <v>1.51356444541281E-2</v>
      </c>
      <c r="H136">
        <v>-5.951128E-3</v>
      </c>
    </row>
    <row r="137" spans="1:9">
      <c r="A137" s="1">
        <v>136</v>
      </c>
      <c r="B137" s="1" t="s">
        <v>180</v>
      </c>
      <c r="C137" s="1">
        <v>2.6878213722170499E-2</v>
      </c>
      <c r="H137">
        <v>-1.3440143E-2</v>
      </c>
    </row>
    <row r="138" spans="1:9">
      <c r="A138" s="1">
        <v>137</v>
      </c>
      <c r="B138" s="1" t="s">
        <v>4</v>
      </c>
      <c r="C138" s="1">
        <v>1.05184499107338E-2</v>
      </c>
      <c r="H138">
        <v>-1.3102089999999999E-3</v>
      </c>
    </row>
    <row r="139" spans="1:9">
      <c r="A139" s="1">
        <v>138</v>
      </c>
      <c r="B139" s="1" t="s">
        <v>4</v>
      </c>
      <c r="C139" s="1">
        <v>-3.6166039241305403E-2</v>
      </c>
      <c r="H139">
        <v>3.7245139999999999E-3</v>
      </c>
    </row>
    <row r="140" spans="1:9">
      <c r="A140" s="1">
        <v>139</v>
      </c>
      <c r="B140" s="1" t="s">
        <v>4</v>
      </c>
      <c r="C140" s="1">
        <v>-5.9511279345372198E-3</v>
      </c>
      <c r="H140">
        <v>-1.8392298000000001E-2</v>
      </c>
    </row>
    <row r="141" spans="1:9">
      <c r="A141" s="1">
        <v>140</v>
      </c>
      <c r="B141" s="1" t="s">
        <v>4</v>
      </c>
      <c r="C141" s="1">
        <v>-1.3440143497234601E-2</v>
      </c>
      <c r="H141">
        <v>3.5225952999999997E-2</v>
      </c>
    </row>
    <row r="142" spans="1:9">
      <c r="A142" s="1">
        <v>141</v>
      </c>
      <c r="B142" s="1" t="s">
        <v>4</v>
      </c>
      <c r="C142" s="1">
        <v>-1.3102088149352601E-3</v>
      </c>
      <c r="H142">
        <v>-4.7802979999999997E-3</v>
      </c>
    </row>
    <row r="143" spans="1:9">
      <c r="A143" s="1">
        <v>142</v>
      </c>
      <c r="B143" s="1" t="s">
        <v>4</v>
      </c>
      <c r="C143" s="1">
        <v>3.72451414209251E-3</v>
      </c>
      <c r="H143">
        <v>-2.815142E-2</v>
      </c>
    </row>
    <row r="144" spans="1:9">
      <c r="A144" s="1">
        <v>143</v>
      </c>
      <c r="B144" s="1" t="s">
        <v>4</v>
      </c>
      <c r="C144" s="1">
        <v>-1.8392297622654E-2</v>
      </c>
      <c r="H144">
        <v>-9.0125999999999997E-4</v>
      </c>
    </row>
    <row r="145" spans="1:8">
      <c r="A145" s="1">
        <v>144</v>
      </c>
      <c r="B145" s="1" t="s">
        <v>4</v>
      </c>
      <c r="C145" s="1">
        <v>3.5225953158544598E-2</v>
      </c>
      <c r="H145">
        <v>1.6698676999999999E-2</v>
      </c>
    </row>
    <row r="146" spans="1:8">
      <c r="A146" s="1">
        <v>145</v>
      </c>
      <c r="B146" s="1" t="s">
        <v>4</v>
      </c>
      <c r="C146" s="1">
        <v>-4.7802980980193796E-3</v>
      </c>
      <c r="H146">
        <v>-1.0097114000000001E-2</v>
      </c>
    </row>
    <row r="147" spans="1:8">
      <c r="A147" s="1">
        <v>146</v>
      </c>
      <c r="B147" s="1" t="s">
        <v>180</v>
      </c>
      <c r="C147" s="1">
        <v>2.8638684690747498E-2</v>
      </c>
      <c r="H147">
        <v>2.4434155999999999E-2</v>
      </c>
    </row>
    <row r="148" spans="1:8">
      <c r="A148" s="1">
        <v>147</v>
      </c>
      <c r="B148" s="1" t="s">
        <v>4</v>
      </c>
      <c r="C148" s="1">
        <v>-2.8151419539966499E-2</v>
      </c>
      <c r="H148">
        <v>-2.2103399999999999E-3</v>
      </c>
    </row>
    <row r="149" spans="1:8">
      <c r="A149" s="1">
        <v>148</v>
      </c>
      <c r="B149" s="1" t="s">
        <v>4</v>
      </c>
      <c r="C149" s="1">
        <v>-9.0126029272141696E-4</v>
      </c>
      <c r="H149">
        <v>3.1423599999999999E-3</v>
      </c>
    </row>
    <row r="150" spans="1:8">
      <c r="A150" s="1">
        <v>149</v>
      </c>
      <c r="B150" s="1" t="s">
        <v>4</v>
      </c>
      <c r="C150" s="1">
        <v>1.6698677285086502E-2</v>
      </c>
      <c r="H150">
        <v>2.6175039000000001E-2</v>
      </c>
    </row>
    <row r="151" spans="1:8">
      <c r="A151" s="1">
        <v>150</v>
      </c>
      <c r="B151" s="1" t="s">
        <v>4</v>
      </c>
      <c r="C151" s="1">
        <v>-1.00971142726002E-2</v>
      </c>
      <c r="H151">
        <v>3.0778702000000002E-2</v>
      </c>
    </row>
    <row r="152" spans="1:8">
      <c r="A152" s="1">
        <v>151</v>
      </c>
      <c r="B152" s="1" t="s">
        <v>4</v>
      </c>
      <c r="C152" s="1">
        <v>2.4434155884346598E-2</v>
      </c>
      <c r="H152">
        <v>-1.4144228E-2</v>
      </c>
    </row>
    <row r="153" spans="1:8">
      <c r="A153" s="1">
        <v>152</v>
      </c>
      <c r="B153" s="1" t="s">
        <v>4</v>
      </c>
      <c r="C153" s="1">
        <v>-2.2103396410741898E-3</v>
      </c>
      <c r="H153">
        <v>1.1461947E-2</v>
      </c>
    </row>
    <row r="154" spans="1:8">
      <c r="A154" s="1">
        <v>153</v>
      </c>
      <c r="B154" s="1" t="s">
        <v>4</v>
      </c>
      <c r="C154" s="1">
        <v>3.1423601842703801E-3</v>
      </c>
      <c r="H154">
        <v>-6.3369289999999998E-3</v>
      </c>
    </row>
    <row r="155" spans="1:8">
      <c r="A155" s="1">
        <v>154</v>
      </c>
      <c r="B155" s="1" t="s">
        <v>4</v>
      </c>
      <c r="C155" s="1">
        <v>2.61750391024335E-2</v>
      </c>
      <c r="H155">
        <v>2.0741336999999999E-2</v>
      </c>
    </row>
    <row r="156" spans="1:8">
      <c r="A156" s="1">
        <v>155</v>
      </c>
      <c r="B156" s="1" t="s">
        <v>4</v>
      </c>
      <c r="C156" s="1">
        <v>3.0778702447292899E-2</v>
      </c>
      <c r="H156">
        <v>-2.7322282E-2</v>
      </c>
    </row>
    <row r="157" spans="1:8">
      <c r="A157" s="1">
        <v>156</v>
      </c>
      <c r="B157" s="1" t="s">
        <v>4</v>
      </c>
      <c r="C157" s="1">
        <v>-1.41442284669928E-2</v>
      </c>
      <c r="H157">
        <v>7.5029169999999996E-3</v>
      </c>
    </row>
    <row r="158" spans="1:8">
      <c r="A158" s="1">
        <v>157</v>
      </c>
      <c r="B158" s="1" t="s">
        <v>4</v>
      </c>
      <c r="C158" s="1">
        <v>1.1461946825122899E-2</v>
      </c>
      <c r="H158">
        <v>1.9838919999999999E-2</v>
      </c>
    </row>
    <row r="159" spans="1:8">
      <c r="A159" s="1">
        <v>158</v>
      </c>
      <c r="B159" s="1" t="s">
        <v>4</v>
      </c>
      <c r="C159" s="1">
        <v>-6.3369287222485504E-3</v>
      </c>
      <c r="H159">
        <v>9.5509930000000007E-3</v>
      </c>
    </row>
    <row r="160" spans="1:8">
      <c r="A160" s="1">
        <v>159</v>
      </c>
      <c r="B160" s="1" t="s">
        <v>4</v>
      </c>
      <c r="C160" s="1">
        <v>2.0741337345469901E-2</v>
      </c>
      <c r="H160">
        <v>2.1540604000000001E-2</v>
      </c>
    </row>
    <row r="161" spans="1:8">
      <c r="A161" s="1">
        <v>160</v>
      </c>
      <c r="B161" s="1" t="s">
        <v>4</v>
      </c>
      <c r="C161" s="1">
        <v>-2.73222815994884E-2</v>
      </c>
      <c r="H161">
        <v>2.3549338E-2</v>
      </c>
    </row>
    <row r="162" spans="1:8">
      <c r="A162" s="1">
        <v>161</v>
      </c>
      <c r="B162" s="1" t="s">
        <v>4</v>
      </c>
      <c r="C162" s="1">
        <v>7.5029173388116901E-3</v>
      </c>
      <c r="H162">
        <v>9.2406429999999998E-3</v>
      </c>
    </row>
    <row r="163" spans="1:8">
      <c r="A163" s="1">
        <v>162</v>
      </c>
      <c r="B163" s="1" t="s">
        <v>4</v>
      </c>
      <c r="C163" s="1">
        <v>1.9838919857292501E-2</v>
      </c>
      <c r="H163">
        <v>1.0070778000000001E-2</v>
      </c>
    </row>
    <row r="164" spans="1:8">
      <c r="A164" s="1">
        <v>163</v>
      </c>
      <c r="B164" s="1" t="s">
        <v>4</v>
      </c>
      <c r="C164" s="1">
        <v>9.5509934326969397E-3</v>
      </c>
      <c r="H164">
        <v>-2.8929317999999999E-2</v>
      </c>
    </row>
    <row r="165" spans="1:8">
      <c r="A165" s="1">
        <v>164</v>
      </c>
      <c r="B165" s="1" t="s">
        <v>4</v>
      </c>
      <c r="C165" s="1">
        <v>2.1540604420849201E-2</v>
      </c>
      <c r="H165">
        <v>6.5566060000000004E-3</v>
      </c>
    </row>
    <row r="166" spans="1:8">
      <c r="A166" s="1">
        <v>165</v>
      </c>
      <c r="B166" s="1" t="s">
        <v>4</v>
      </c>
      <c r="C166" s="1">
        <v>2.35493381203042E-2</v>
      </c>
      <c r="H166">
        <v>-1.7576227999999999E-2</v>
      </c>
    </row>
    <row r="167" spans="1:8">
      <c r="A167" s="1">
        <v>166</v>
      </c>
      <c r="B167" s="1" t="s">
        <v>4</v>
      </c>
      <c r="C167" s="1">
        <v>9.2406430282601093E-3</v>
      </c>
      <c r="H167">
        <v>2.0079824E-2</v>
      </c>
    </row>
    <row r="168" spans="1:8">
      <c r="A168" s="1">
        <v>167</v>
      </c>
      <c r="B168" s="1" t="s">
        <v>4</v>
      </c>
      <c r="C168" s="1">
        <v>1.0070778026666E-2</v>
      </c>
      <c r="H168">
        <v>-2.0978957999999999E-2</v>
      </c>
    </row>
    <row r="169" spans="1:8">
      <c r="A169" s="1">
        <v>168</v>
      </c>
      <c r="B169" s="1" t="s">
        <v>4</v>
      </c>
      <c r="C169" s="1">
        <v>-2.8929318218473499E-2</v>
      </c>
      <c r="H169">
        <v>-1.9222479000000001E-2</v>
      </c>
    </row>
    <row r="170" spans="1:8">
      <c r="A170" s="1">
        <v>169</v>
      </c>
      <c r="B170" s="1" t="s">
        <v>4</v>
      </c>
      <c r="C170" s="1">
        <v>6.5566062005881698E-3</v>
      </c>
      <c r="H170">
        <v>3.4812406999999997E-2</v>
      </c>
    </row>
    <row r="171" spans="1:8">
      <c r="A171" s="1">
        <v>170</v>
      </c>
      <c r="B171" s="1" t="s">
        <v>4</v>
      </c>
      <c r="C171" s="1">
        <v>-1.7576228295812499E-2</v>
      </c>
      <c r="H171">
        <v>-2.3442028E-2</v>
      </c>
    </row>
    <row r="172" spans="1:8">
      <c r="A172" s="1">
        <v>171</v>
      </c>
      <c r="B172" s="1" t="s">
        <v>4</v>
      </c>
      <c r="C172" s="1">
        <v>2.0079823790212E-2</v>
      </c>
      <c r="H172">
        <v>-1.7896598E-2</v>
      </c>
    </row>
    <row r="173" spans="1:8">
      <c r="A173" s="1">
        <v>172</v>
      </c>
      <c r="B173" s="1" t="s">
        <v>4</v>
      </c>
      <c r="C173" s="1">
        <v>-2.0978958062023802E-2</v>
      </c>
      <c r="H173">
        <v>-9.6477630000000002E-3</v>
      </c>
    </row>
    <row r="174" spans="1:8">
      <c r="A174" s="1">
        <v>173</v>
      </c>
      <c r="B174" s="1" t="s">
        <v>4</v>
      </c>
      <c r="C174" s="1">
        <v>-1.9222478733013301E-2</v>
      </c>
      <c r="H174">
        <v>1.2269500000000001E-3</v>
      </c>
    </row>
    <row r="175" spans="1:8">
      <c r="A175" s="1">
        <v>174</v>
      </c>
      <c r="B175" s="1" t="s">
        <v>4</v>
      </c>
      <c r="C175" s="1">
        <v>3.4812406501899297E-2</v>
      </c>
      <c r="H175">
        <v>-6.1168599999999996E-4</v>
      </c>
    </row>
    <row r="176" spans="1:8">
      <c r="A176" s="1">
        <v>175</v>
      </c>
      <c r="B176" s="1" t="s">
        <v>4</v>
      </c>
      <c r="C176" s="1">
        <v>-2.3442028316208199E-2</v>
      </c>
      <c r="H176">
        <v>1.1749549999999999E-2</v>
      </c>
    </row>
    <row r="177" spans="1:8">
      <c r="A177" s="1">
        <v>176</v>
      </c>
      <c r="B177" s="1" t="s">
        <v>4</v>
      </c>
      <c r="C177" s="1">
        <v>-1.7896597564346799E-2</v>
      </c>
      <c r="H177">
        <v>9.9037120000000003E-3</v>
      </c>
    </row>
    <row r="178" spans="1:8">
      <c r="A178" s="1">
        <v>177</v>
      </c>
      <c r="B178" s="1" t="s">
        <v>4</v>
      </c>
      <c r="C178" s="1">
        <v>-9.6477628968258903E-3</v>
      </c>
      <c r="H178">
        <v>-2.4966660000000002E-2</v>
      </c>
    </row>
    <row r="179" spans="1:8">
      <c r="A179" s="1">
        <v>178</v>
      </c>
      <c r="B179" s="1" t="s">
        <v>4</v>
      </c>
      <c r="C179" s="1">
        <v>1.22694954431068E-3</v>
      </c>
      <c r="H179">
        <v>-5.6673239999999996E-3</v>
      </c>
    </row>
    <row r="180" spans="1:8">
      <c r="A180" s="1">
        <v>179</v>
      </c>
      <c r="B180" s="1" t="s">
        <v>4</v>
      </c>
      <c r="C180" s="1">
        <v>-6.1168622804208496E-4</v>
      </c>
      <c r="H180">
        <v>1.589699E-2</v>
      </c>
    </row>
    <row r="181" spans="1:8">
      <c r="A181" s="1">
        <v>180</v>
      </c>
      <c r="B181" s="1" t="s">
        <v>4</v>
      </c>
      <c r="C181" s="1">
        <v>1.17495498891173E-2</v>
      </c>
      <c r="H181">
        <v>2.742918E-3</v>
      </c>
    </row>
    <row r="182" spans="1:8">
      <c r="A182" s="1">
        <v>181</v>
      </c>
      <c r="B182" s="1" t="s">
        <v>4</v>
      </c>
      <c r="C182" s="1">
        <v>9.9037115201818793E-3</v>
      </c>
      <c r="H182">
        <v>-3.1593469999999998E-3</v>
      </c>
    </row>
    <row r="183" spans="1:8">
      <c r="A183" s="1">
        <v>182</v>
      </c>
      <c r="B183" s="1" t="s">
        <v>4</v>
      </c>
      <c r="C183" s="1">
        <v>-2.4966659745004401E-2</v>
      </c>
      <c r="H183">
        <v>2.7331567000000001E-2</v>
      </c>
    </row>
    <row r="184" spans="1:8">
      <c r="A184" s="1">
        <v>183</v>
      </c>
      <c r="B184" s="1" t="s">
        <v>4</v>
      </c>
      <c r="C184" s="1">
        <v>-5.6673244879412703E-3</v>
      </c>
      <c r="H184">
        <v>6.1682320000000001E-3</v>
      </c>
    </row>
    <row r="185" spans="1:8">
      <c r="A185" s="1">
        <v>184</v>
      </c>
      <c r="B185" s="1" t="s">
        <v>4</v>
      </c>
      <c r="C185" s="1">
        <v>1.5896990497823001E-2</v>
      </c>
      <c r="H185">
        <v>-8.7200369999999999E-3</v>
      </c>
    </row>
    <row r="186" spans="1:8">
      <c r="A186" s="1">
        <v>185</v>
      </c>
      <c r="B186" s="1" t="s">
        <v>4</v>
      </c>
      <c r="C186" s="1">
        <v>2.7429182085825202E-3</v>
      </c>
      <c r="H186">
        <v>4.0287484999999998E-2</v>
      </c>
    </row>
    <row r="187" spans="1:8">
      <c r="A187" s="1">
        <v>186</v>
      </c>
      <c r="B187" s="1" t="s">
        <v>4</v>
      </c>
      <c r="C187" s="1">
        <v>-3.1593474096744899E-3</v>
      </c>
      <c r="H187">
        <v>1.7242767999999999E-2</v>
      </c>
    </row>
    <row r="188" spans="1:8">
      <c r="A188" s="1">
        <v>187</v>
      </c>
      <c r="B188" s="1" t="s">
        <v>4</v>
      </c>
      <c r="C188" s="1">
        <v>2.7331566953145901E-2</v>
      </c>
      <c r="H188">
        <v>-6.3102690000000003E-3</v>
      </c>
    </row>
    <row r="189" spans="1:8">
      <c r="A189" s="1">
        <v>188</v>
      </c>
      <c r="B189" s="1" t="s">
        <v>4</v>
      </c>
      <c r="C189" s="1">
        <v>6.1682316527829004E-3</v>
      </c>
      <c r="H189">
        <v>-1.9922833000000001E-2</v>
      </c>
    </row>
    <row r="190" spans="1:8">
      <c r="A190" s="1">
        <v>189</v>
      </c>
      <c r="B190" s="1" t="s">
        <v>4</v>
      </c>
      <c r="C190" s="1">
        <v>-8.7200370633020406E-3</v>
      </c>
      <c r="H190">
        <v>-5.8521210000000001E-3</v>
      </c>
    </row>
    <row r="191" spans="1:8">
      <c r="A191" s="1">
        <v>190</v>
      </c>
      <c r="B191" s="1" t="s">
        <v>180</v>
      </c>
      <c r="C191" s="1">
        <v>-5.9260453202144299E-2</v>
      </c>
      <c r="H191">
        <v>-2.6809960000000002E-3</v>
      </c>
    </row>
    <row r="192" spans="1:8">
      <c r="A192" s="1">
        <v>191</v>
      </c>
      <c r="B192" s="1" t="s">
        <v>4</v>
      </c>
      <c r="C192" s="1">
        <v>4.0287485140268503E-2</v>
      </c>
      <c r="H192">
        <v>6.2898700000000004E-3</v>
      </c>
    </row>
    <row r="193" spans="1:8">
      <c r="A193" s="1">
        <v>192</v>
      </c>
      <c r="B193" s="1" t="s">
        <v>4</v>
      </c>
      <c r="C193" s="1">
        <v>1.7242767815453398E-2</v>
      </c>
      <c r="H193">
        <v>2.1229838000000001E-2</v>
      </c>
    </row>
    <row r="194" spans="1:8">
      <c r="A194" s="1">
        <v>193</v>
      </c>
      <c r="B194" s="1" t="s">
        <v>180</v>
      </c>
      <c r="C194" s="2">
        <v>2.9508995289972901E-5</v>
      </c>
      <c r="H194">
        <v>1.887113E-2</v>
      </c>
    </row>
    <row r="195" spans="1:8">
      <c r="A195" s="1">
        <v>194</v>
      </c>
      <c r="B195" s="1" t="s">
        <v>4</v>
      </c>
      <c r="C195" s="1">
        <v>-6.3102689299867603E-3</v>
      </c>
      <c r="H195">
        <v>-1.1116905999999999E-2</v>
      </c>
    </row>
    <row r="196" spans="1:8">
      <c r="A196" s="1">
        <v>195</v>
      </c>
      <c r="B196" s="1" t="s">
        <v>4</v>
      </c>
      <c r="C196" s="1">
        <v>-1.9922832582995601E-2</v>
      </c>
      <c r="H196">
        <v>-3.4546910000000002E-3</v>
      </c>
    </row>
    <row r="197" spans="1:8">
      <c r="A197" s="1">
        <v>196</v>
      </c>
      <c r="B197" s="1" t="s">
        <v>4</v>
      </c>
      <c r="C197" s="1">
        <v>-5.8521214558027099E-3</v>
      </c>
      <c r="H197">
        <v>-3.4152132000000002E-2</v>
      </c>
    </row>
    <row r="198" spans="1:8">
      <c r="A198" s="1">
        <v>197</v>
      </c>
      <c r="B198" s="1" t="s">
        <v>4</v>
      </c>
      <c r="C198" s="1">
        <v>-2.6809960243134802E-3</v>
      </c>
      <c r="H198">
        <v>-5.4489389999999999E-3</v>
      </c>
    </row>
    <row r="199" spans="1:8">
      <c r="A199" s="1">
        <v>198</v>
      </c>
      <c r="B199" s="1" t="s">
        <v>4</v>
      </c>
      <c r="C199" s="1">
        <v>6.2898704678673303E-3</v>
      </c>
      <c r="H199">
        <v>-7.9223780000000008E-3</v>
      </c>
    </row>
    <row r="200" spans="1:8">
      <c r="A200" s="1">
        <v>199</v>
      </c>
      <c r="B200" s="1" t="s">
        <v>180</v>
      </c>
      <c r="C200" s="1">
        <v>-8.3264106869194096E-3</v>
      </c>
      <c r="H200">
        <v>1.5563980999999999E-2</v>
      </c>
    </row>
    <row r="201" spans="1:8">
      <c r="A201" s="1">
        <v>200</v>
      </c>
      <c r="B201" s="1" t="s">
        <v>4</v>
      </c>
      <c r="C201" s="1">
        <v>2.1229838075079499E-2</v>
      </c>
      <c r="H201">
        <v>1.2198789E-2</v>
      </c>
    </row>
    <row r="202" spans="1:8">
      <c r="A202" s="1">
        <v>201</v>
      </c>
      <c r="B202" s="1" t="s">
        <v>4</v>
      </c>
      <c r="C202" s="1">
        <v>1.88711299624841E-2</v>
      </c>
      <c r="H202">
        <v>2.6265421000000001E-2</v>
      </c>
    </row>
    <row r="203" spans="1:8">
      <c r="A203" s="1">
        <v>202</v>
      </c>
      <c r="B203" s="1" t="s">
        <v>4</v>
      </c>
      <c r="C203" s="1">
        <v>-1.11169055024715E-2</v>
      </c>
      <c r="H203">
        <v>5.7988689999999999E-3</v>
      </c>
    </row>
    <row r="204" spans="1:8">
      <c r="A204" s="1">
        <v>203</v>
      </c>
      <c r="B204" s="1" t="s">
        <v>4</v>
      </c>
      <c r="C204" s="1">
        <v>-3.45469087531569E-3</v>
      </c>
      <c r="H204">
        <v>-2.0263454E-2</v>
      </c>
    </row>
    <row r="205" spans="1:8">
      <c r="A205" s="1">
        <v>204</v>
      </c>
      <c r="B205" s="1" t="s">
        <v>4</v>
      </c>
      <c r="C205" s="1">
        <v>-3.4152132393131703E-2</v>
      </c>
      <c r="H205">
        <v>5.4602029000000003E-2</v>
      </c>
    </row>
    <row r="206" spans="1:8">
      <c r="A206" s="1">
        <v>205</v>
      </c>
      <c r="B206" s="1" t="s">
        <v>4</v>
      </c>
      <c r="C206" s="1">
        <v>-5.4489386546947502E-3</v>
      </c>
      <c r="H206">
        <v>9.8075149999999993E-3</v>
      </c>
    </row>
    <row r="207" spans="1:8">
      <c r="A207" s="1">
        <v>206</v>
      </c>
      <c r="B207" s="1" t="s">
        <v>4</v>
      </c>
      <c r="C207" s="1">
        <v>-7.9223777979535708E-3</v>
      </c>
      <c r="H207">
        <v>-2.2582527000000002E-2</v>
      </c>
    </row>
    <row r="208" spans="1:8">
      <c r="A208" s="1">
        <v>207</v>
      </c>
      <c r="B208" s="1" t="s">
        <v>4</v>
      </c>
      <c r="C208" s="1">
        <v>1.5563980674136699E-2</v>
      </c>
      <c r="H208">
        <v>4.4891489999999996E-3</v>
      </c>
    </row>
    <row r="209" spans="1:8">
      <c r="A209" s="1">
        <v>208</v>
      </c>
      <c r="B209" s="1" t="s">
        <v>4</v>
      </c>
      <c r="C209" s="1">
        <v>1.21987892626123E-2</v>
      </c>
      <c r="H209">
        <v>-2.1683419999999998E-2</v>
      </c>
    </row>
    <row r="210" spans="1:8">
      <c r="A210" s="1">
        <v>209</v>
      </c>
      <c r="B210" s="1" t="s">
        <v>4</v>
      </c>
      <c r="C210" s="1">
        <v>2.62654212234565E-2</v>
      </c>
      <c r="H210">
        <v>5.3711169000000003E-2</v>
      </c>
    </row>
    <row r="211" spans="1:8">
      <c r="A211" s="1">
        <v>210</v>
      </c>
      <c r="B211" s="1" t="s">
        <v>4</v>
      </c>
      <c r="C211" s="1">
        <v>5.79886922051287E-3</v>
      </c>
      <c r="H211">
        <v>-1.4695260000000001E-3</v>
      </c>
    </row>
    <row r="212" spans="1:8">
      <c r="A212" s="1">
        <v>211</v>
      </c>
      <c r="B212" s="1" t="s">
        <v>4</v>
      </c>
      <c r="C212" s="1">
        <v>-2.02634536408473E-2</v>
      </c>
      <c r="H212">
        <v>-2.4613023000000001E-2</v>
      </c>
    </row>
    <row r="213" spans="1:8">
      <c r="A213" s="1">
        <v>212</v>
      </c>
      <c r="B213" s="1" t="s">
        <v>4</v>
      </c>
      <c r="C213" s="1">
        <v>5.4602029484125E-2</v>
      </c>
      <c r="H213">
        <v>-1.2385462E-2</v>
      </c>
    </row>
    <row r="214" spans="1:8">
      <c r="A214" s="1">
        <v>213</v>
      </c>
      <c r="B214" s="1" t="s">
        <v>4</v>
      </c>
      <c r="C214" s="1">
        <v>9.8075153958196992E-3</v>
      </c>
      <c r="H214">
        <v>-1.7284213999999999E-2</v>
      </c>
    </row>
    <row r="215" spans="1:8">
      <c r="A215" s="1">
        <v>214</v>
      </c>
      <c r="B215" s="1" t="s">
        <v>4</v>
      </c>
      <c r="C215" s="1">
        <v>-2.2582527145518599E-2</v>
      </c>
      <c r="H215">
        <v>-1.2306596E-2</v>
      </c>
    </row>
    <row r="216" spans="1:8">
      <c r="A216" s="1">
        <v>215</v>
      </c>
      <c r="B216" s="1" t="s">
        <v>4</v>
      </c>
      <c r="C216" s="1">
        <v>4.4891489107072797E-3</v>
      </c>
      <c r="H216">
        <v>6.2055829999999998E-3</v>
      </c>
    </row>
    <row r="217" spans="1:8">
      <c r="A217" s="1">
        <v>216</v>
      </c>
      <c r="B217" s="1" t="s">
        <v>4</v>
      </c>
      <c r="C217" s="1">
        <v>-2.16834200787232E-2</v>
      </c>
      <c r="H217">
        <v>-2.2572767000000001E-2</v>
      </c>
    </row>
    <row r="218" spans="1:8">
      <c r="A218" s="1">
        <v>217</v>
      </c>
      <c r="B218" s="1" t="s">
        <v>4</v>
      </c>
      <c r="C218" s="1">
        <v>5.3711168560809597E-2</v>
      </c>
      <c r="H218">
        <v>7.5362420000000003E-3</v>
      </c>
    </row>
    <row r="219" spans="1:8">
      <c r="A219" s="1">
        <v>218</v>
      </c>
      <c r="B219" s="1" t="s">
        <v>4</v>
      </c>
      <c r="C219" s="1">
        <v>-1.46952609739514E-3</v>
      </c>
      <c r="H219">
        <v>-2.5473230999999999E-2</v>
      </c>
    </row>
    <row r="220" spans="1:8">
      <c r="A220" s="1">
        <v>219</v>
      </c>
      <c r="B220" s="1" t="s">
        <v>180</v>
      </c>
      <c r="C220" s="1">
        <v>8.4348933050506503E-3</v>
      </c>
      <c r="H220">
        <v>-1.3453209000000001E-2</v>
      </c>
    </row>
    <row r="221" spans="1:8">
      <c r="A221" s="1">
        <v>220</v>
      </c>
      <c r="B221" s="1" t="s">
        <v>4</v>
      </c>
      <c r="C221" s="1">
        <v>-2.4613022529469501E-2</v>
      </c>
      <c r="H221">
        <v>1.6099058999999999E-2</v>
      </c>
    </row>
    <row r="222" spans="1:8">
      <c r="A222" s="1">
        <v>221</v>
      </c>
      <c r="B222" s="1" t="s">
        <v>4</v>
      </c>
      <c r="C222" s="1">
        <v>-1.2385461900841201E-2</v>
      </c>
      <c r="H222">
        <v>2.9007214E-2</v>
      </c>
    </row>
    <row r="223" spans="1:8">
      <c r="A223" s="1">
        <v>222</v>
      </c>
      <c r="B223" s="1" t="s">
        <v>4</v>
      </c>
      <c r="C223" s="1">
        <v>-1.7284214282933599E-2</v>
      </c>
      <c r="H223">
        <v>1.6882449000000001E-2</v>
      </c>
    </row>
    <row r="224" spans="1:8">
      <c r="A224" s="1">
        <v>223</v>
      </c>
      <c r="B224" s="1" t="s">
        <v>4</v>
      </c>
      <c r="C224" s="1">
        <v>-1.23065962282282E-2</v>
      </c>
      <c r="H224">
        <v>-3.6118159999999999E-3</v>
      </c>
    </row>
    <row r="225" spans="1:8">
      <c r="A225" s="1">
        <v>224</v>
      </c>
      <c r="B225" s="1" t="s">
        <v>4</v>
      </c>
      <c r="C225" s="1">
        <v>6.2055825974525096E-3</v>
      </c>
      <c r="H225">
        <v>1.3116131E-2</v>
      </c>
    </row>
    <row r="226" spans="1:8">
      <c r="A226" s="1">
        <v>225</v>
      </c>
      <c r="B226" s="1" t="s">
        <v>4</v>
      </c>
      <c r="C226" s="1">
        <v>-2.2572767226275599E-2</v>
      </c>
      <c r="H226">
        <v>-5.0962067999999999E-2</v>
      </c>
    </row>
    <row r="227" spans="1:8">
      <c r="A227" s="1">
        <v>226</v>
      </c>
      <c r="B227" s="1" t="s">
        <v>4</v>
      </c>
      <c r="C227" s="1">
        <v>7.53624227935034E-3</v>
      </c>
      <c r="H227">
        <v>-2.9843023E-2</v>
      </c>
    </row>
    <row r="228" spans="1:8">
      <c r="A228" s="1">
        <v>227</v>
      </c>
      <c r="B228" s="1" t="s">
        <v>4</v>
      </c>
      <c r="C228" s="1">
        <v>-2.54732313874797E-2</v>
      </c>
      <c r="H228">
        <v>5.3279379999999999E-3</v>
      </c>
    </row>
    <row r="229" spans="1:8">
      <c r="A229" s="1">
        <v>228</v>
      </c>
      <c r="B229" s="1" t="s">
        <v>4</v>
      </c>
      <c r="C229" s="1">
        <v>-1.34532089620229E-2</v>
      </c>
      <c r="H229">
        <v>-7.8214663000000004E-2</v>
      </c>
    </row>
    <row r="230" spans="1:8">
      <c r="A230" s="1">
        <v>229</v>
      </c>
      <c r="B230" s="1" t="s">
        <v>4</v>
      </c>
      <c r="C230" s="1">
        <v>1.6099059262515401E-2</v>
      </c>
      <c r="H230">
        <v>-1.565687E-2</v>
      </c>
    </row>
    <row r="231" spans="1:8">
      <c r="A231" s="1">
        <v>230</v>
      </c>
      <c r="B231" s="1" t="s">
        <v>4</v>
      </c>
      <c r="C231" s="1">
        <v>2.90072141015098E-2</v>
      </c>
      <c r="H231">
        <v>-2.5628188999999999E-2</v>
      </c>
    </row>
    <row r="232" spans="1:8">
      <c r="A232" s="1">
        <v>231</v>
      </c>
      <c r="B232" s="1" t="s">
        <v>4</v>
      </c>
      <c r="C232" s="1">
        <v>1.6882449067033099E-2</v>
      </c>
      <c r="H232">
        <v>-6.5171020000000003E-3</v>
      </c>
    </row>
    <row r="233" spans="1:8">
      <c r="A233" s="1">
        <v>232</v>
      </c>
      <c r="B233" s="1" t="s">
        <v>4</v>
      </c>
      <c r="C233" s="1">
        <v>-3.6118160808626901E-3</v>
      </c>
      <c r="H233">
        <v>3.9318950000000004E-3</v>
      </c>
    </row>
    <row r="234" spans="1:8">
      <c r="A234" s="1">
        <v>233</v>
      </c>
      <c r="B234" s="1" t="s">
        <v>4</v>
      </c>
      <c r="C234" s="1">
        <v>1.3116131431157399E-2</v>
      </c>
      <c r="H234">
        <v>-2.7681606000000001E-2</v>
      </c>
    </row>
    <row r="235" spans="1:8">
      <c r="A235" s="1">
        <v>234</v>
      </c>
      <c r="B235" s="1" t="s">
        <v>4</v>
      </c>
      <c r="C235" s="1">
        <v>-5.0962067842050297E-2</v>
      </c>
      <c r="H235">
        <v>-1.0289922999999999E-2</v>
      </c>
    </row>
    <row r="236" spans="1:8">
      <c r="A236" s="1">
        <v>235</v>
      </c>
      <c r="B236" s="1" t="s">
        <v>4</v>
      </c>
      <c r="C236" s="1">
        <v>-2.98430234652187E-2</v>
      </c>
      <c r="H236">
        <v>7.6858459999999997E-3</v>
      </c>
    </row>
    <row r="237" spans="1:8">
      <c r="A237" s="1">
        <v>236</v>
      </c>
      <c r="B237" s="1" t="s">
        <v>180</v>
      </c>
      <c r="C237" s="1">
        <v>3.2018797519927297E-2</v>
      </c>
      <c r="H237">
        <v>-2.3176881E-2</v>
      </c>
    </row>
    <row r="238" spans="1:8">
      <c r="A238" s="1">
        <v>237</v>
      </c>
      <c r="B238" s="1" t="s">
        <v>4</v>
      </c>
      <c r="C238" s="1">
        <v>5.3279381030613103E-3</v>
      </c>
      <c r="H238">
        <v>-2.0233060000000001E-2</v>
      </c>
    </row>
    <row r="239" spans="1:8">
      <c r="A239" s="1">
        <v>238</v>
      </c>
      <c r="B239" s="1" t="s">
        <v>4</v>
      </c>
      <c r="C239" s="1">
        <v>-7.8214662772985805E-2</v>
      </c>
      <c r="H239">
        <v>-3.0162349999999999E-3</v>
      </c>
    </row>
    <row r="240" spans="1:8">
      <c r="A240" s="1">
        <v>239</v>
      </c>
      <c r="B240" s="1" t="s">
        <v>4</v>
      </c>
      <c r="C240" s="1">
        <v>-1.56568699329717E-2</v>
      </c>
      <c r="H240">
        <v>1.6010956E-2</v>
      </c>
    </row>
    <row r="241" spans="1:8">
      <c r="A241" s="1">
        <v>240</v>
      </c>
      <c r="B241" s="1" t="s">
        <v>180</v>
      </c>
      <c r="C241" s="1">
        <v>-1.32689674769466E-2</v>
      </c>
      <c r="H241">
        <v>-2.2203504999999998E-2</v>
      </c>
    </row>
    <row r="242" spans="1:8">
      <c r="A242" s="1">
        <v>241</v>
      </c>
      <c r="B242" s="1" t="s">
        <v>4</v>
      </c>
      <c r="C242" s="1">
        <v>-2.5628188572394298E-2</v>
      </c>
      <c r="H242">
        <v>1.7518519E-2</v>
      </c>
    </row>
    <row r="243" spans="1:8">
      <c r="A243" s="1">
        <v>242</v>
      </c>
      <c r="B243" s="1" t="s">
        <v>4</v>
      </c>
      <c r="C243" s="1">
        <v>-6.5171019741434499E-3</v>
      </c>
      <c r="H243">
        <v>1.8908132000000001E-2</v>
      </c>
    </row>
    <row r="244" spans="1:8">
      <c r="A244" s="1">
        <v>243</v>
      </c>
      <c r="B244" s="1" t="s">
        <v>4</v>
      </c>
      <c r="C244" s="1">
        <v>3.9318949113491498E-3</v>
      </c>
      <c r="H244">
        <v>4.725735E-3</v>
      </c>
    </row>
    <row r="245" spans="1:8">
      <c r="A245" s="1">
        <v>244</v>
      </c>
      <c r="B245" s="1" t="s">
        <v>4</v>
      </c>
      <c r="C245" s="1">
        <v>-2.7681606384575699E-2</v>
      </c>
      <c r="H245">
        <v>4.5105208000000001E-2</v>
      </c>
    </row>
    <row r="246" spans="1:8">
      <c r="A246" s="1">
        <v>245</v>
      </c>
      <c r="B246" s="1" t="s">
        <v>4</v>
      </c>
      <c r="C246" s="1">
        <v>-1.02899233985453E-2</v>
      </c>
      <c r="H246">
        <v>4.6624397999999997E-2</v>
      </c>
    </row>
    <row r="247" spans="1:8">
      <c r="A247" s="1">
        <v>246</v>
      </c>
      <c r="B247" s="1" t="s">
        <v>4</v>
      </c>
      <c r="C247" s="1">
        <v>7.6858460998976402E-3</v>
      </c>
      <c r="H247">
        <v>-3.6812342999999997E-2</v>
      </c>
    </row>
    <row r="248" spans="1:8">
      <c r="A248" s="1">
        <v>247</v>
      </c>
      <c r="B248" s="1" t="s">
        <v>4</v>
      </c>
      <c r="C248" s="1">
        <v>-2.3176881240309401E-2</v>
      </c>
      <c r="H248">
        <v>6.3398159999999999E-3</v>
      </c>
    </row>
    <row r="249" spans="1:8">
      <c r="A249" s="1">
        <v>248</v>
      </c>
      <c r="B249" s="1" t="s">
        <v>4</v>
      </c>
      <c r="C249" s="1">
        <v>-2.0233060319735902E-2</v>
      </c>
      <c r="H249">
        <v>-2.3930660000000001E-3</v>
      </c>
    </row>
    <row r="250" spans="1:8">
      <c r="A250" s="1">
        <v>249</v>
      </c>
      <c r="B250" s="1" t="s">
        <v>4</v>
      </c>
      <c r="C250" s="1">
        <v>-3.0162345650523999E-3</v>
      </c>
      <c r="H250">
        <v>6.8776599999999998E-3</v>
      </c>
    </row>
    <row r="251" spans="1:8">
      <c r="A251" s="1">
        <v>250</v>
      </c>
      <c r="B251" s="1" t="s">
        <v>4</v>
      </c>
      <c r="C251" s="1">
        <v>1.6010956197419501E-2</v>
      </c>
      <c r="H251">
        <v>-1.774252E-3</v>
      </c>
    </row>
    <row r="252" spans="1:8">
      <c r="A252" s="1">
        <v>251</v>
      </c>
      <c r="B252" s="1" t="s">
        <v>4</v>
      </c>
      <c r="C252" s="1">
        <v>-2.2203505062222399E-2</v>
      </c>
      <c r="H252">
        <v>1.2690205E-2</v>
      </c>
    </row>
    <row r="253" spans="1:8">
      <c r="A253" s="1">
        <v>252</v>
      </c>
      <c r="B253" s="1" t="s">
        <v>4</v>
      </c>
      <c r="C253" s="1">
        <v>1.7518519387218399E-2</v>
      </c>
      <c r="H253">
        <v>3.8692190000000001E-3</v>
      </c>
    </row>
    <row r="254" spans="1:8">
      <c r="A254" s="1">
        <v>253</v>
      </c>
      <c r="B254" s="1" t="s">
        <v>4</v>
      </c>
      <c r="C254" s="1">
        <v>1.89081322275228E-2</v>
      </c>
      <c r="H254">
        <v>-2.0756175000000002E-2</v>
      </c>
    </row>
    <row r="255" spans="1:8">
      <c r="A255" s="1">
        <v>254</v>
      </c>
      <c r="B255" s="1" t="s">
        <v>4</v>
      </c>
      <c r="C255" s="1">
        <v>4.7257346757696404E-3</v>
      </c>
      <c r="H255">
        <v>-3.9981487000000003E-2</v>
      </c>
    </row>
    <row r="256" spans="1:8">
      <c r="A256" s="1">
        <v>255</v>
      </c>
      <c r="B256" s="1" t="s">
        <v>4</v>
      </c>
      <c r="C256" s="1">
        <v>4.51052084970626E-2</v>
      </c>
      <c r="H256">
        <v>2.5275162E-2</v>
      </c>
    </row>
    <row r="257" spans="1:8">
      <c r="A257" s="1">
        <v>256</v>
      </c>
      <c r="B257" s="1" t="s">
        <v>4</v>
      </c>
      <c r="C257" s="1">
        <v>4.6624397975688403E-2</v>
      </c>
      <c r="H257">
        <v>5.1064359999999998E-3</v>
      </c>
    </row>
    <row r="258" spans="1:8">
      <c r="A258" s="1">
        <v>257</v>
      </c>
      <c r="B258" s="1" t="s">
        <v>4</v>
      </c>
      <c r="C258" s="1">
        <v>-3.6812343451430203E-2</v>
      </c>
      <c r="H258">
        <v>2.802613E-2</v>
      </c>
    </row>
    <row r="259" spans="1:8">
      <c r="A259" s="1">
        <v>258</v>
      </c>
      <c r="B259" s="1" t="s">
        <v>4</v>
      </c>
      <c r="C259" s="1">
        <v>6.3398164187162803E-3</v>
      </c>
      <c r="H259">
        <v>-1.1817200999999999E-2</v>
      </c>
    </row>
    <row r="260" spans="1:8">
      <c r="A260" s="1">
        <v>259</v>
      </c>
      <c r="B260" s="1" t="s">
        <v>4</v>
      </c>
      <c r="C260" s="1">
        <v>-2.3930656385289201E-3</v>
      </c>
      <c r="H260">
        <v>1.2969431E-2</v>
      </c>
    </row>
    <row r="261" spans="1:8">
      <c r="A261" s="1">
        <v>260</v>
      </c>
      <c r="B261" s="1" t="s">
        <v>4</v>
      </c>
      <c r="C261" s="1">
        <v>6.8776597381514596E-3</v>
      </c>
      <c r="H261">
        <v>-1.4373522999999999E-2</v>
      </c>
    </row>
    <row r="262" spans="1:8">
      <c r="A262" s="1">
        <v>261</v>
      </c>
      <c r="B262" s="1" t="s">
        <v>180</v>
      </c>
      <c r="C262" s="1">
        <v>-2.4929712927992301E-2</v>
      </c>
      <c r="H262">
        <v>-8.3426060000000007E-3</v>
      </c>
    </row>
    <row r="263" spans="1:8">
      <c r="A263" s="1">
        <v>262</v>
      </c>
      <c r="B263" s="1" t="s">
        <v>4</v>
      </c>
      <c r="C263" s="1">
        <v>-1.7742523454273801E-3</v>
      </c>
      <c r="H263">
        <v>9.6231279999999999E-3</v>
      </c>
    </row>
    <row r="264" spans="1:8">
      <c r="A264" s="1">
        <v>263</v>
      </c>
      <c r="B264" s="1" t="s">
        <v>4</v>
      </c>
      <c r="C264" s="1">
        <v>1.26902045249011E-2</v>
      </c>
      <c r="H264">
        <v>-1.1327435E-2</v>
      </c>
    </row>
    <row r="265" spans="1:8">
      <c r="A265" s="1">
        <v>264</v>
      </c>
      <c r="B265" s="1" t="s">
        <v>4</v>
      </c>
      <c r="C265" s="1">
        <v>3.8692193086768902E-3</v>
      </c>
      <c r="H265">
        <v>-1.4949762E-2</v>
      </c>
    </row>
    <row r="266" spans="1:8">
      <c r="A266" s="1">
        <v>265</v>
      </c>
      <c r="B266" s="1" t="s">
        <v>4</v>
      </c>
      <c r="C266" s="1">
        <v>-2.0756175160514E-2</v>
      </c>
      <c r="H266">
        <v>-1.3648745E-2</v>
      </c>
    </row>
    <row r="267" spans="1:8">
      <c r="A267" s="1">
        <v>266</v>
      </c>
      <c r="B267" s="1" t="s">
        <v>4</v>
      </c>
      <c r="C267" s="1">
        <v>-3.9981487221964998E-2</v>
      </c>
      <c r="H267">
        <v>2.6493710000000002E-3</v>
      </c>
    </row>
    <row r="268" spans="1:8">
      <c r="A268" s="1">
        <v>267</v>
      </c>
      <c r="B268" s="1" t="s">
        <v>4</v>
      </c>
      <c r="C268" s="1">
        <v>2.52751617756601E-2</v>
      </c>
      <c r="H268">
        <v>-5.2913020000000003E-3</v>
      </c>
    </row>
    <row r="269" spans="1:8">
      <c r="A269" s="1">
        <v>268</v>
      </c>
      <c r="B269" s="1" t="s">
        <v>4</v>
      </c>
      <c r="C269" s="1">
        <v>5.1064360321646501E-3</v>
      </c>
      <c r="H269">
        <v>-7.8274520000000004E-3</v>
      </c>
    </row>
    <row r="270" spans="1:8">
      <c r="A270" s="1">
        <v>269</v>
      </c>
      <c r="B270" s="1" t="s">
        <v>4</v>
      </c>
      <c r="C270" s="1">
        <v>2.8026129843482201E-2</v>
      </c>
      <c r="H270">
        <v>-4.3364250999999999E-2</v>
      </c>
    </row>
    <row r="271" spans="1:8">
      <c r="A271" s="1">
        <v>270</v>
      </c>
      <c r="B271" s="1" t="s">
        <v>4</v>
      </c>
      <c r="C271" s="1">
        <v>-1.1817201352840799E-2</v>
      </c>
      <c r="H271">
        <v>1.150147E-3</v>
      </c>
    </row>
    <row r="272" spans="1:8">
      <c r="A272" s="1">
        <v>271</v>
      </c>
      <c r="B272" s="1" t="s">
        <v>4</v>
      </c>
      <c r="C272" s="1">
        <v>1.29694309710011E-2</v>
      </c>
      <c r="H272">
        <v>-3.6794600000000002E-4</v>
      </c>
    </row>
    <row r="273" spans="1:8">
      <c r="A273" s="1">
        <v>272</v>
      </c>
      <c r="B273" s="1" t="s">
        <v>4</v>
      </c>
      <c r="C273" s="1">
        <v>-1.4373522941620601E-2</v>
      </c>
      <c r="H273">
        <v>-3.101899E-3</v>
      </c>
    </row>
    <row r="274" spans="1:8">
      <c r="A274" s="1">
        <v>273</v>
      </c>
      <c r="B274" s="1" t="s">
        <v>4</v>
      </c>
      <c r="C274" s="1">
        <v>-8.3426056048310198E-3</v>
      </c>
      <c r="H274">
        <v>-1.2296433000000001E-2</v>
      </c>
    </row>
    <row r="275" spans="1:8">
      <c r="A275" s="1">
        <v>274</v>
      </c>
      <c r="B275" s="1" t="s">
        <v>4</v>
      </c>
      <c r="C275" s="1">
        <v>9.6231282120271492E-3</v>
      </c>
      <c r="H275">
        <v>9.1627960000000008E-3</v>
      </c>
    </row>
    <row r="276" spans="1:8">
      <c r="A276" s="1">
        <v>275</v>
      </c>
      <c r="B276" s="1" t="s">
        <v>4</v>
      </c>
      <c r="C276" s="1">
        <v>-1.1327434739868599E-2</v>
      </c>
      <c r="H276">
        <v>-1.2640210000000001E-2</v>
      </c>
    </row>
    <row r="277" spans="1:8">
      <c r="A277" s="1">
        <v>276</v>
      </c>
      <c r="B277" s="1" t="s">
        <v>4</v>
      </c>
      <c r="C277" s="1">
        <v>-1.4949761605578199E-2</v>
      </c>
      <c r="H277">
        <v>4.3967290000000003E-3</v>
      </c>
    </row>
    <row r="278" spans="1:8">
      <c r="A278" s="1">
        <v>277</v>
      </c>
      <c r="B278" s="1" t="s">
        <v>180</v>
      </c>
      <c r="C278" s="1">
        <v>9.90356837064609E-4</v>
      </c>
      <c r="H278">
        <v>-6.0503479999999997E-3</v>
      </c>
    </row>
    <row r="279" spans="1:8">
      <c r="A279" s="1">
        <v>278</v>
      </c>
      <c r="B279" s="1" t="s">
        <v>4</v>
      </c>
      <c r="C279" s="1">
        <v>-1.36487453060709E-2</v>
      </c>
      <c r="H279">
        <v>-8.0415130000000001E-3</v>
      </c>
    </row>
    <row r="280" spans="1:8">
      <c r="A280" s="1">
        <v>279</v>
      </c>
      <c r="B280" s="1" t="s">
        <v>4</v>
      </c>
      <c r="C280" s="1">
        <v>2.6493713718878098E-3</v>
      </c>
      <c r="H280">
        <v>-7.9539499999999996E-3</v>
      </c>
    </row>
    <row r="281" spans="1:8">
      <c r="A281" s="1">
        <v>280</v>
      </c>
      <c r="B281" s="1" t="s">
        <v>4</v>
      </c>
      <c r="C281" s="1">
        <v>-5.2913022326350704E-3</v>
      </c>
      <c r="H281">
        <v>-8.6072800000000001E-3</v>
      </c>
    </row>
    <row r="282" spans="1:8">
      <c r="A282" s="1">
        <v>281</v>
      </c>
      <c r="B282" s="1" t="s">
        <v>4</v>
      </c>
      <c r="C282" s="1">
        <v>-7.8274519401446696E-3</v>
      </c>
      <c r="H282">
        <v>-3.4042078000000003E-2</v>
      </c>
    </row>
    <row r="283" spans="1:8">
      <c r="A283" s="1">
        <v>282</v>
      </c>
      <c r="B283" s="1" t="s">
        <v>180</v>
      </c>
      <c r="C283" s="1">
        <v>-4.9474081058775701E-3</v>
      </c>
      <c r="H283">
        <v>-3.2773902000000001E-2</v>
      </c>
    </row>
    <row r="284" spans="1:8">
      <c r="A284" s="1">
        <v>283</v>
      </c>
      <c r="B284" s="1" t="s">
        <v>4</v>
      </c>
      <c r="C284" s="1">
        <v>-4.3364251381689201E-2</v>
      </c>
      <c r="H284">
        <v>3.660562E-3</v>
      </c>
    </row>
    <row r="285" spans="1:8">
      <c r="A285" s="1">
        <v>284</v>
      </c>
      <c r="B285" s="1" t="s">
        <v>4</v>
      </c>
      <c r="C285" s="1">
        <v>1.1501468368848499E-3</v>
      </c>
      <c r="H285">
        <v>1.6946651E-2</v>
      </c>
    </row>
    <row r="286" spans="1:8">
      <c r="A286" s="1">
        <v>285</v>
      </c>
      <c r="B286" s="1" t="s">
        <v>4</v>
      </c>
      <c r="C286" s="1">
        <v>-3.6794640882931103E-4</v>
      </c>
      <c r="H286">
        <v>-2.5888047000000001E-2</v>
      </c>
    </row>
    <row r="287" spans="1:8">
      <c r="A287" s="1">
        <v>286</v>
      </c>
      <c r="B287" s="1" t="s">
        <v>4</v>
      </c>
      <c r="C287" s="1">
        <v>-3.1018992603151201E-3</v>
      </c>
      <c r="H287">
        <v>6.5608519999999998E-3</v>
      </c>
    </row>
    <row r="288" spans="1:8">
      <c r="A288" s="1">
        <v>287</v>
      </c>
      <c r="B288" s="1" t="s">
        <v>4</v>
      </c>
      <c r="C288" s="1">
        <v>-1.2296433327364201E-2</v>
      </c>
      <c r="H288">
        <v>-1.8845536999999999E-2</v>
      </c>
    </row>
    <row r="289" spans="1:8">
      <c r="A289" s="1">
        <v>288</v>
      </c>
      <c r="B289" s="1" t="s">
        <v>180</v>
      </c>
      <c r="C289" s="1">
        <v>-3.8530451426034E-2</v>
      </c>
      <c r="H289">
        <v>-3.0306909999999999E-3</v>
      </c>
    </row>
    <row r="290" spans="1:8">
      <c r="A290" s="1">
        <v>289</v>
      </c>
      <c r="B290" s="1" t="s">
        <v>4</v>
      </c>
      <c r="C290" s="1">
        <v>9.1627959640057099E-3</v>
      </c>
      <c r="H290">
        <v>2.5044436999999999E-2</v>
      </c>
    </row>
    <row r="291" spans="1:8">
      <c r="A291" s="1">
        <v>290</v>
      </c>
      <c r="B291" s="1" t="s">
        <v>4</v>
      </c>
      <c r="C291" s="1">
        <v>-1.26402100896285E-2</v>
      </c>
      <c r="H291">
        <v>4.1973308000000001E-2</v>
      </c>
    </row>
    <row r="292" spans="1:8">
      <c r="A292" s="1">
        <v>291</v>
      </c>
      <c r="B292" s="1" t="s">
        <v>4</v>
      </c>
      <c r="C292" s="1">
        <v>4.39672907174326E-3</v>
      </c>
      <c r="H292">
        <v>1.1658170000000001E-2</v>
      </c>
    </row>
    <row r="293" spans="1:8">
      <c r="A293" s="1">
        <v>292</v>
      </c>
      <c r="B293" s="1" t="s">
        <v>4</v>
      </c>
      <c r="C293" s="1">
        <v>-6.0503480295395198E-3</v>
      </c>
      <c r="H293">
        <v>2.633579E-3</v>
      </c>
    </row>
    <row r="294" spans="1:8">
      <c r="A294" s="1">
        <v>293</v>
      </c>
      <c r="B294" s="1" t="s">
        <v>4</v>
      </c>
      <c r="C294" s="1">
        <v>-8.04151251102069E-3</v>
      </c>
      <c r="H294">
        <v>-1.6597609999999999E-2</v>
      </c>
    </row>
    <row r="295" spans="1:8">
      <c r="A295" s="1">
        <v>294</v>
      </c>
      <c r="B295" s="1" t="s">
        <v>180</v>
      </c>
      <c r="C295" s="1">
        <v>1.9726104625213702E-2</v>
      </c>
      <c r="H295">
        <v>-1.1742768000000001E-2</v>
      </c>
    </row>
    <row r="296" spans="1:8">
      <c r="A296" s="1">
        <v>295</v>
      </c>
      <c r="B296" s="1" t="s">
        <v>4</v>
      </c>
      <c r="C296" s="1">
        <v>-7.9539503030545602E-3</v>
      </c>
      <c r="H296">
        <v>-1.1483343E-2</v>
      </c>
    </row>
    <row r="297" spans="1:8">
      <c r="A297" s="1">
        <v>296</v>
      </c>
      <c r="B297" s="1" t="s">
        <v>4</v>
      </c>
      <c r="C297" s="1">
        <v>-8.6072801599072993E-3</v>
      </c>
      <c r="H297">
        <v>1.5837106E-2</v>
      </c>
    </row>
    <row r="298" spans="1:8">
      <c r="A298" s="1">
        <v>297</v>
      </c>
      <c r="B298" s="1" t="s">
        <v>4</v>
      </c>
      <c r="C298" s="1">
        <v>-3.4042077847775597E-2</v>
      </c>
      <c r="H298">
        <v>-1.1968099999999999E-4</v>
      </c>
    </row>
    <row r="299" spans="1:8">
      <c r="A299" s="1">
        <v>298</v>
      </c>
      <c r="B299" s="1" t="s">
        <v>4</v>
      </c>
      <c r="C299" s="1">
        <v>-3.27739020208071E-2</v>
      </c>
      <c r="H299">
        <v>1.4019874999999999E-2</v>
      </c>
    </row>
    <row r="300" spans="1:8">
      <c r="A300" s="1">
        <v>299</v>
      </c>
      <c r="B300" s="1" t="s">
        <v>4</v>
      </c>
      <c r="C300" s="1">
        <v>3.6605620754812601E-3</v>
      </c>
      <c r="H300">
        <v>1.0513676E-2</v>
      </c>
    </row>
    <row r="301" spans="1:8">
      <c r="A301" s="1">
        <v>300</v>
      </c>
      <c r="B301" s="1" t="s">
        <v>4</v>
      </c>
      <c r="C301" s="1">
        <v>1.6946651362858601E-2</v>
      </c>
      <c r="H301">
        <v>-1.7563743E-2</v>
      </c>
    </row>
    <row r="302" spans="1:8">
      <c r="A302" s="1">
        <v>301</v>
      </c>
      <c r="B302" s="1" t="s">
        <v>4</v>
      </c>
      <c r="C302" s="1">
        <v>-2.5888046647087201E-2</v>
      </c>
      <c r="H302">
        <v>5.6952319999999997E-3</v>
      </c>
    </row>
    <row r="303" spans="1:8">
      <c r="A303" s="1">
        <v>302</v>
      </c>
      <c r="B303" s="1" t="s">
        <v>4</v>
      </c>
      <c r="C303" s="1">
        <v>6.5608522071158798E-3</v>
      </c>
      <c r="H303">
        <v>1.0263758E-2</v>
      </c>
    </row>
    <row r="304" spans="1:8">
      <c r="A304" s="1">
        <v>303</v>
      </c>
      <c r="B304" s="1" t="s">
        <v>180</v>
      </c>
      <c r="C304" s="1">
        <v>7.5960999095876502E-3</v>
      </c>
      <c r="H304">
        <v>-2.1139738000000002E-2</v>
      </c>
    </row>
    <row r="305" spans="1:8">
      <c r="A305" s="1">
        <v>304</v>
      </c>
      <c r="B305" s="1" t="s">
        <v>4</v>
      </c>
      <c r="C305" s="1">
        <v>-1.88455371055056E-2</v>
      </c>
      <c r="H305">
        <v>-1.7132211000000001E-2</v>
      </c>
    </row>
    <row r="306" spans="1:8">
      <c r="A306" s="1">
        <v>305</v>
      </c>
      <c r="B306" s="1" t="s">
        <v>4</v>
      </c>
      <c r="C306" s="1">
        <v>-3.0306911414115199E-3</v>
      </c>
      <c r="H306">
        <v>-1.7754912000000001E-2</v>
      </c>
    </row>
    <row r="307" spans="1:8">
      <c r="A307" s="1">
        <v>306</v>
      </c>
      <c r="B307" s="1" t="s">
        <v>4</v>
      </c>
      <c r="C307" s="1">
        <v>2.5044436537832799E-2</v>
      </c>
      <c r="H307">
        <v>-1.9843361E-2</v>
      </c>
    </row>
    <row r="308" spans="1:8">
      <c r="A308" s="1">
        <v>307</v>
      </c>
      <c r="B308" s="1" t="s">
        <v>4</v>
      </c>
      <c r="C308" s="1">
        <v>4.1973307804918002E-2</v>
      </c>
      <c r="H308">
        <v>1.2114086E-2</v>
      </c>
    </row>
    <row r="309" spans="1:8">
      <c r="A309" s="1">
        <v>308</v>
      </c>
      <c r="B309" s="1" t="s">
        <v>4</v>
      </c>
      <c r="C309" s="1">
        <v>1.16581701913309E-2</v>
      </c>
      <c r="H309">
        <v>-9.9380479999999997E-3</v>
      </c>
    </row>
    <row r="310" spans="1:8">
      <c r="A310" s="1">
        <v>309</v>
      </c>
      <c r="B310" s="1" t="s">
        <v>4</v>
      </c>
      <c r="C310" s="1">
        <v>2.6335789546294498E-3</v>
      </c>
      <c r="H310">
        <v>-1.1046874E-2</v>
      </c>
    </row>
    <row r="311" spans="1:8">
      <c r="A311" s="1">
        <v>310</v>
      </c>
      <c r="B311" s="1" t="s">
        <v>4</v>
      </c>
      <c r="C311" s="1">
        <v>-1.6597609748657701E-2</v>
      </c>
      <c r="H311">
        <v>-4.0222644000000002E-2</v>
      </c>
    </row>
    <row r="312" spans="1:8">
      <c r="A312" s="1">
        <v>311</v>
      </c>
      <c r="B312" s="1" t="s">
        <v>4</v>
      </c>
      <c r="C312" s="1">
        <v>-1.1742767756920999E-2</v>
      </c>
      <c r="H312">
        <v>2.7413384999999998E-2</v>
      </c>
    </row>
    <row r="313" spans="1:8">
      <c r="A313" s="1">
        <v>312</v>
      </c>
      <c r="B313" s="1" t="s">
        <v>4</v>
      </c>
      <c r="C313" s="1">
        <v>-1.14833425538094E-2</v>
      </c>
      <c r="H313">
        <v>1.6597767999999999E-2</v>
      </c>
    </row>
    <row r="314" spans="1:8">
      <c r="A314" s="1">
        <v>313</v>
      </c>
      <c r="B314" s="1" t="s">
        <v>4</v>
      </c>
      <c r="C314" s="1">
        <v>1.58371058853745E-2</v>
      </c>
      <c r="H314">
        <v>4.2274399999999998E-3</v>
      </c>
    </row>
    <row r="315" spans="1:8">
      <c r="A315" s="1">
        <v>314</v>
      </c>
      <c r="B315" s="1" t="s">
        <v>4</v>
      </c>
      <c r="C315" s="1">
        <v>-1.19681475332811E-4</v>
      </c>
      <c r="H315">
        <v>5.8064730000000004E-3</v>
      </c>
    </row>
    <row r="316" spans="1:8">
      <c r="A316" s="1">
        <v>315</v>
      </c>
      <c r="B316" s="1" t="s">
        <v>4</v>
      </c>
      <c r="C316" s="1">
        <v>1.4019874771836501E-2</v>
      </c>
      <c r="H316">
        <v>3.0469599999999999E-2</v>
      </c>
    </row>
    <row r="317" spans="1:8">
      <c r="A317" s="1">
        <v>316</v>
      </c>
      <c r="B317" s="1" t="s">
        <v>4</v>
      </c>
      <c r="C317" s="1">
        <v>1.0513676091299801E-2</v>
      </c>
      <c r="H317">
        <v>-1.0413092000000001E-2</v>
      </c>
    </row>
    <row r="318" spans="1:8">
      <c r="A318" s="1">
        <v>317</v>
      </c>
      <c r="B318" s="1" t="s">
        <v>180</v>
      </c>
      <c r="C318" s="1">
        <v>4.1486898677538502E-3</v>
      </c>
      <c r="H318">
        <v>4.3092767999999997E-2</v>
      </c>
    </row>
    <row r="319" spans="1:8">
      <c r="A319" s="1">
        <v>318</v>
      </c>
      <c r="B319" s="1" t="s">
        <v>4</v>
      </c>
      <c r="C319" s="1">
        <v>-1.7563742922179701E-2</v>
      </c>
      <c r="H319">
        <v>-1.9034130000000001E-3</v>
      </c>
    </row>
    <row r="320" spans="1:8">
      <c r="A320" s="1">
        <v>319</v>
      </c>
      <c r="B320" s="1" t="s">
        <v>4</v>
      </c>
      <c r="C320" s="1">
        <v>5.6952315220577497E-3</v>
      </c>
      <c r="H320">
        <v>3.7476038000000003E-2</v>
      </c>
    </row>
    <row r="321" spans="1:8">
      <c r="A321" s="1">
        <v>320</v>
      </c>
      <c r="B321" s="1" t="s">
        <v>4</v>
      </c>
      <c r="C321" s="1">
        <v>1.0263757734207899E-2</v>
      </c>
      <c r="H321">
        <v>3.4020400999999999E-2</v>
      </c>
    </row>
    <row r="322" spans="1:8">
      <c r="A322" s="1">
        <v>321</v>
      </c>
      <c r="B322" s="1" t="s">
        <v>4</v>
      </c>
      <c r="C322" s="1">
        <v>-2.1139738094834801E-2</v>
      </c>
      <c r="H322">
        <v>1.0731067E-2</v>
      </c>
    </row>
    <row r="323" spans="1:8">
      <c r="A323" s="1">
        <v>322</v>
      </c>
      <c r="B323" s="1" t="s">
        <v>4</v>
      </c>
      <c r="C323" s="1">
        <v>-1.7132211064790601E-2</v>
      </c>
      <c r="H323">
        <v>1.356664E-3</v>
      </c>
    </row>
    <row r="324" spans="1:8">
      <c r="A324" s="1">
        <v>323</v>
      </c>
      <c r="B324" s="1" t="s">
        <v>4</v>
      </c>
      <c r="C324" s="1">
        <v>-1.77549118739221E-2</v>
      </c>
      <c r="H324">
        <v>1.3578629E-2</v>
      </c>
    </row>
    <row r="325" spans="1:8">
      <c r="A325" s="1">
        <v>324</v>
      </c>
      <c r="B325" s="1" t="s">
        <v>4</v>
      </c>
      <c r="C325" s="1">
        <v>-1.9843360973254599E-2</v>
      </c>
      <c r="H325">
        <v>-2.4398878999999998E-2</v>
      </c>
    </row>
    <row r="326" spans="1:8">
      <c r="A326" s="1">
        <v>325</v>
      </c>
      <c r="B326" s="1" t="s">
        <v>4</v>
      </c>
      <c r="C326" s="1">
        <v>1.21140858769592E-2</v>
      </c>
      <c r="H326">
        <v>-3.2014100000000002E-4</v>
      </c>
    </row>
    <row r="327" spans="1:8">
      <c r="A327" s="1">
        <v>326</v>
      </c>
      <c r="B327" s="1" t="s">
        <v>4</v>
      </c>
      <c r="C327" s="1">
        <v>-9.9380482918824901E-3</v>
      </c>
      <c r="H327">
        <v>1.4799391E-2</v>
      </c>
    </row>
    <row r="328" spans="1:8">
      <c r="A328" s="1">
        <v>327</v>
      </c>
      <c r="B328" s="1" t="s">
        <v>4</v>
      </c>
      <c r="C328" s="1">
        <v>-1.10468742064995E-2</v>
      </c>
      <c r="H328">
        <v>-1.0088079999999999E-2</v>
      </c>
    </row>
    <row r="329" spans="1:8">
      <c r="A329" s="1">
        <v>328</v>
      </c>
      <c r="B329" s="1" t="s">
        <v>4</v>
      </c>
      <c r="C329" s="1">
        <v>-4.02226442986943E-2</v>
      </c>
      <c r="H329">
        <v>1.3602250000000001E-3</v>
      </c>
    </row>
    <row r="330" spans="1:8">
      <c r="A330" s="1">
        <v>329</v>
      </c>
      <c r="B330" s="1" t="s">
        <v>4</v>
      </c>
      <c r="C330" s="1">
        <v>2.7413384607786601E-2</v>
      </c>
      <c r="H330">
        <v>-2.8171723999999999E-2</v>
      </c>
    </row>
    <row r="331" spans="1:8">
      <c r="A331" s="1">
        <v>330</v>
      </c>
      <c r="B331" s="1" t="s">
        <v>4</v>
      </c>
      <c r="C331" s="1">
        <v>1.6597767895202498E-2</v>
      </c>
      <c r="H331">
        <v>1.7362322999999999E-2</v>
      </c>
    </row>
    <row r="332" spans="1:8">
      <c r="A332" s="1">
        <v>331</v>
      </c>
      <c r="B332" s="1" t="s">
        <v>4</v>
      </c>
      <c r="C332" s="1">
        <v>4.22743978969819E-3</v>
      </c>
      <c r="H332">
        <v>-2.5439045E-2</v>
      </c>
    </row>
    <row r="333" spans="1:8">
      <c r="A333" s="1">
        <v>332</v>
      </c>
      <c r="B333" s="1" t="s">
        <v>4</v>
      </c>
      <c r="C333" s="1">
        <v>5.8064732518649997E-3</v>
      </c>
      <c r="H333">
        <v>1.2510795E-2</v>
      </c>
    </row>
    <row r="334" spans="1:8">
      <c r="A334" s="1">
        <v>333</v>
      </c>
      <c r="B334" s="1" t="s">
        <v>4</v>
      </c>
      <c r="C334" s="1">
        <v>3.04695998252952E-2</v>
      </c>
      <c r="H334">
        <v>-2.7650167E-2</v>
      </c>
    </row>
    <row r="335" spans="1:8">
      <c r="A335" s="1">
        <v>334</v>
      </c>
      <c r="B335" s="1" t="s">
        <v>4</v>
      </c>
      <c r="C335" s="1">
        <v>-1.04130924769663E-2</v>
      </c>
      <c r="H335">
        <v>1.6322032E-2</v>
      </c>
    </row>
    <row r="336" spans="1:8">
      <c r="A336" s="1">
        <v>335</v>
      </c>
      <c r="B336" s="1" t="s">
        <v>4</v>
      </c>
      <c r="C336" s="1">
        <v>4.3092767972794301E-2</v>
      </c>
      <c r="H336">
        <v>1.9561469000000001E-2</v>
      </c>
    </row>
    <row r="337" spans="1:8">
      <c r="A337" s="1">
        <v>336</v>
      </c>
      <c r="B337" s="1" t="s">
        <v>4</v>
      </c>
      <c r="C337" s="1">
        <v>-1.90341323006215E-3</v>
      </c>
      <c r="H337">
        <v>-8.3044120000000006E-3</v>
      </c>
    </row>
    <row r="338" spans="1:8">
      <c r="A338" s="1">
        <v>337</v>
      </c>
      <c r="B338" s="1" t="s">
        <v>4</v>
      </c>
      <c r="C338" s="1">
        <v>3.7476037661370698E-2</v>
      </c>
      <c r="H338">
        <v>-2.3707176999999999E-2</v>
      </c>
    </row>
    <row r="339" spans="1:8">
      <c r="A339" s="1">
        <v>338</v>
      </c>
      <c r="B339" s="1" t="s">
        <v>4</v>
      </c>
      <c r="C339" s="1">
        <v>3.4020400938565801E-2</v>
      </c>
      <c r="H339">
        <v>-2.0883260000000002E-3</v>
      </c>
    </row>
    <row r="340" spans="1:8">
      <c r="A340" s="1">
        <v>339</v>
      </c>
      <c r="B340" s="1" t="s">
        <v>4</v>
      </c>
      <c r="C340" s="1">
        <v>1.07310665769091E-2</v>
      </c>
      <c r="H340">
        <v>1.3863812999999999E-2</v>
      </c>
    </row>
    <row r="341" spans="1:8">
      <c r="A341" s="1">
        <v>340</v>
      </c>
      <c r="B341" s="1" t="s">
        <v>4</v>
      </c>
      <c r="C341" s="1">
        <v>1.35666433190273E-3</v>
      </c>
      <c r="H341">
        <v>-3.3117412999999998E-2</v>
      </c>
    </row>
    <row r="342" spans="1:8">
      <c r="A342" s="1">
        <v>341</v>
      </c>
      <c r="B342" s="1" t="s">
        <v>4</v>
      </c>
      <c r="C342" s="1">
        <v>1.35786288385872E-2</v>
      </c>
      <c r="H342">
        <v>-1.1969505E-2</v>
      </c>
    </row>
    <row r="343" spans="1:8">
      <c r="A343" s="1">
        <v>342</v>
      </c>
      <c r="B343" s="1" t="s">
        <v>4</v>
      </c>
      <c r="C343" s="1">
        <v>-2.4398879262420702E-2</v>
      </c>
      <c r="H343">
        <v>-2.0475309000000001E-2</v>
      </c>
    </row>
    <row r="344" spans="1:8">
      <c r="A344" s="1">
        <v>343</v>
      </c>
      <c r="B344" s="1" t="s">
        <v>4</v>
      </c>
      <c r="C344" s="1">
        <v>-3.2014095451415799E-4</v>
      </c>
      <c r="H344">
        <v>7.4073740000000004E-3</v>
      </c>
    </row>
    <row r="345" spans="1:8">
      <c r="A345" s="1">
        <v>344</v>
      </c>
      <c r="B345" s="1" t="s">
        <v>4</v>
      </c>
      <c r="C345" s="1">
        <v>1.4799390961549299E-2</v>
      </c>
      <c r="H345">
        <v>-8.2714569999999994E-3</v>
      </c>
    </row>
    <row r="346" spans="1:8">
      <c r="A346" s="1">
        <v>345</v>
      </c>
      <c r="B346" s="1" t="s">
        <v>4</v>
      </c>
      <c r="C346" s="1">
        <v>-1.0088079676597399E-2</v>
      </c>
      <c r="H346">
        <v>-2.394574E-3</v>
      </c>
    </row>
    <row r="347" spans="1:8">
      <c r="A347" s="1">
        <v>346</v>
      </c>
      <c r="B347" s="1" t="s">
        <v>4</v>
      </c>
      <c r="C347" s="1">
        <v>1.3602250380451101E-3</v>
      </c>
      <c r="H347">
        <v>4.6894665000000002E-2</v>
      </c>
    </row>
    <row r="348" spans="1:8">
      <c r="A348" s="1">
        <v>347</v>
      </c>
      <c r="B348" s="1" t="s">
        <v>4</v>
      </c>
      <c r="C348" s="1">
        <v>-2.8171723885678901E-2</v>
      </c>
      <c r="H348">
        <v>1.0788516999999999E-2</v>
      </c>
    </row>
    <row r="349" spans="1:8">
      <c r="A349" s="1">
        <v>348</v>
      </c>
      <c r="B349" s="1" t="s">
        <v>4</v>
      </c>
      <c r="C349" s="1">
        <v>1.73623230735344E-2</v>
      </c>
      <c r="H349">
        <v>1.9690988999999999E-2</v>
      </c>
    </row>
    <row r="350" spans="1:8">
      <c r="A350" s="1">
        <v>349</v>
      </c>
      <c r="B350" s="1" t="s">
        <v>4</v>
      </c>
      <c r="C350" s="1">
        <v>-2.5439045042993699E-2</v>
      </c>
      <c r="H350">
        <v>-1.0668077999999999E-2</v>
      </c>
    </row>
    <row r="351" spans="1:8">
      <c r="A351" s="1">
        <v>350</v>
      </c>
      <c r="B351" s="1" t="s">
        <v>4</v>
      </c>
      <c r="C351" s="1">
        <v>1.2510795046210801E-2</v>
      </c>
      <c r="H351">
        <v>4.2547086999999997E-2</v>
      </c>
    </row>
    <row r="352" spans="1:8">
      <c r="A352" s="1">
        <v>351</v>
      </c>
      <c r="B352" s="1" t="s">
        <v>4</v>
      </c>
      <c r="C352" s="1">
        <v>-2.7650167066447202E-2</v>
      </c>
      <c r="H352">
        <v>2.3177099999999999E-2</v>
      </c>
    </row>
    <row r="353" spans="1:8">
      <c r="A353" s="1">
        <v>352</v>
      </c>
      <c r="B353" s="1" t="s">
        <v>4</v>
      </c>
      <c r="C353" s="1">
        <v>1.63220318350818E-2</v>
      </c>
      <c r="H353">
        <v>2.4338959E-2</v>
      </c>
    </row>
    <row r="354" spans="1:8">
      <c r="A354" s="1">
        <v>353</v>
      </c>
      <c r="B354" s="1" t="s">
        <v>4</v>
      </c>
      <c r="C354" s="1">
        <v>1.9561468922978598E-2</v>
      </c>
      <c r="H354">
        <v>-1.5424281E-2</v>
      </c>
    </row>
    <row r="355" spans="1:8">
      <c r="A355" s="1">
        <v>354</v>
      </c>
      <c r="B355" s="1" t="s">
        <v>4</v>
      </c>
      <c r="C355" s="1">
        <v>-8.3044117130022192E-3</v>
      </c>
      <c r="H355">
        <v>-1.3070490000000001E-2</v>
      </c>
    </row>
    <row r="356" spans="1:8">
      <c r="A356" s="1">
        <v>355</v>
      </c>
      <c r="B356" s="1" t="s">
        <v>4</v>
      </c>
      <c r="C356" s="1">
        <v>-2.3707177265954699E-2</v>
      </c>
      <c r="H356">
        <v>1.5119930000000001E-3</v>
      </c>
    </row>
    <row r="357" spans="1:8">
      <c r="A357" s="1">
        <v>356</v>
      </c>
      <c r="B357" s="1" t="s">
        <v>4</v>
      </c>
      <c r="C357" s="1">
        <v>-2.08832554201876E-3</v>
      </c>
      <c r="H357">
        <v>-4.0257544999999999E-2</v>
      </c>
    </row>
    <row r="358" spans="1:8">
      <c r="A358" s="1">
        <v>357</v>
      </c>
      <c r="B358" s="1" t="s">
        <v>4</v>
      </c>
      <c r="C358" s="1">
        <v>1.3863813088974501E-2</v>
      </c>
      <c r="H358">
        <v>1.9323314000000001E-2</v>
      </c>
    </row>
    <row r="359" spans="1:8">
      <c r="A359" s="1">
        <v>358</v>
      </c>
      <c r="B359" s="1" t="s">
        <v>4</v>
      </c>
      <c r="C359" s="1">
        <v>-3.3117412959580997E-2</v>
      </c>
      <c r="H359">
        <v>-4.7944529999999997E-3</v>
      </c>
    </row>
    <row r="360" spans="1:8">
      <c r="A360" s="1">
        <v>359</v>
      </c>
      <c r="B360" s="1" t="s">
        <v>4</v>
      </c>
      <c r="C360" s="1">
        <v>-1.1969504731531799E-2</v>
      </c>
      <c r="H360">
        <v>-1.6883626999999998E-2</v>
      </c>
    </row>
    <row r="361" spans="1:8">
      <c r="A361" s="1">
        <v>360</v>
      </c>
      <c r="B361" s="1" t="s">
        <v>4</v>
      </c>
      <c r="C361" s="1">
        <v>-2.0475309407794899E-2</v>
      </c>
      <c r="H361">
        <v>-2.5200460000000001E-2</v>
      </c>
    </row>
    <row r="362" spans="1:8">
      <c r="A362" s="1">
        <v>361</v>
      </c>
      <c r="B362" s="1" t="s">
        <v>4</v>
      </c>
      <c r="C362" s="1">
        <v>7.4073735104640496E-3</v>
      </c>
      <c r="H362">
        <v>2.6322660000000001E-2</v>
      </c>
    </row>
    <row r="363" spans="1:8">
      <c r="A363" s="1">
        <v>362</v>
      </c>
      <c r="B363" s="1" t="s">
        <v>4</v>
      </c>
      <c r="C363" s="1">
        <v>-8.2714568004202908E-3</v>
      </c>
      <c r="H363">
        <v>-1.0623291999999999E-2</v>
      </c>
    </row>
    <row r="364" spans="1:8">
      <c r="A364" s="1">
        <v>363</v>
      </c>
      <c r="B364" s="1" t="s">
        <v>4</v>
      </c>
      <c r="C364" s="1">
        <v>-2.3945741301076798E-3</v>
      </c>
      <c r="H364">
        <v>1.5613248999999999E-2</v>
      </c>
    </row>
    <row r="365" spans="1:8">
      <c r="A365" s="1">
        <v>364</v>
      </c>
      <c r="B365" s="1" t="s">
        <v>4</v>
      </c>
      <c r="C365" s="1">
        <v>4.6894665007243902E-2</v>
      </c>
      <c r="H365">
        <v>3.3078782000000001E-2</v>
      </c>
    </row>
    <row r="366" spans="1:8">
      <c r="A366" s="1">
        <v>365</v>
      </c>
      <c r="B366" s="1" t="s">
        <v>4</v>
      </c>
      <c r="C366" s="1">
        <v>1.07885172955093E-2</v>
      </c>
      <c r="H366">
        <v>3.1032820000000002E-3</v>
      </c>
    </row>
    <row r="367" spans="1:8">
      <c r="A367" s="1">
        <v>366</v>
      </c>
      <c r="B367" s="1" t="s">
        <v>4</v>
      </c>
      <c r="C367" s="1">
        <v>1.9690989011043099E-2</v>
      </c>
      <c r="H367">
        <v>1.6198503E-2</v>
      </c>
    </row>
    <row r="368" spans="1:8">
      <c r="A368" s="1">
        <v>367</v>
      </c>
      <c r="B368" s="1" t="s">
        <v>4</v>
      </c>
      <c r="C368" s="1">
        <v>-1.06680778072349E-2</v>
      </c>
      <c r="H368">
        <v>5.5846020000000001E-3</v>
      </c>
    </row>
    <row r="369" spans="1:8">
      <c r="A369" s="1">
        <v>368</v>
      </c>
      <c r="B369" s="1" t="s">
        <v>4</v>
      </c>
      <c r="C369" s="1">
        <v>4.2547086723573102E-2</v>
      </c>
      <c r="H369">
        <v>-2.0927270000000001E-2</v>
      </c>
    </row>
    <row r="370" spans="1:8">
      <c r="A370" s="1">
        <v>369</v>
      </c>
      <c r="B370" s="1" t="s">
        <v>4</v>
      </c>
      <c r="C370" s="1">
        <v>2.3177100389492701E-2</v>
      </c>
      <c r="H370">
        <v>-9.9131960000000009E-3</v>
      </c>
    </row>
    <row r="371" spans="1:8">
      <c r="A371" s="1">
        <v>370</v>
      </c>
      <c r="B371" s="1" t="s">
        <v>4</v>
      </c>
      <c r="C371" s="1">
        <v>2.4338959039762399E-2</v>
      </c>
      <c r="H371">
        <v>-4.1236420000000003E-3</v>
      </c>
    </row>
    <row r="372" spans="1:8">
      <c r="A372" s="1">
        <v>371</v>
      </c>
      <c r="B372" s="1" t="s">
        <v>4</v>
      </c>
      <c r="C372" s="1">
        <v>-1.5424281357852E-2</v>
      </c>
      <c r="H372">
        <v>1.0319787E-2</v>
      </c>
    </row>
    <row r="373" spans="1:8">
      <c r="A373" s="1">
        <v>372</v>
      </c>
      <c r="B373" s="1" t="s">
        <v>4</v>
      </c>
      <c r="C373" s="1">
        <v>-1.30704902037237E-2</v>
      </c>
      <c r="H373">
        <v>-2.4000407000000001E-2</v>
      </c>
    </row>
    <row r="374" spans="1:8">
      <c r="A374" s="1">
        <v>373</v>
      </c>
      <c r="B374" s="1" t="s">
        <v>4</v>
      </c>
      <c r="C374" s="1">
        <v>1.51199339440921E-3</v>
      </c>
      <c r="H374">
        <v>4.1212977999999997E-2</v>
      </c>
    </row>
    <row r="375" spans="1:8">
      <c r="A375" s="1">
        <v>374</v>
      </c>
      <c r="B375" s="1" t="s">
        <v>4</v>
      </c>
      <c r="C375" s="1">
        <v>-4.0257545483378003E-2</v>
      </c>
      <c r="H375">
        <v>-1.8526233999999999E-2</v>
      </c>
    </row>
    <row r="376" spans="1:8">
      <c r="A376" s="1">
        <v>375</v>
      </c>
      <c r="B376" s="1" t="s">
        <v>4</v>
      </c>
      <c r="C376" s="1">
        <v>1.9323313792755301E-2</v>
      </c>
      <c r="H376">
        <v>-2.4217104E-2</v>
      </c>
    </row>
    <row r="377" spans="1:8">
      <c r="A377" s="1">
        <v>376</v>
      </c>
      <c r="B377" s="1" t="s">
        <v>4</v>
      </c>
      <c r="C377" s="1">
        <v>-4.7944531770696096E-3</v>
      </c>
      <c r="H377">
        <v>-2.3043632000000001E-2</v>
      </c>
    </row>
    <row r="378" spans="1:8">
      <c r="A378" s="1">
        <v>377</v>
      </c>
      <c r="B378" s="1" t="s">
        <v>4</v>
      </c>
      <c r="C378" s="1">
        <v>-1.68836272881982E-2</v>
      </c>
      <c r="H378">
        <v>-1.0785926E-2</v>
      </c>
    </row>
    <row r="379" spans="1:8">
      <c r="A379" s="1">
        <v>378</v>
      </c>
      <c r="B379" s="1" t="s">
        <v>4</v>
      </c>
      <c r="C379" s="1">
        <v>-2.5200460193730099E-2</v>
      </c>
      <c r="H379">
        <v>-2.7726449999999998E-3</v>
      </c>
    </row>
    <row r="380" spans="1:8">
      <c r="A380" s="1">
        <v>379</v>
      </c>
      <c r="B380" s="1" t="s">
        <v>4</v>
      </c>
      <c r="C380" s="1">
        <v>2.6322659796250002E-2</v>
      </c>
      <c r="H380">
        <v>1.6802951E-2</v>
      </c>
    </row>
    <row r="381" spans="1:8">
      <c r="A381" s="1">
        <v>380</v>
      </c>
      <c r="B381" s="1" t="s">
        <v>4</v>
      </c>
      <c r="C381" s="1">
        <v>-1.0623291625933E-2</v>
      </c>
      <c r="H381">
        <v>1.2279986E-2</v>
      </c>
    </row>
    <row r="382" spans="1:8">
      <c r="A382" s="1">
        <v>381</v>
      </c>
      <c r="B382" s="1" t="s">
        <v>4</v>
      </c>
      <c r="C382" s="1">
        <v>1.5613249000125499E-2</v>
      </c>
      <c r="H382">
        <v>3.5593893000000001E-2</v>
      </c>
    </row>
    <row r="383" spans="1:8">
      <c r="A383" s="1">
        <v>382</v>
      </c>
      <c r="B383" s="1" t="s">
        <v>4</v>
      </c>
      <c r="C383" s="1">
        <v>3.30787815306368E-2</v>
      </c>
      <c r="H383">
        <v>2.0856985000000001E-2</v>
      </c>
    </row>
    <row r="384" spans="1:8">
      <c r="A384" s="1">
        <v>383</v>
      </c>
      <c r="B384" s="1" t="s">
        <v>180</v>
      </c>
      <c r="C384" s="1">
        <v>-1.9409136795829299E-2</v>
      </c>
      <c r="H384">
        <v>9.3935730000000005E-3</v>
      </c>
    </row>
    <row r="385" spans="1:8">
      <c r="A385" s="1">
        <v>384</v>
      </c>
      <c r="B385" s="1" t="s">
        <v>4</v>
      </c>
      <c r="C385" s="1">
        <v>3.1032822474088501E-3</v>
      </c>
      <c r="H385">
        <v>-8.7962790000000006E-3</v>
      </c>
    </row>
    <row r="386" spans="1:8">
      <c r="A386" s="1">
        <v>385</v>
      </c>
      <c r="B386" s="1" t="s">
        <v>180</v>
      </c>
      <c r="C386" s="1">
        <v>-2.18487498141435E-2</v>
      </c>
      <c r="H386">
        <v>1.950818E-3</v>
      </c>
    </row>
    <row r="387" spans="1:8">
      <c r="A387" s="1">
        <v>386</v>
      </c>
      <c r="B387" s="1" t="s">
        <v>4</v>
      </c>
      <c r="C387" s="1">
        <v>1.6198502776767001E-2</v>
      </c>
      <c r="H387">
        <v>-5.6306940000000003E-3</v>
      </c>
    </row>
    <row r="388" spans="1:8">
      <c r="A388" s="1">
        <v>387</v>
      </c>
      <c r="B388" s="1" t="s">
        <v>4</v>
      </c>
      <c r="C388" s="1">
        <v>5.5846019719325499E-3</v>
      </c>
      <c r="H388">
        <v>3.4271574999999999E-2</v>
      </c>
    </row>
    <row r="389" spans="1:8">
      <c r="A389" s="1">
        <v>388</v>
      </c>
      <c r="B389" s="1" t="s">
        <v>4</v>
      </c>
      <c r="C389" s="1">
        <v>-2.09272700901483E-2</v>
      </c>
      <c r="H389">
        <v>2.8166235000000001E-2</v>
      </c>
    </row>
    <row r="390" spans="1:8">
      <c r="A390" s="1">
        <v>389</v>
      </c>
      <c r="B390" s="1" t="s">
        <v>4</v>
      </c>
      <c r="C390" s="1">
        <v>-9.9131959631790691E-3</v>
      </c>
      <c r="H390">
        <v>4.0333503999999999E-2</v>
      </c>
    </row>
    <row r="391" spans="1:8">
      <c r="A391" s="1">
        <v>390</v>
      </c>
      <c r="B391" s="1" t="s">
        <v>4</v>
      </c>
      <c r="C391" s="1">
        <v>-4.1236415841225896E-3</v>
      </c>
      <c r="H391">
        <v>8.1939869999999998E-3</v>
      </c>
    </row>
    <row r="392" spans="1:8">
      <c r="A392" s="1">
        <v>391</v>
      </c>
      <c r="B392" s="1" t="s">
        <v>4</v>
      </c>
      <c r="C392" s="1">
        <v>1.03197868811637E-2</v>
      </c>
      <c r="H392">
        <v>8.0722209999999992E-3</v>
      </c>
    </row>
    <row r="393" spans="1:8">
      <c r="A393" s="1">
        <v>392</v>
      </c>
      <c r="B393" s="1" t="s">
        <v>4</v>
      </c>
      <c r="C393" s="1">
        <v>-2.4000406855350299E-2</v>
      </c>
      <c r="H393">
        <v>4.5160210000000003E-3</v>
      </c>
    </row>
    <row r="394" spans="1:8">
      <c r="A394" s="1">
        <v>393</v>
      </c>
      <c r="B394" s="1" t="s">
        <v>4</v>
      </c>
      <c r="C394" s="1">
        <v>4.12129784065427E-2</v>
      </c>
      <c r="H394">
        <v>9.5623530000000009E-3</v>
      </c>
    </row>
    <row r="395" spans="1:8">
      <c r="A395" s="1">
        <v>394</v>
      </c>
      <c r="B395" s="1" t="s">
        <v>4</v>
      </c>
      <c r="C395" s="1">
        <v>-1.852623380978E-2</v>
      </c>
      <c r="H395">
        <v>-1.8742940000000001E-3</v>
      </c>
    </row>
    <row r="396" spans="1:8">
      <c r="A396" s="1">
        <v>395</v>
      </c>
      <c r="B396" s="1" t="s">
        <v>4</v>
      </c>
      <c r="C396" s="1">
        <v>-2.4217103566130001E-2</v>
      </c>
      <c r="H396">
        <v>3.1960969999999998E-2</v>
      </c>
    </row>
    <row r="397" spans="1:8">
      <c r="A397" s="1">
        <v>396</v>
      </c>
      <c r="B397" s="1" t="s">
        <v>4</v>
      </c>
      <c r="C397" s="1">
        <v>-2.30436322022455E-2</v>
      </c>
      <c r="H397">
        <v>1.5388905E-2</v>
      </c>
    </row>
    <row r="398" spans="1:8">
      <c r="A398" s="1">
        <v>397</v>
      </c>
      <c r="B398" s="1" t="s">
        <v>4</v>
      </c>
      <c r="C398" s="1">
        <v>-1.07859262868785E-2</v>
      </c>
      <c r="H398">
        <v>4.8434668E-2</v>
      </c>
    </row>
    <row r="399" spans="1:8">
      <c r="A399" s="1">
        <v>398</v>
      </c>
      <c r="B399" s="1" t="s">
        <v>4</v>
      </c>
      <c r="C399" s="1">
        <v>-2.77264531375998E-3</v>
      </c>
      <c r="H399">
        <v>1.9122928000000001E-2</v>
      </c>
    </row>
    <row r="400" spans="1:8">
      <c r="A400" s="1">
        <v>399</v>
      </c>
      <c r="B400" s="1" t="s">
        <v>4</v>
      </c>
      <c r="C400" s="1">
        <v>1.6802950656686001E-2</v>
      </c>
      <c r="H400">
        <v>2.3630230000000001E-3</v>
      </c>
    </row>
    <row r="401" spans="1:8">
      <c r="A401" s="1">
        <v>400</v>
      </c>
      <c r="B401" s="1" t="s">
        <v>4</v>
      </c>
      <c r="C401" s="1">
        <v>1.2279986433554701E-2</v>
      </c>
      <c r="H401">
        <v>-2.3334060000000001E-3</v>
      </c>
    </row>
    <row r="402" spans="1:8">
      <c r="A402" s="1">
        <v>401</v>
      </c>
      <c r="B402" s="1" t="s">
        <v>4</v>
      </c>
      <c r="C402" s="1">
        <v>3.5593892634672303E-2</v>
      </c>
      <c r="H402">
        <v>-2.6769189999999998E-3</v>
      </c>
    </row>
    <row r="403" spans="1:8">
      <c r="A403" s="1">
        <v>402</v>
      </c>
      <c r="B403" s="1" t="s">
        <v>4</v>
      </c>
      <c r="C403" s="1">
        <v>2.0856985173184101E-2</v>
      </c>
      <c r="H403">
        <v>-1.4696018999999999E-2</v>
      </c>
    </row>
    <row r="404" spans="1:8">
      <c r="A404" s="1">
        <v>403</v>
      </c>
      <c r="B404" s="1" t="s">
        <v>4</v>
      </c>
      <c r="C404" s="1">
        <v>9.3935725024607494E-3</v>
      </c>
      <c r="H404">
        <v>-1.1833593999999999E-2</v>
      </c>
    </row>
    <row r="405" spans="1:8">
      <c r="A405" s="1">
        <v>404</v>
      </c>
      <c r="B405" s="1" t="s">
        <v>4</v>
      </c>
      <c r="C405" s="1">
        <v>-8.7962787794282297E-3</v>
      </c>
      <c r="H405">
        <v>4.2351960000000001E-3</v>
      </c>
    </row>
    <row r="406" spans="1:8">
      <c r="A406" s="1">
        <v>405</v>
      </c>
      <c r="B406" s="1" t="s">
        <v>4</v>
      </c>
      <c r="C406" s="1">
        <v>1.95081837607702E-3</v>
      </c>
      <c r="H406">
        <v>-1.9639400000000001E-2</v>
      </c>
    </row>
    <row r="407" spans="1:8">
      <c r="A407" s="1">
        <v>406</v>
      </c>
      <c r="B407" s="1" t="s">
        <v>4</v>
      </c>
      <c r="C407" s="1">
        <v>-5.6306935069976296E-3</v>
      </c>
      <c r="H407">
        <v>-3.8673739999999998E-3</v>
      </c>
    </row>
    <row r="408" spans="1:8">
      <c r="A408" s="1">
        <v>407</v>
      </c>
      <c r="B408" s="1" t="s">
        <v>4</v>
      </c>
      <c r="C408" s="1">
        <v>3.42715749125517E-2</v>
      </c>
      <c r="H408">
        <v>1.2646183E-2</v>
      </c>
    </row>
    <row r="409" spans="1:8">
      <c r="A409" s="1">
        <v>408</v>
      </c>
      <c r="B409" s="1" t="s">
        <v>4</v>
      </c>
      <c r="C409" s="1">
        <v>2.8166234709370699E-2</v>
      </c>
      <c r="H409">
        <v>-2.5808517E-2</v>
      </c>
    </row>
    <row r="410" spans="1:8">
      <c r="A410" s="1">
        <v>409</v>
      </c>
      <c r="B410" s="1" t="s">
        <v>4</v>
      </c>
      <c r="C410" s="1">
        <v>4.0333503996706099E-2</v>
      </c>
      <c r="H410">
        <v>-3.1875765E-2</v>
      </c>
    </row>
    <row r="411" spans="1:8">
      <c r="A411" s="1">
        <v>410</v>
      </c>
      <c r="B411" s="1" t="s">
        <v>180</v>
      </c>
      <c r="C411" s="1">
        <v>-1.1800598020244E-2</v>
      </c>
      <c r="H411">
        <v>-3.1231090000000002E-3</v>
      </c>
    </row>
    <row r="412" spans="1:8">
      <c r="A412" s="1">
        <v>411</v>
      </c>
      <c r="B412" s="1" t="s">
        <v>180</v>
      </c>
      <c r="C412" s="1">
        <v>-2.96766594727557E-2</v>
      </c>
      <c r="H412">
        <v>1.5166756E-2</v>
      </c>
    </row>
    <row r="413" spans="1:8">
      <c r="A413" s="1">
        <v>412</v>
      </c>
      <c r="B413" s="1" t="s">
        <v>4</v>
      </c>
      <c r="C413" s="1">
        <v>8.1939870517260208E-3</v>
      </c>
      <c r="H413">
        <v>2.3490954000000001E-2</v>
      </c>
    </row>
    <row r="414" spans="1:8">
      <c r="A414" s="1">
        <v>413</v>
      </c>
      <c r="B414" s="1" t="s">
        <v>4</v>
      </c>
      <c r="C414" s="1">
        <v>8.0722207459302808E-3</v>
      </c>
      <c r="H414">
        <v>-5.2548509999999996E-3</v>
      </c>
    </row>
    <row r="415" spans="1:8">
      <c r="A415" s="1">
        <v>414</v>
      </c>
      <c r="B415" s="1" t="s">
        <v>4</v>
      </c>
      <c r="C415" s="1">
        <v>4.5160208772969598E-3</v>
      </c>
      <c r="H415">
        <v>-7.6281220000000002E-3</v>
      </c>
    </row>
    <row r="416" spans="1:8">
      <c r="A416" s="1">
        <v>415</v>
      </c>
      <c r="B416" s="1" t="s">
        <v>180</v>
      </c>
      <c r="C416" s="1">
        <v>-1.8811183235051401E-2</v>
      </c>
      <c r="H416">
        <v>1.1149393E-2</v>
      </c>
    </row>
    <row r="417" spans="1:8">
      <c r="A417" s="1">
        <v>416</v>
      </c>
      <c r="B417" s="1" t="s">
        <v>4</v>
      </c>
      <c r="C417" s="1">
        <v>9.5623530044797091E-3</v>
      </c>
      <c r="H417">
        <v>-1.6170545000000001E-2</v>
      </c>
    </row>
    <row r="418" spans="1:8">
      <c r="A418" s="1">
        <v>417</v>
      </c>
      <c r="B418" s="1" t="s">
        <v>4</v>
      </c>
      <c r="C418" s="1">
        <v>-1.874294342322E-3</v>
      </c>
      <c r="H418">
        <v>1.8830558000000001E-2</v>
      </c>
    </row>
    <row r="419" spans="1:8">
      <c r="A419" s="1">
        <v>418</v>
      </c>
      <c r="B419" s="1" t="s">
        <v>4</v>
      </c>
      <c r="C419" s="1">
        <v>3.1960969720102997E-2</v>
      </c>
      <c r="H419">
        <v>-6.2559310000000002E-3</v>
      </c>
    </row>
    <row r="420" spans="1:8">
      <c r="A420" s="1">
        <v>419</v>
      </c>
      <c r="B420" s="1" t="s">
        <v>4</v>
      </c>
      <c r="C420" s="1">
        <v>1.53889047576853E-2</v>
      </c>
      <c r="H420">
        <v>-9.1584470000000001E-3</v>
      </c>
    </row>
    <row r="421" spans="1:8">
      <c r="A421" s="1">
        <v>420</v>
      </c>
      <c r="B421" s="1" t="s">
        <v>4</v>
      </c>
      <c r="C421" s="1">
        <v>4.8434668426523303E-2</v>
      </c>
      <c r="H421">
        <v>-5.1108998000000003E-2</v>
      </c>
    </row>
    <row r="422" spans="1:8">
      <c r="A422" s="1">
        <v>421</v>
      </c>
      <c r="B422" s="1" t="s">
        <v>4</v>
      </c>
      <c r="C422" s="1">
        <v>1.9122927542678501E-2</v>
      </c>
      <c r="H422">
        <v>4.0214839999999996E-3</v>
      </c>
    </row>
    <row r="423" spans="1:8">
      <c r="A423" s="1">
        <v>422</v>
      </c>
      <c r="B423" s="1" t="s">
        <v>4</v>
      </c>
      <c r="C423" s="1">
        <v>2.3630232992246599E-3</v>
      </c>
      <c r="H423">
        <v>-2.5524092000000002E-2</v>
      </c>
    </row>
    <row r="424" spans="1:8">
      <c r="A424" s="1">
        <v>423</v>
      </c>
      <c r="B424" s="1" t="s">
        <v>4</v>
      </c>
      <c r="C424" s="1">
        <v>-2.3334064268993801E-3</v>
      </c>
      <c r="H424">
        <v>-8.3107839999999999E-3</v>
      </c>
    </row>
    <row r="425" spans="1:8">
      <c r="A425" s="1">
        <v>424</v>
      </c>
      <c r="B425" s="1" t="s">
        <v>4</v>
      </c>
      <c r="C425" s="1">
        <v>-2.6769189028641401E-3</v>
      </c>
      <c r="H425">
        <v>-1.5578873E-2</v>
      </c>
    </row>
    <row r="426" spans="1:8">
      <c r="A426" s="1">
        <v>425</v>
      </c>
      <c r="B426" s="1" t="s">
        <v>4</v>
      </c>
      <c r="C426" s="1">
        <v>-1.46960187762203E-2</v>
      </c>
      <c r="H426">
        <v>-2.7055757E-2</v>
      </c>
    </row>
    <row r="427" spans="1:8">
      <c r="A427" s="1">
        <v>426</v>
      </c>
      <c r="B427" s="1" t="s">
        <v>4</v>
      </c>
      <c r="C427" s="1">
        <v>-1.1833594494177599E-2</v>
      </c>
      <c r="H427">
        <v>-4.0223608000000001E-2</v>
      </c>
    </row>
    <row r="428" spans="1:8">
      <c r="A428" s="1">
        <v>427</v>
      </c>
      <c r="B428" s="1" t="s">
        <v>4</v>
      </c>
      <c r="C428" s="1">
        <v>4.2351956214830002E-3</v>
      </c>
      <c r="H428">
        <v>-1.6572957999999999E-2</v>
      </c>
    </row>
    <row r="429" spans="1:8">
      <c r="A429" s="1">
        <v>428</v>
      </c>
      <c r="B429" s="1" t="s">
        <v>4</v>
      </c>
      <c r="C429" s="1">
        <v>-1.96393997976755E-2</v>
      </c>
      <c r="H429">
        <v>7.4927969999999998E-3</v>
      </c>
    </row>
    <row r="430" spans="1:8">
      <c r="A430" s="1">
        <v>429</v>
      </c>
      <c r="B430" s="1" t="s">
        <v>4</v>
      </c>
      <c r="C430" s="1">
        <v>-3.86737404477344E-3</v>
      </c>
      <c r="H430">
        <v>-5.0695941000000001E-2</v>
      </c>
    </row>
    <row r="431" spans="1:8">
      <c r="A431" s="1">
        <v>430</v>
      </c>
      <c r="B431" s="1" t="s">
        <v>4</v>
      </c>
      <c r="C431" s="1">
        <v>1.2646183325728E-2</v>
      </c>
      <c r="H431">
        <v>-1.2904439E-2</v>
      </c>
    </row>
    <row r="432" spans="1:8">
      <c r="A432" s="1">
        <v>431</v>
      </c>
      <c r="B432" s="1" t="s">
        <v>4</v>
      </c>
      <c r="C432" s="1">
        <v>-2.5808516965284401E-2</v>
      </c>
      <c r="H432">
        <v>7.9465089999999992E-3</v>
      </c>
    </row>
    <row r="433" spans="1:8">
      <c r="A433" s="1">
        <v>432</v>
      </c>
      <c r="B433" s="1" t="s">
        <v>4</v>
      </c>
      <c r="C433" s="1">
        <v>-3.1875765132806301E-2</v>
      </c>
      <c r="H433">
        <v>3.1767740000000003E-2</v>
      </c>
    </row>
    <row r="434" spans="1:8">
      <c r="A434" s="1">
        <v>433</v>
      </c>
      <c r="B434" s="1" t="s">
        <v>4</v>
      </c>
      <c r="C434" s="1">
        <v>-3.1231089814411899E-3</v>
      </c>
      <c r="H434">
        <v>-2.1346883000000001E-2</v>
      </c>
    </row>
    <row r="435" spans="1:8">
      <c r="A435" s="1">
        <v>434</v>
      </c>
      <c r="B435" s="1" t="s">
        <v>4</v>
      </c>
      <c r="C435" s="1">
        <v>1.51667556274901E-2</v>
      </c>
      <c r="H435">
        <v>-1.1922156E-2</v>
      </c>
    </row>
    <row r="436" spans="1:8">
      <c r="A436" s="1">
        <v>435</v>
      </c>
      <c r="B436" s="1" t="s">
        <v>4</v>
      </c>
      <c r="C436" s="1">
        <v>2.3490954455276301E-2</v>
      </c>
      <c r="H436">
        <v>2.0533368E-2</v>
      </c>
    </row>
    <row r="437" spans="1:8">
      <c r="A437" s="1">
        <v>436</v>
      </c>
      <c r="B437" s="1" t="s">
        <v>4</v>
      </c>
      <c r="C437" s="1">
        <v>-5.2548506326388598E-3</v>
      </c>
      <c r="H437">
        <v>3.814282E-3</v>
      </c>
    </row>
    <row r="438" spans="1:8">
      <c r="A438" s="1">
        <v>437</v>
      </c>
      <c r="B438" s="1" t="s">
        <v>4</v>
      </c>
      <c r="C438" s="1">
        <v>-7.6281224319965004E-3</v>
      </c>
      <c r="H438">
        <v>1.1372053E-2</v>
      </c>
    </row>
    <row r="439" spans="1:8">
      <c r="A439" s="1">
        <v>438</v>
      </c>
      <c r="B439" s="1" t="s">
        <v>4</v>
      </c>
      <c r="C439" s="1">
        <v>1.1149393221077501E-2</v>
      </c>
      <c r="H439">
        <v>-1.7157135E-2</v>
      </c>
    </row>
    <row r="440" spans="1:8">
      <c r="A440" s="1">
        <v>439</v>
      </c>
      <c r="B440" s="1" t="s">
        <v>4</v>
      </c>
      <c r="C440" s="1">
        <v>-1.61705447259805E-2</v>
      </c>
      <c r="H440">
        <v>3.2203213000000001E-2</v>
      </c>
    </row>
    <row r="441" spans="1:8">
      <c r="A441" s="1">
        <v>440</v>
      </c>
      <c r="B441" s="1" t="s">
        <v>4</v>
      </c>
      <c r="C441" s="1">
        <v>1.8830558369074799E-2</v>
      </c>
      <c r="H441">
        <v>3.0851336E-2</v>
      </c>
    </row>
    <row r="442" spans="1:8">
      <c r="A442" s="1">
        <v>441</v>
      </c>
      <c r="B442" s="1" t="s">
        <v>4</v>
      </c>
      <c r="C442" s="1">
        <v>-6.2559307945662104E-3</v>
      </c>
      <c r="H442">
        <v>-9.7436669999999993E-3</v>
      </c>
    </row>
    <row r="443" spans="1:8">
      <c r="A443" s="1">
        <v>442</v>
      </c>
      <c r="B443" s="1" t="s">
        <v>4</v>
      </c>
      <c r="C443" s="1">
        <v>-9.1584468192991101E-3</v>
      </c>
      <c r="H443">
        <v>-6.8436469999999996E-3</v>
      </c>
    </row>
    <row r="444" spans="1:8">
      <c r="A444" s="1">
        <v>443</v>
      </c>
      <c r="B444" s="1" t="s">
        <v>4</v>
      </c>
      <c r="C444" s="1">
        <v>-5.1108997627263598E-2</v>
      </c>
      <c r="H444">
        <v>-2.1948676E-2</v>
      </c>
    </row>
    <row r="445" spans="1:8">
      <c r="A445" s="1">
        <v>444</v>
      </c>
      <c r="B445" s="1" t="s">
        <v>4</v>
      </c>
      <c r="C445" s="1">
        <v>4.0214843869108502E-3</v>
      </c>
      <c r="H445">
        <v>2.1505351999999998E-2</v>
      </c>
    </row>
    <row r="446" spans="1:8">
      <c r="A446" s="1">
        <v>445</v>
      </c>
      <c r="B446" s="1" t="s">
        <v>4</v>
      </c>
      <c r="C446" s="1">
        <v>-2.55240919203885E-2</v>
      </c>
      <c r="H446">
        <v>7.5532389999999998E-3</v>
      </c>
    </row>
    <row r="447" spans="1:8">
      <c r="A447" s="1">
        <v>446</v>
      </c>
      <c r="B447" s="1" t="s">
        <v>4</v>
      </c>
      <c r="C447" s="1">
        <v>-8.3107843203293896E-3</v>
      </c>
      <c r="H447">
        <v>-8.4155050000000002E-3</v>
      </c>
    </row>
    <row r="448" spans="1:8">
      <c r="A448" s="1">
        <v>447</v>
      </c>
      <c r="B448" s="1" t="s">
        <v>4</v>
      </c>
      <c r="C448" s="1">
        <v>-1.55788727210577E-2</v>
      </c>
      <c r="H448">
        <v>-5.9149440000000001E-3</v>
      </c>
    </row>
    <row r="449" spans="1:8">
      <c r="A449" s="1">
        <v>448</v>
      </c>
      <c r="B449" s="1" t="s">
        <v>4</v>
      </c>
      <c r="C449" s="1">
        <v>-2.7055756744744901E-2</v>
      </c>
      <c r="H449">
        <v>4.2014510000000001E-3</v>
      </c>
    </row>
    <row r="450" spans="1:8">
      <c r="A450" s="1">
        <v>449</v>
      </c>
      <c r="B450" s="1" t="s">
        <v>4</v>
      </c>
      <c r="C450" s="1">
        <v>-4.0223608276690401E-2</v>
      </c>
      <c r="H450">
        <v>-1.6856916999999999E-2</v>
      </c>
    </row>
    <row r="451" spans="1:8">
      <c r="A451" s="1">
        <v>450</v>
      </c>
      <c r="B451" s="1" t="s">
        <v>4</v>
      </c>
      <c r="C451" s="1">
        <v>-1.6572957924765298E-2</v>
      </c>
      <c r="H451">
        <v>1.1544133999999999E-2</v>
      </c>
    </row>
    <row r="452" spans="1:8">
      <c r="A452" s="1">
        <v>451</v>
      </c>
      <c r="B452" s="1" t="s">
        <v>4</v>
      </c>
      <c r="C452" s="1">
        <v>7.49279702295524E-3</v>
      </c>
      <c r="H452">
        <v>-3.3570289000000003E-2</v>
      </c>
    </row>
    <row r="453" spans="1:8">
      <c r="A453" s="1">
        <v>452</v>
      </c>
      <c r="B453" s="1" t="s">
        <v>180</v>
      </c>
      <c r="C453" s="1">
        <v>-4.3361332397608898E-3</v>
      </c>
      <c r="H453">
        <v>-8.466052E-3</v>
      </c>
    </row>
    <row r="454" spans="1:8">
      <c r="A454" s="1">
        <v>453</v>
      </c>
      <c r="B454" s="1" t="s">
        <v>4</v>
      </c>
      <c r="C454" s="1">
        <v>-5.0695940831573597E-2</v>
      </c>
      <c r="H454">
        <v>-3.5635541999999999E-2</v>
      </c>
    </row>
    <row r="455" spans="1:8">
      <c r="A455" s="1">
        <v>454</v>
      </c>
      <c r="B455" s="1" t="s">
        <v>4</v>
      </c>
      <c r="C455" s="1">
        <v>-1.2904438710634699E-2</v>
      </c>
      <c r="H455">
        <v>-8.8833539999999996E-3</v>
      </c>
    </row>
    <row r="456" spans="1:8">
      <c r="A456" s="1">
        <v>455</v>
      </c>
      <c r="B456" s="1" t="s">
        <v>4</v>
      </c>
      <c r="C456" s="1">
        <v>7.9465094481463404E-3</v>
      </c>
      <c r="H456">
        <v>-2.876712E-2</v>
      </c>
    </row>
    <row r="457" spans="1:8">
      <c r="A457" s="1">
        <v>456</v>
      </c>
      <c r="B457" s="1" t="s">
        <v>4</v>
      </c>
      <c r="C457" s="1">
        <v>3.1767740286056702E-2</v>
      </c>
      <c r="H457">
        <v>-6.3237420000000003E-3</v>
      </c>
    </row>
    <row r="458" spans="1:8">
      <c r="A458" s="1">
        <v>457</v>
      </c>
      <c r="B458" s="1" t="s">
        <v>4</v>
      </c>
      <c r="C458" s="1">
        <v>-2.1346883075807399E-2</v>
      </c>
      <c r="H458">
        <v>1.9689907999999999E-2</v>
      </c>
    </row>
    <row r="459" spans="1:8">
      <c r="A459" s="1">
        <v>458</v>
      </c>
      <c r="B459" s="1" t="s">
        <v>180</v>
      </c>
      <c r="C459" s="1">
        <v>5.1316258456862898E-2</v>
      </c>
      <c r="H459">
        <v>-2.5191345E-2</v>
      </c>
    </row>
    <row r="460" spans="1:8">
      <c r="A460" s="1">
        <v>459</v>
      </c>
      <c r="B460" s="1" t="s">
        <v>4</v>
      </c>
      <c r="C460" s="1">
        <v>-1.1922156048719001E-2</v>
      </c>
      <c r="H460">
        <v>3.3535069999999999E-3</v>
      </c>
    </row>
    <row r="461" spans="1:8">
      <c r="A461" s="1">
        <v>460</v>
      </c>
      <c r="B461" s="1" t="s">
        <v>4</v>
      </c>
      <c r="C461" s="1">
        <v>2.0533368231156101E-2</v>
      </c>
      <c r="H461">
        <v>2.6097580000000002E-3</v>
      </c>
    </row>
    <row r="462" spans="1:8">
      <c r="A462" s="1">
        <v>461</v>
      </c>
      <c r="B462" s="1" t="s">
        <v>4</v>
      </c>
      <c r="C462" s="1">
        <v>3.8142816335593401E-3</v>
      </c>
      <c r="H462">
        <v>5.1134379999999997E-3</v>
      </c>
    </row>
    <row r="463" spans="1:8">
      <c r="A463" s="1">
        <v>462</v>
      </c>
      <c r="B463" s="1" t="s">
        <v>4</v>
      </c>
      <c r="C463" s="1">
        <v>1.13720533752541E-2</v>
      </c>
      <c r="H463">
        <v>2.1275100000000001E-4</v>
      </c>
    </row>
    <row r="464" spans="1:8">
      <c r="A464" s="1">
        <v>463</v>
      </c>
      <c r="B464" s="1" t="s">
        <v>4</v>
      </c>
      <c r="C464" s="1">
        <v>-1.7157134785222999E-2</v>
      </c>
      <c r="H464">
        <v>1.5309311000000001E-2</v>
      </c>
    </row>
    <row r="465" spans="1:8">
      <c r="A465" s="1">
        <v>464</v>
      </c>
      <c r="B465" s="1" t="s">
        <v>4</v>
      </c>
      <c r="C465" s="1">
        <v>3.2203212945617503E-2</v>
      </c>
      <c r="H465">
        <v>-6.5621209999999998E-3</v>
      </c>
    </row>
    <row r="466" spans="1:8">
      <c r="A466" s="1">
        <v>465</v>
      </c>
      <c r="B466" s="1" t="s">
        <v>4</v>
      </c>
      <c r="C466" s="1">
        <v>3.0851335670989799E-2</v>
      </c>
      <c r="H466">
        <v>-3.9151439999999997E-3</v>
      </c>
    </row>
    <row r="467" spans="1:8">
      <c r="A467" s="1">
        <v>466</v>
      </c>
      <c r="B467" s="1" t="s">
        <v>4</v>
      </c>
      <c r="C467" s="1">
        <v>-9.7436671941295502E-3</v>
      </c>
      <c r="H467">
        <v>-1.4723594E-2</v>
      </c>
    </row>
    <row r="468" spans="1:8">
      <c r="A468" s="1">
        <v>467</v>
      </c>
      <c r="B468" s="1" t="s">
        <v>4</v>
      </c>
      <c r="C468" s="1">
        <v>-6.8436471022827999E-3</v>
      </c>
      <c r="H468">
        <v>-9.4453049999999993E-3</v>
      </c>
    </row>
    <row r="469" spans="1:8">
      <c r="A469" s="1">
        <v>468</v>
      </c>
      <c r="B469" s="1" t="s">
        <v>4</v>
      </c>
      <c r="C469" s="1">
        <v>-2.19486764426584E-2</v>
      </c>
      <c r="H469">
        <v>1.7195660000000001E-3</v>
      </c>
    </row>
    <row r="470" spans="1:8">
      <c r="A470" s="1">
        <v>469</v>
      </c>
      <c r="B470" s="1" t="s">
        <v>4</v>
      </c>
      <c r="C470" s="1">
        <v>2.15053521371402E-2</v>
      </c>
      <c r="H470">
        <v>5.3220439999999997E-3</v>
      </c>
    </row>
    <row r="471" spans="1:8">
      <c r="A471" s="1">
        <v>470</v>
      </c>
      <c r="B471" s="1" t="s">
        <v>4</v>
      </c>
      <c r="C471" s="1">
        <v>7.5532385000336398E-3</v>
      </c>
      <c r="H471">
        <v>-9.6628779999999997E-3</v>
      </c>
    </row>
    <row r="472" spans="1:8">
      <c r="A472" s="1">
        <v>471</v>
      </c>
      <c r="B472" s="1" t="s">
        <v>4</v>
      </c>
      <c r="C472" s="1">
        <v>-8.4155054951224797E-3</v>
      </c>
      <c r="H472">
        <v>3.6319156999999998E-2</v>
      </c>
    </row>
    <row r="473" spans="1:8">
      <c r="A473" s="1">
        <v>472</v>
      </c>
      <c r="B473" s="1" t="s">
        <v>4</v>
      </c>
      <c r="C473" s="1">
        <v>-5.9149438482677397E-3</v>
      </c>
      <c r="H473">
        <v>3.6786587000000003E-2</v>
      </c>
    </row>
    <row r="474" spans="1:8">
      <c r="A474" s="1">
        <v>473</v>
      </c>
      <c r="B474" s="1" t="s">
        <v>4</v>
      </c>
      <c r="C474" s="1">
        <v>4.20145135100824E-3</v>
      </c>
      <c r="H474">
        <v>-2.6933577E-2</v>
      </c>
    </row>
    <row r="475" spans="1:8">
      <c r="A475" s="1">
        <v>474</v>
      </c>
      <c r="B475" s="1" t="s">
        <v>4</v>
      </c>
      <c r="C475" s="1">
        <v>-1.6856917097733501E-2</v>
      </c>
      <c r="H475">
        <v>-9.8472199999999994E-4</v>
      </c>
    </row>
    <row r="476" spans="1:8">
      <c r="A476" s="1">
        <v>475</v>
      </c>
      <c r="B476" s="1" t="s">
        <v>4</v>
      </c>
      <c r="C476" s="1">
        <v>1.1544133933785601E-2</v>
      </c>
      <c r="H476">
        <v>-4.5085239999999999E-3</v>
      </c>
    </row>
    <row r="477" spans="1:8">
      <c r="A477" s="1">
        <v>476</v>
      </c>
      <c r="B477" s="1" t="s">
        <v>4</v>
      </c>
      <c r="C477" s="1">
        <v>-3.3570289436809703E-2</v>
      </c>
      <c r="H477">
        <v>1.535805E-2</v>
      </c>
    </row>
    <row r="478" spans="1:8">
      <c r="A478" s="1">
        <v>477</v>
      </c>
      <c r="B478" s="1" t="s">
        <v>4</v>
      </c>
      <c r="C478" s="1">
        <v>-8.4660519894209606E-3</v>
      </c>
      <c r="H478">
        <v>-1.1538942999999999E-2</v>
      </c>
    </row>
    <row r="479" spans="1:8">
      <c r="A479" s="1">
        <v>478</v>
      </c>
      <c r="B479" s="1" t="s">
        <v>4</v>
      </c>
      <c r="C479" s="1">
        <v>-3.5635541609238403E-2</v>
      </c>
      <c r="H479">
        <v>2.2593770999999999E-2</v>
      </c>
    </row>
    <row r="480" spans="1:8">
      <c r="A480" s="1">
        <v>479</v>
      </c>
      <c r="B480" s="1" t="s">
        <v>4</v>
      </c>
      <c r="C480" s="1">
        <v>-8.8833537812220698E-3</v>
      </c>
      <c r="H480">
        <v>3.4094887999999997E-2</v>
      </c>
    </row>
    <row r="481" spans="1:8">
      <c r="A481" s="1">
        <v>480</v>
      </c>
      <c r="B481" s="1" t="s">
        <v>4</v>
      </c>
      <c r="C481" s="1">
        <v>-2.8767119713165801E-2</v>
      </c>
      <c r="H481">
        <v>1.3759296000000001E-2</v>
      </c>
    </row>
    <row r="482" spans="1:8">
      <c r="A482" s="1">
        <v>481</v>
      </c>
      <c r="B482" s="1" t="s">
        <v>4</v>
      </c>
      <c r="C482" s="1">
        <v>-6.3237415876642401E-3</v>
      </c>
      <c r="H482">
        <v>3.3135456000000001E-2</v>
      </c>
    </row>
    <row r="483" spans="1:8">
      <c r="A483" s="1">
        <v>482</v>
      </c>
      <c r="B483" s="1" t="s">
        <v>4</v>
      </c>
      <c r="C483" s="1">
        <v>1.9689907665565401E-2</v>
      </c>
      <c r="H483">
        <v>2.8488160000000001E-3</v>
      </c>
    </row>
    <row r="484" spans="1:8">
      <c r="A484" s="1">
        <v>483</v>
      </c>
      <c r="B484" s="1" t="s">
        <v>180</v>
      </c>
      <c r="C484" s="1">
        <v>2.6636352021071698E-2</v>
      </c>
      <c r="H484">
        <v>2.6655659000000002E-2</v>
      </c>
    </row>
    <row r="485" spans="1:8">
      <c r="A485" s="1">
        <v>484</v>
      </c>
      <c r="B485" s="1" t="s">
        <v>4</v>
      </c>
      <c r="C485" s="1">
        <v>-2.51913449560561E-2</v>
      </c>
      <c r="H485">
        <v>3.59458E-3</v>
      </c>
    </row>
    <row r="486" spans="1:8">
      <c r="A486" s="1">
        <v>485</v>
      </c>
      <c r="B486" s="1" t="s">
        <v>4</v>
      </c>
      <c r="C486" s="1">
        <v>3.35350711517179E-3</v>
      </c>
      <c r="H486">
        <v>4.9227799000000003E-2</v>
      </c>
    </row>
    <row r="487" spans="1:8">
      <c r="A487" s="1">
        <v>486</v>
      </c>
      <c r="B487" s="1" t="s">
        <v>4</v>
      </c>
      <c r="C487" s="1">
        <v>2.6097582222277499E-3</v>
      </c>
      <c r="H487">
        <v>-5.5204099999999999E-3</v>
      </c>
    </row>
    <row r="488" spans="1:8">
      <c r="A488" s="1">
        <v>487</v>
      </c>
      <c r="B488" s="1" t="s">
        <v>4</v>
      </c>
      <c r="C488" s="1">
        <v>5.11343781400341E-3</v>
      </c>
      <c r="H488">
        <v>2.5720052E-2</v>
      </c>
    </row>
    <row r="489" spans="1:8">
      <c r="A489" s="1">
        <v>488</v>
      </c>
      <c r="B489" s="1" t="s">
        <v>4</v>
      </c>
      <c r="C489" s="1">
        <v>2.1275053404323701E-4</v>
      </c>
      <c r="H489">
        <v>2.1643163E-2</v>
      </c>
    </row>
    <row r="490" spans="1:8">
      <c r="A490" s="1">
        <v>489</v>
      </c>
      <c r="B490" s="1" t="s">
        <v>4</v>
      </c>
      <c r="C490" s="1">
        <v>1.53093112381288E-2</v>
      </c>
      <c r="H490">
        <v>3.6713997999999998E-2</v>
      </c>
    </row>
    <row r="491" spans="1:8">
      <c r="A491" s="1">
        <v>490</v>
      </c>
      <c r="B491" s="1" t="s">
        <v>4</v>
      </c>
      <c r="C491" s="1">
        <v>-6.5621205432790904E-3</v>
      </c>
      <c r="H491">
        <v>-1.7326385E-2</v>
      </c>
    </row>
    <row r="492" spans="1:8">
      <c r="A492" s="1">
        <v>491</v>
      </c>
      <c r="B492" s="1" t="s">
        <v>4</v>
      </c>
      <c r="C492" s="1">
        <v>-3.91514403722936E-3</v>
      </c>
      <c r="H492">
        <v>-4.8761460999999999E-2</v>
      </c>
    </row>
    <row r="493" spans="1:8">
      <c r="A493" s="1">
        <v>492</v>
      </c>
      <c r="B493" s="1" t="s">
        <v>4</v>
      </c>
      <c r="C493" s="1">
        <v>-1.47235942664991E-2</v>
      </c>
      <c r="H493">
        <v>1.3212097000000001E-2</v>
      </c>
    </row>
    <row r="494" spans="1:8">
      <c r="A494" s="1">
        <v>493</v>
      </c>
      <c r="B494" s="1" t="s">
        <v>180</v>
      </c>
      <c r="C494" s="1">
        <v>-1.0204865353568199E-2</v>
      </c>
      <c r="H494">
        <v>4.8979992E-2</v>
      </c>
    </row>
    <row r="495" spans="1:8">
      <c r="A495" s="1">
        <v>494</v>
      </c>
      <c r="B495" s="1" t="s">
        <v>4</v>
      </c>
      <c r="C495" s="1">
        <v>-9.4453053960243897E-3</v>
      </c>
      <c r="H495">
        <v>2.8328730000000001E-3</v>
      </c>
    </row>
    <row r="496" spans="1:8">
      <c r="A496" s="1">
        <v>495</v>
      </c>
      <c r="B496" s="1" t="s">
        <v>4</v>
      </c>
      <c r="C496" s="1">
        <v>1.7195662427837901E-3</v>
      </c>
      <c r="H496">
        <v>3.2661594000000002E-2</v>
      </c>
    </row>
    <row r="497" spans="1:8">
      <c r="A497" s="1">
        <v>496</v>
      </c>
      <c r="B497" s="1" t="s">
        <v>4</v>
      </c>
      <c r="C497" s="1">
        <v>5.3220438257994803E-3</v>
      </c>
      <c r="H497">
        <v>3.5702034000000001E-2</v>
      </c>
    </row>
    <row r="498" spans="1:8">
      <c r="A498" s="1">
        <v>497</v>
      </c>
      <c r="B498" s="1" t="s">
        <v>4</v>
      </c>
      <c r="C498" s="1">
        <v>-9.6628775525999799E-3</v>
      </c>
      <c r="H498">
        <v>4.2869788999999998E-2</v>
      </c>
    </row>
    <row r="499" spans="1:8">
      <c r="A499" s="1">
        <v>498</v>
      </c>
      <c r="B499" s="1" t="s">
        <v>180</v>
      </c>
      <c r="C499" s="1">
        <v>-7.4849125249443205E-4</v>
      </c>
      <c r="H499">
        <v>9.800909E-3</v>
      </c>
    </row>
    <row r="500" spans="1:8">
      <c r="A500" s="1">
        <v>499</v>
      </c>
      <c r="B500" s="1" t="s">
        <v>4</v>
      </c>
      <c r="C500" s="1">
        <v>3.6319157249536702E-2</v>
      </c>
      <c r="H500">
        <v>2.9689740000000001E-3</v>
      </c>
    </row>
    <row r="501" spans="1:8">
      <c r="A501" s="1">
        <v>500</v>
      </c>
      <c r="B501" s="1" t="s">
        <v>4</v>
      </c>
      <c r="C501" s="1">
        <v>3.6786587075439997E-2</v>
      </c>
      <c r="H501">
        <v>5.6863588E-2</v>
      </c>
    </row>
    <row r="502" spans="1:8">
      <c r="A502" s="1">
        <v>501</v>
      </c>
      <c r="B502" s="1" t="s">
        <v>4</v>
      </c>
      <c r="C502" s="1">
        <v>-2.6933577262816699E-2</v>
      </c>
      <c r="H502">
        <v>-8.9591380000000002E-3</v>
      </c>
    </row>
    <row r="503" spans="1:8">
      <c r="A503" s="1">
        <v>502</v>
      </c>
      <c r="B503" s="1" t="s">
        <v>4</v>
      </c>
      <c r="C503" s="1">
        <v>-9.847219773533309E-4</v>
      </c>
      <c r="H503">
        <v>-1.0759853E-2</v>
      </c>
    </row>
    <row r="504" spans="1:8">
      <c r="A504" s="1">
        <v>503</v>
      </c>
      <c r="B504" s="1" t="s">
        <v>4</v>
      </c>
      <c r="C504" s="1">
        <v>-4.5085239839863702E-3</v>
      </c>
      <c r="H504">
        <v>1.1981957E-2</v>
      </c>
    </row>
    <row r="505" spans="1:8">
      <c r="A505" s="1">
        <v>504</v>
      </c>
      <c r="B505" s="1" t="s">
        <v>180</v>
      </c>
      <c r="C505" s="1">
        <v>-4.5879932929224704E-3</v>
      </c>
      <c r="H505">
        <v>-1.5187136E-2</v>
      </c>
    </row>
    <row r="506" spans="1:8">
      <c r="A506" s="1">
        <v>505</v>
      </c>
      <c r="B506" s="1" t="s">
        <v>4</v>
      </c>
      <c r="C506" s="1">
        <v>1.5358050396755999E-2</v>
      </c>
      <c r="H506" s="26">
        <v>1.4800000000000001E-5</v>
      </c>
    </row>
    <row r="507" spans="1:8">
      <c r="A507" s="1">
        <v>506</v>
      </c>
      <c r="B507" s="1" t="s">
        <v>180</v>
      </c>
      <c r="C507" s="1">
        <v>1.6567447535027899E-2</v>
      </c>
      <c r="H507">
        <v>-5.5958400000000004E-3</v>
      </c>
    </row>
    <row r="508" spans="1:8">
      <c r="A508" s="1">
        <v>507</v>
      </c>
      <c r="B508" s="1" t="s">
        <v>180</v>
      </c>
      <c r="C508" s="1">
        <v>-3.7814893071917703E-2</v>
      </c>
      <c r="H508">
        <v>6.9559299999999999E-4</v>
      </c>
    </row>
    <row r="509" spans="1:8">
      <c r="A509" s="1">
        <v>508</v>
      </c>
      <c r="B509" s="1" t="s">
        <v>4</v>
      </c>
      <c r="C509" s="1">
        <v>-1.1538943301081499E-2</v>
      </c>
      <c r="H509">
        <v>-2.5826536000000001E-2</v>
      </c>
    </row>
    <row r="510" spans="1:8">
      <c r="A510" s="1">
        <v>509</v>
      </c>
      <c r="B510" s="1" t="s">
        <v>4</v>
      </c>
      <c r="C510" s="1">
        <v>2.2593770713399401E-2</v>
      </c>
      <c r="H510">
        <v>9.1915599999999997E-3</v>
      </c>
    </row>
    <row r="511" spans="1:8">
      <c r="A511" s="1">
        <v>510</v>
      </c>
      <c r="B511" s="1" t="s">
        <v>4</v>
      </c>
      <c r="C511" s="1">
        <v>3.4094887944981098E-2</v>
      </c>
      <c r="H511">
        <v>-1.9653389E-2</v>
      </c>
    </row>
    <row r="512" spans="1:8">
      <c r="A512" s="1">
        <v>511</v>
      </c>
      <c r="B512" s="1" t="s">
        <v>4</v>
      </c>
      <c r="C512" s="1">
        <v>1.37592963423429E-2</v>
      </c>
      <c r="H512">
        <v>2.4490029999999999E-3</v>
      </c>
    </row>
    <row r="513" spans="1:8">
      <c r="A513" s="1">
        <v>512</v>
      </c>
      <c r="B513" s="1" t="s">
        <v>180</v>
      </c>
      <c r="C513" s="1">
        <v>-1.3972406501608199E-2</v>
      </c>
      <c r="H513">
        <v>-6.0782350000000004E-3</v>
      </c>
    </row>
    <row r="514" spans="1:8">
      <c r="A514" s="1">
        <v>513</v>
      </c>
      <c r="B514" s="1" t="s">
        <v>4</v>
      </c>
      <c r="C514" s="1">
        <v>3.3135456099721197E-2</v>
      </c>
      <c r="H514">
        <v>1.441365E-2</v>
      </c>
    </row>
    <row r="515" spans="1:8">
      <c r="A515" s="1">
        <v>514</v>
      </c>
      <c r="B515" s="1" t="s">
        <v>4</v>
      </c>
      <c r="C515" s="1">
        <v>2.84881641963963E-3</v>
      </c>
      <c r="H515">
        <v>-1.1834755000000001E-2</v>
      </c>
    </row>
    <row r="516" spans="1:8">
      <c r="A516" s="1">
        <v>515</v>
      </c>
      <c r="B516" s="1" t="s">
        <v>180</v>
      </c>
      <c r="C516" s="1">
        <v>-1.4080551075229699E-2</v>
      </c>
      <c r="H516">
        <v>2.5684858000000001E-2</v>
      </c>
    </row>
    <row r="517" spans="1:8">
      <c r="A517" s="1">
        <v>516</v>
      </c>
      <c r="B517" s="1" t="s">
        <v>4</v>
      </c>
      <c r="C517" s="1">
        <v>2.66556592771891E-2</v>
      </c>
      <c r="H517">
        <v>-8.1242180000000008E-3</v>
      </c>
    </row>
    <row r="518" spans="1:8">
      <c r="A518" s="1">
        <v>517</v>
      </c>
      <c r="B518" s="1" t="s">
        <v>4</v>
      </c>
      <c r="C518" s="1">
        <v>3.59458002814783E-3</v>
      </c>
      <c r="H518">
        <v>-1.6203319999999999E-3</v>
      </c>
    </row>
    <row r="519" spans="1:8">
      <c r="A519" s="1">
        <v>518</v>
      </c>
      <c r="B519" s="1" t="s">
        <v>4</v>
      </c>
      <c r="C519" s="1">
        <v>4.9227799301391401E-2</v>
      </c>
      <c r="H519">
        <v>-5.3378829999999999E-3</v>
      </c>
    </row>
    <row r="520" spans="1:8">
      <c r="A520" s="1">
        <v>519</v>
      </c>
      <c r="B520" s="1" t="s">
        <v>4</v>
      </c>
      <c r="C520" s="1">
        <v>-5.5204100524530704E-3</v>
      </c>
      <c r="H520">
        <v>6.8787680000000004E-3</v>
      </c>
    </row>
    <row r="521" spans="1:8">
      <c r="A521" s="1">
        <v>520</v>
      </c>
      <c r="B521" s="1" t="s">
        <v>4</v>
      </c>
      <c r="C521" s="1">
        <v>2.5720052066276301E-2</v>
      </c>
      <c r="H521">
        <v>9.1331659999999999E-3</v>
      </c>
    </row>
    <row r="522" spans="1:8">
      <c r="A522" s="1">
        <v>521</v>
      </c>
      <c r="B522" s="1" t="s">
        <v>4</v>
      </c>
      <c r="C522" s="1">
        <v>2.1643162547232701E-2</v>
      </c>
      <c r="H522">
        <v>3.4834305000000003E-2</v>
      </c>
    </row>
    <row r="523" spans="1:8">
      <c r="A523" s="1">
        <v>522</v>
      </c>
      <c r="B523" s="1" t="s">
        <v>180</v>
      </c>
      <c r="C523" s="1">
        <v>2.9090974135733898E-2</v>
      </c>
      <c r="H523">
        <v>-1.947196E-3</v>
      </c>
    </row>
    <row r="524" spans="1:8">
      <c r="A524" s="1">
        <v>523</v>
      </c>
      <c r="B524" s="1" t="s">
        <v>4</v>
      </c>
      <c r="C524" s="1">
        <v>3.6713997548403599E-2</v>
      </c>
      <c r="H524">
        <v>1.0203426999999999E-2</v>
      </c>
    </row>
    <row r="525" spans="1:8">
      <c r="A525" s="1">
        <v>524</v>
      </c>
      <c r="B525" s="1" t="s">
        <v>4</v>
      </c>
      <c r="C525" s="1">
        <v>-1.7326384797071201E-2</v>
      </c>
      <c r="H525">
        <v>4.3644480999999999E-2</v>
      </c>
    </row>
    <row r="526" spans="1:8">
      <c r="A526" s="1">
        <v>525</v>
      </c>
      <c r="B526" s="1" t="s">
        <v>180</v>
      </c>
      <c r="C526" s="1">
        <v>9.6910024750656003E-3</v>
      </c>
      <c r="H526">
        <v>-1.8438251999999999E-2</v>
      </c>
    </row>
    <row r="527" spans="1:8">
      <c r="A527" s="1">
        <v>526</v>
      </c>
      <c r="B527" s="1" t="s">
        <v>4</v>
      </c>
      <c r="C527" s="1">
        <v>-4.8761461128455197E-2</v>
      </c>
      <c r="H527">
        <v>2.5331589000000002E-2</v>
      </c>
    </row>
    <row r="528" spans="1:8">
      <c r="A528" s="1">
        <v>527</v>
      </c>
      <c r="B528" s="1" t="s">
        <v>4</v>
      </c>
      <c r="C528" s="1">
        <v>1.32120966175861E-2</v>
      </c>
      <c r="H528">
        <v>1.06602E-3</v>
      </c>
    </row>
    <row r="529" spans="1:8">
      <c r="A529" s="1">
        <v>528</v>
      </c>
      <c r="B529" s="1" t="s">
        <v>4</v>
      </c>
      <c r="C529" s="1">
        <v>4.89799919060427E-2</v>
      </c>
      <c r="H529">
        <v>2.9300293000000002E-2</v>
      </c>
    </row>
    <row r="530" spans="1:8">
      <c r="A530" s="1">
        <v>529</v>
      </c>
      <c r="B530" s="1" t="s">
        <v>4</v>
      </c>
      <c r="C530" s="1">
        <v>2.8328733090681102E-3</v>
      </c>
      <c r="H530">
        <v>-2.16729E-4</v>
      </c>
    </row>
    <row r="531" spans="1:8">
      <c r="A531" s="1">
        <v>530</v>
      </c>
      <c r="B531" s="1" t="s">
        <v>4</v>
      </c>
      <c r="C531" s="1">
        <v>3.26615936848213E-2</v>
      </c>
      <c r="H531">
        <v>-2.5237540999999999E-2</v>
      </c>
    </row>
    <row r="532" spans="1:8">
      <c r="A532" s="1">
        <v>531</v>
      </c>
      <c r="B532" s="1" t="s">
        <v>180</v>
      </c>
      <c r="C532" s="1">
        <v>-1.0021182781373201E-2</v>
      </c>
      <c r="H532">
        <v>-2.1263076999999998E-2</v>
      </c>
    </row>
    <row r="533" spans="1:8">
      <c r="A533" s="1">
        <v>532</v>
      </c>
      <c r="B533" s="1" t="s">
        <v>4</v>
      </c>
      <c r="C533" s="1">
        <v>3.5702034315498503E-2</v>
      </c>
      <c r="H533">
        <v>7.3800000000000003E-3</v>
      </c>
    </row>
    <row r="534" spans="1:8">
      <c r="A534" s="1">
        <v>533</v>
      </c>
      <c r="B534" s="1" t="s">
        <v>4</v>
      </c>
      <c r="C534" s="1">
        <v>4.2869789466663998E-2</v>
      </c>
      <c r="H534">
        <v>6.1171245999999999E-2</v>
      </c>
    </row>
    <row r="535" spans="1:8">
      <c r="A535" s="1">
        <v>534</v>
      </c>
      <c r="B535" s="1" t="s">
        <v>4</v>
      </c>
      <c r="C535" s="1">
        <v>9.8009092011324093E-3</v>
      </c>
      <c r="H535">
        <v>-1.1158979999999999E-3</v>
      </c>
    </row>
    <row r="536" spans="1:8">
      <c r="A536" s="1">
        <v>535</v>
      </c>
      <c r="B536" s="1" t="s">
        <v>180</v>
      </c>
      <c r="C536" s="1">
        <v>1.44218320058215E-2</v>
      </c>
      <c r="H536">
        <v>2.7606170999999999E-2</v>
      </c>
    </row>
    <row r="537" spans="1:8">
      <c r="A537" s="1">
        <v>536</v>
      </c>
      <c r="B537" s="1" t="s">
        <v>180</v>
      </c>
      <c r="C537" s="1">
        <v>-2.1548308225845799E-2</v>
      </c>
      <c r="H537">
        <v>3.8577412999999998E-2</v>
      </c>
    </row>
    <row r="538" spans="1:8">
      <c r="A538" s="1">
        <v>537</v>
      </c>
      <c r="B538" s="1" t="s">
        <v>4</v>
      </c>
      <c r="C538" s="1">
        <v>2.9689740414671202E-3</v>
      </c>
      <c r="H538">
        <v>7.9618420000000002E-3</v>
      </c>
    </row>
    <row r="539" spans="1:8">
      <c r="A539" s="1">
        <v>538</v>
      </c>
      <c r="B539" s="1" t="s">
        <v>4</v>
      </c>
      <c r="C539" s="1">
        <v>5.6863588452053103E-2</v>
      </c>
      <c r="H539">
        <v>2.5731466000000001E-2</v>
      </c>
    </row>
    <row r="540" spans="1:8">
      <c r="A540" s="1">
        <v>539</v>
      </c>
      <c r="B540" s="1" t="s">
        <v>4</v>
      </c>
      <c r="C540" s="1">
        <v>-8.9591379358182604E-3</v>
      </c>
      <c r="H540">
        <v>1.0134966E-2</v>
      </c>
    </row>
    <row r="541" spans="1:8">
      <c r="A541" s="1">
        <v>540</v>
      </c>
      <c r="B541" s="1" t="s">
        <v>4</v>
      </c>
      <c r="C541" s="1">
        <v>-1.07598529073524E-2</v>
      </c>
      <c r="H541">
        <v>2.4354647E-2</v>
      </c>
    </row>
    <row r="542" spans="1:8">
      <c r="A542" s="1">
        <v>541</v>
      </c>
      <c r="B542" s="1" t="s">
        <v>4</v>
      </c>
      <c r="C542" s="1">
        <v>1.1981956965946901E-2</v>
      </c>
      <c r="H542">
        <v>-1.0177233000000001E-2</v>
      </c>
    </row>
    <row r="543" spans="1:8">
      <c r="A543" s="1">
        <v>542</v>
      </c>
      <c r="B543" s="1" t="s">
        <v>4</v>
      </c>
      <c r="C543" s="1">
        <v>-1.51871356091248E-2</v>
      </c>
      <c r="H543">
        <v>-7.6879970000000002E-3</v>
      </c>
    </row>
    <row r="544" spans="1:8">
      <c r="A544" s="1">
        <v>543</v>
      </c>
      <c r="B544" s="1" t="s">
        <v>4</v>
      </c>
      <c r="C544" s="2">
        <v>1.48101769781305E-5</v>
      </c>
      <c r="H544">
        <v>2.2354717999999999E-2</v>
      </c>
    </row>
    <row r="545" spans="1:8">
      <c r="A545" s="1">
        <v>544</v>
      </c>
      <c r="B545" s="1" t="s">
        <v>4</v>
      </c>
      <c r="C545" s="1">
        <v>-5.5958401131164202E-3</v>
      </c>
      <c r="H545">
        <v>-2.0503471999999998E-2</v>
      </c>
    </row>
    <row r="546" spans="1:8">
      <c r="A546" s="1">
        <v>545</v>
      </c>
      <c r="B546" s="1" t="s">
        <v>180</v>
      </c>
      <c r="C546" s="1">
        <v>-2.55331090600678E-2</v>
      </c>
      <c r="H546">
        <v>4.1898465000000003E-2</v>
      </c>
    </row>
    <row r="547" spans="1:8">
      <c r="A547" s="1">
        <v>546</v>
      </c>
      <c r="B547" s="1" t="s">
        <v>180</v>
      </c>
      <c r="C547" s="1">
        <v>-1.8730299277788E-2</v>
      </c>
      <c r="H547">
        <v>4.1132492E-2</v>
      </c>
    </row>
    <row r="548" spans="1:8">
      <c r="A548" s="1">
        <v>547</v>
      </c>
      <c r="B548" s="1" t="s">
        <v>180</v>
      </c>
      <c r="C548" s="1">
        <v>3.0312599302259699E-2</v>
      </c>
      <c r="H548">
        <v>-3.0924782000000001E-2</v>
      </c>
    </row>
    <row r="549" spans="1:8">
      <c r="A549" s="1">
        <v>548</v>
      </c>
      <c r="B549" s="1" t="s">
        <v>4</v>
      </c>
      <c r="C549" s="1">
        <v>6.9559299147670096E-4</v>
      </c>
      <c r="H549">
        <v>-1.5260773E-2</v>
      </c>
    </row>
    <row r="550" spans="1:8">
      <c r="A550" s="1">
        <v>549</v>
      </c>
      <c r="B550" s="1" t="s">
        <v>4</v>
      </c>
      <c r="C550" s="1">
        <v>-2.5826535705419901E-2</v>
      </c>
      <c r="H550">
        <v>3.0496849999999999E-3</v>
      </c>
    </row>
    <row r="551" spans="1:8">
      <c r="A551" s="1">
        <v>550</v>
      </c>
      <c r="B551" s="1" t="s">
        <v>4</v>
      </c>
      <c r="C551" s="1">
        <v>9.1915596388219001E-3</v>
      </c>
      <c r="H551">
        <v>-8.6583990000000007E-3</v>
      </c>
    </row>
    <row r="552" spans="1:8">
      <c r="A552" s="1">
        <v>551</v>
      </c>
      <c r="B552" s="1" t="s">
        <v>4</v>
      </c>
      <c r="C552" s="1">
        <v>-1.9653389332020699E-2</v>
      </c>
      <c r="H552">
        <v>1.265282E-2</v>
      </c>
    </row>
    <row r="553" spans="1:8">
      <c r="A553" s="1">
        <v>552</v>
      </c>
      <c r="B553" s="1" t="s">
        <v>180</v>
      </c>
      <c r="C553" s="1">
        <v>-1.7173390671993902E-2</v>
      </c>
      <c r="H553">
        <v>-2.4286254E-2</v>
      </c>
    </row>
    <row r="554" spans="1:8">
      <c r="A554" s="1">
        <v>553</v>
      </c>
      <c r="B554" s="1" t="s">
        <v>4</v>
      </c>
      <c r="C554" s="1">
        <v>2.4490028744423801E-3</v>
      </c>
      <c r="H554">
        <v>-6.911337E-3</v>
      </c>
    </row>
    <row r="555" spans="1:8">
      <c r="A555" s="1">
        <v>554</v>
      </c>
      <c r="B555" s="1" t="s">
        <v>4</v>
      </c>
      <c r="C555" s="1">
        <v>-6.0782350706460797E-3</v>
      </c>
      <c r="H555">
        <v>2.0204974000000001E-2</v>
      </c>
    </row>
    <row r="556" spans="1:8">
      <c r="A556" s="1">
        <v>555</v>
      </c>
      <c r="B556" s="1" t="s">
        <v>4</v>
      </c>
      <c r="C556" s="1">
        <v>1.4413650034167599E-2</v>
      </c>
      <c r="H556">
        <v>7.3582989999999996E-3</v>
      </c>
    </row>
    <row r="557" spans="1:8">
      <c r="A557" s="1">
        <v>556</v>
      </c>
      <c r="B557" s="1" t="s">
        <v>4</v>
      </c>
      <c r="C557" s="1">
        <v>-1.1834754947440001E-2</v>
      </c>
      <c r="H557">
        <v>-5.8630820000000004E-3</v>
      </c>
    </row>
    <row r="558" spans="1:8">
      <c r="A558" s="1">
        <v>557</v>
      </c>
      <c r="B558" s="1" t="s">
        <v>4</v>
      </c>
      <c r="C558" s="1">
        <v>2.5684857631638601E-2</v>
      </c>
      <c r="H558">
        <v>2.6016979999999999E-3</v>
      </c>
    </row>
    <row r="559" spans="1:8">
      <c r="A559" s="1">
        <v>558</v>
      </c>
      <c r="B559" s="1" t="s">
        <v>4</v>
      </c>
      <c r="C559" s="1">
        <v>-8.1242178564675492E-3</v>
      </c>
      <c r="H559">
        <v>4.8839169999999998E-3</v>
      </c>
    </row>
    <row r="560" spans="1:8">
      <c r="A560" s="1">
        <v>559</v>
      </c>
      <c r="B560" s="1" t="s">
        <v>4</v>
      </c>
      <c r="C560" s="1">
        <v>-1.6203323350847301E-3</v>
      </c>
      <c r="H560">
        <v>2.6914110000000002E-2</v>
      </c>
    </row>
    <row r="561" spans="1:8">
      <c r="A561" s="1">
        <v>560</v>
      </c>
      <c r="B561" s="1" t="s">
        <v>180</v>
      </c>
      <c r="C561" s="1">
        <v>1.2935380024188699E-2</v>
      </c>
      <c r="H561">
        <v>-6.2057679999999997E-2</v>
      </c>
    </row>
    <row r="562" spans="1:8">
      <c r="A562" s="1">
        <v>561</v>
      </c>
      <c r="B562" s="1" t="s">
        <v>4</v>
      </c>
      <c r="C562" s="1">
        <v>-5.3378828037686701E-3</v>
      </c>
      <c r="H562">
        <v>-1.1483135E-2</v>
      </c>
    </row>
    <row r="563" spans="1:8">
      <c r="A563" s="1">
        <v>562</v>
      </c>
      <c r="B563" s="1" t="s">
        <v>180</v>
      </c>
      <c r="C563" s="1">
        <v>-1.0154320363454801E-2</v>
      </c>
      <c r="H563">
        <v>2.0129754E-2</v>
      </c>
    </row>
    <row r="564" spans="1:8">
      <c r="A564" s="1">
        <v>563</v>
      </c>
      <c r="B564" s="1" t="s">
        <v>180</v>
      </c>
      <c r="C564" s="1">
        <v>-1.2620524669610901E-2</v>
      </c>
      <c r="H564">
        <v>4.1686709999999997E-3</v>
      </c>
    </row>
    <row r="565" spans="1:8">
      <c r="A565" s="1">
        <v>564</v>
      </c>
      <c r="B565" s="1" t="s">
        <v>4</v>
      </c>
      <c r="C565" s="1">
        <v>6.8787683057482899E-3</v>
      </c>
      <c r="H565">
        <v>2.6903158999999999E-2</v>
      </c>
    </row>
    <row r="566" spans="1:8">
      <c r="A566" s="1">
        <v>565</v>
      </c>
      <c r="B566" s="1" t="s">
        <v>4</v>
      </c>
      <c r="C566" s="1">
        <v>9.1331657731359393E-3</v>
      </c>
      <c r="H566">
        <v>-1.7965279000000001E-2</v>
      </c>
    </row>
    <row r="567" spans="1:8">
      <c r="A567" s="1">
        <v>566</v>
      </c>
      <c r="B567" s="1" t="s">
        <v>4</v>
      </c>
      <c r="C567" s="1">
        <v>3.48343054754423E-2</v>
      </c>
      <c r="H567">
        <v>1.2372151E-2</v>
      </c>
    </row>
    <row r="568" spans="1:8">
      <c r="A568" s="1">
        <v>567</v>
      </c>
      <c r="B568" s="1" t="s">
        <v>180</v>
      </c>
      <c r="C568" s="1">
        <v>-1.32554141537166E-3</v>
      </c>
      <c r="H568">
        <v>-1.4502580000000001E-3</v>
      </c>
    </row>
    <row r="569" spans="1:8">
      <c r="A569" s="1">
        <v>568</v>
      </c>
      <c r="B569" s="1" t="s">
        <v>4</v>
      </c>
      <c r="C569" s="1">
        <v>-1.9471957733259099E-3</v>
      </c>
      <c r="H569">
        <v>-8.7073000000000001E-4</v>
      </c>
    </row>
    <row r="570" spans="1:8">
      <c r="A570" s="1">
        <v>569</v>
      </c>
      <c r="B570" s="1" t="s">
        <v>4</v>
      </c>
      <c r="C570" s="1">
        <v>1.0203427174928901E-2</v>
      </c>
      <c r="H570">
        <v>-7.1702300000000001E-4</v>
      </c>
    </row>
    <row r="571" spans="1:8">
      <c r="A571" s="1">
        <v>570</v>
      </c>
      <c r="B571" s="1" t="s">
        <v>4</v>
      </c>
      <c r="C571" s="1">
        <v>4.3644481161436398E-2</v>
      </c>
      <c r="H571">
        <v>1.291384E-3</v>
      </c>
    </row>
    <row r="572" spans="1:8">
      <c r="A572" s="1">
        <v>571</v>
      </c>
      <c r="B572" s="1" t="s">
        <v>4</v>
      </c>
      <c r="C572" s="1">
        <v>-1.8438252093297001E-2</v>
      </c>
      <c r="H572">
        <v>2.1667833000000001E-2</v>
      </c>
    </row>
    <row r="573" spans="1:8">
      <c r="A573" s="1">
        <v>572</v>
      </c>
      <c r="B573" s="1" t="s">
        <v>4</v>
      </c>
      <c r="C573" s="1">
        <v>2.53315894945744E-2</v>
      </c>
      <c r="H573">
        <v>1.4631973E-2</v>
      </c>
    </row>
    <row r="574" spans="1:8">
      <c r="A574" s="1">
        <v>573</v>
      </c>
      <c r="B574" s="1" t="s">
        <v>4</v>
      </c>
      <c r="C574" s="1">
        <v>1.06602048006898E-3</v>
      </c>
      <c r="H574">
        <v>1.2284353E-2</v>
      </c>
    </row>
    <row r="575" spans="1:8">
      <c r="A575" s="1">
        <v>574</v>
      </c>
      <c r="B575" s="1" t="s">
        <v>4</v>
      </c>
      <c r="C575" s="1">
        <v>2.93002933621355E-2</v>
      </c>
      <c r="H575">
        <v>1.7374859999999999E-2</v>
      </c>
    </row>
    <row r="576" spans="1:8">
      <c r="A576" s="1">
        <v>575</v>
      </c>
      <c r="B576" s="1" t="s">
        <v>180</v>
      </c>
      <c r="C576" s="1">
        <v>-4.5556683706280403E-2</v>
      </c>
      <c r="H576">
        <v>1.3372340000000001E-3</v>
      </c>
    </row>
    <row r="577" spans="1:8">
      <c r="A577" s="1">
        <v>576</v>
      </c>
      <c r="B577" s="1" t="s">
        <v>180</v>
      </c>
      <c r="C577" s="1">
        <v>2.7527758456411498E-3</v>
      </c>
      <c r="H577">
        <v>-2.1553734000000001E-2</v>
      </c>
    </row>
    <row r="578" spans="1:8">
      <c r="A578" s="1">
        <v>577</v>
      </c>
      <c r="B578" s="1" t="s">
        <v>4</v>
      </c>
      <c r="C578" s="1">
        <v>-2.1672936932759499E-4</v>
      </c>
      <c r="H578">
        <v>6.9679429999999999E-3</v>
      </c>
    </row>
    <row r="579" spans="1:8">
      <c r="A579" s="1">
        <v>578</v>
      </c>
      <c r="B579" s="1" t="s">
        <v>4</v>
      </c>
      <c r="C579" s="1">
        <v>-2.5237540997736101E-2</v>
      </c>
      <c r="H579">
        <v>3.8686530000000001E-3</v>
      </c>
    </row>
    <row r="580" spans="1:8">
      <c r="A580" s="1">
        <v>579</v>
      </c>
      <c r="B580" s="1" t="s">
        <v>4</v>
      </c>
      <c r="C580" s="1">
        <v>-2.1263076983590399E-2</v>
      </c>
      <c r="H580">
        <v>-2.4950983999999999E-2</v>
      </c>
    </row>
    <row r="581" spans="1:8">
      <c r="A581" s="1">
        <v>580</v>
      </c>
      <c r="B581" s="1" t="s">
        <v>4</v>
      </c>
      <c r="C581" s="1">
        <v>7.3799999454751096E-3</v>
      </c>
      <c r="H581">
        <v>2.1320328E-2</v>
      </c>
    </row>
    <row r="582" spans="1:8">
      <c r="A582" s="1">
        <v>581</v>
      </c>
      <c r="B582" s="1" t="s">
        <v>4</v>
      </c>
      <c r="C582" s="1">
        <v>6.1171246235431902E-2</v>
      </c>
      <c r="H582">
        <v>-2.2302434999999999E-2</v>
      </c>
    </row>
    <row r="583" spans="1:8">
      <c r="A583" s="1">
        <v>582</v>
      </c>
      <c r="B583" s="1" t="s">
        <v>180</v>
      </c>
      <c r="C583" s="1">
        <v>8.0304130286208402E-3</v>
      </c>
      <c r="H583">
        <v>-6.2238279999999998E-3</v>
      </c>
    </row>
    <row r="584" spans="1:8">
      <c r="A584" s="1">
        <v>583</v>
      </c>
      <c r="B584" s="1" t="s">
        <v>180</v>
      </c>
      <c r="C584" s="1">
        <v>-8.1275572057251094E-3</v>
      </c>
      <c r="H584">
        <v>-1.1204260000000001E-2</v>
      </c>
    </row>
    <row r="585" spans="1:8">
      <c r="A585" s="1">
        <v>584</v>
      </c>
      <c r="B585" s="1" t="s">
        <v>4</v>
      </c>
      <c r="C585" s="1">
        <v>-1.1158975165130799E-3</v>
      </c>
      <c r="H585">
        <v>1.4014248E-2</v>
      </c>
    </row>
    <row r="586" spans="1:8">
      <c r="A586" s="1">
        <v>585</v>
      </c>
      <c r="B586" s="1" t="s">
        <v>180</v>
      </c>
      <c r="C586" s="1">
        <v>6.8173753506925996E-3</v>
      </c>
      <c r="H586">
        <v>4.1779429999999999E-3</v>
      </c>
    </row>
    <row r="587" spans="1:8">
      <c r="A587" s="1">
        <v>586</v>
      </c>
      <c r="B587" s="1" t="s">
        <v>180</v>
      </c>
      <c r="C587" s="1">
        <v>-9.3110159720062296E-3</v>
      </c>
      <c r="H587">
        <v>-2.4546662E-2</v>
      </c>
    </row>
    <row r="588" spans="1:8">
      <c r="A588" s="1">
        <v>587</v>
      </c>
      <c r="B588" s="1" t="s">
        <v>4</v>
      </c>
      <c r="C588" s="1">
        <v>2.7606170552047601E-2</v>
      </c>
      <c r="H588">
        <v>-8.1915630000000007E-3</v>
      </c>
    </row>
    <row r="589" spans="1:8">
      <c r="A589" s="1">
        <v>588</v>
      </c>
      <c r="B589" s="1" t="s">
        <v>180</v>
      </c>
      <c r="C589" s="1">
        <v>-2.3794905036993402E-3</v>
      </c>
      <c r="H589">
        <v>2.8142150000000001E-2</v>
      </c>
    </row>
    <row r="590" spans="1:8">
      <c r="A590" s="1">
        <v>589</v>
      </c>
      <c r="B590" s="1" t="s">
        <v>4</v>
      </c>
      <c r="C590" s="1">
        <v>3.8577412624761102E-2</v>
      </c>
      <c r="H590">
        <v>-3.5008921999999998E-2</v>
      </c>
    </row>
    <row r="591" spans="1:8">
      <c r="A591" s="1">
        <v>590</v>
      </c>
      <c r="B591" s="1" t="s">
        <v>4</v>
      </c>
      <c r="C591" s="1">
        <v>7.9618419897684502E-3</v>
      </c>
      <c r="H591">
        <v>1.2838532E-2</v>
      </c>
    </row>
    <row r="592" spans="1:8">
      <c r="A592" s="1">
        <v>591</v>
      </c>
      <c r="B592" s="1" t="s">
        <v>180</v>
      </c>
      <c r="C592" s="1">
        <v>1.26983109401841E-2</v>
      </c>
      <c r="H592">
        <v>-2.0472814999999998E-2</v>
      </c>
    </row>
    <row r="593" spans="1:8">
      <c r="A593" s="1">
        <v>592</v>
      </c>
      <c r="B593" s="1" t="s">
        <v>4</v>
      </c>
      <c r="C593" s="1">
        <v>2.5731465544112E-2</v>
      </c>
      <c r="H593">
        <v>7.5842849999999996E-3</v>
      </c>
    </row>
    <row r="594" spans="1:8">
      <c r="A594" s="1">
        <v>593</v>
      </c>
      <c r="B594" s="1" t="s">
        <v>4</v>
      </c>
      <c r="C594" s="1">
        <v>1.0134965602965401E-2</v>
      </c>
      <c r="H594">
        <v>2.0456060000000002E-2</v>
      </c>
    </row>
    <row r="595" spans="1:8">
      <c r="A595" s="1">
        <v>594</v>
      </c>
      <c r="B595" s="1" t="s">
        <v>4</v>
      </c>
      <c r="C595" s="1">
        <v>2.43546474269749E-2</v>
      </c>
      <c r="H595">
        <v>1.4836026E-2</v>
      </c>
    </row>
    <row r="596" spans="1:8">
      <c r="A596" s="1">
        <v>595</v>
      </c>
      <c r="B596" s="1" t="s">
        <v>4</v>
      </c>
      <c r="C596" s="1">
        <v>-1.01772331694149E-2</v>
      </c>
      <c r="H596">
        <v>-3.9526169E-2</v>
      </c>
    </row>
    <row r="597" spans="1:8">
      <c r="A597" s="1">
        <v>596</v>
      </c>
      <c r="B597" s="1" t="s">
        <v>4</v>
      </c>
      <c r="C597" s="1">
        <v>-7.6879973594898799E-3</v>
      </c>
      <c r="H597">
        <v>-2.5839040000000001E-3</v>
      </c>
    </row>
    <row r="598" spans="1:8">
      <c r="A598" s="1">
        <v>597</v>
      </c>
      <c r="B598" s="1" t="s">
        <v>180</v>
      </c>
      <c r="C598" s="1">
        <v>2.2401106028137701E-2</v>
      </c>
      <c r="H598">
        <v>4.0274819999999998E-3</v>
      </c>
    </row>
    <row r="599" spans="1:8">
      <c r="A599" s="1">
        <v>598</v>
      </c>
      <c r="B599" s="1" t="s">
        <v>4</v>
      </c>
      <c r="C599" s="1">
        <v>2.2354718050706799E-2</v>
      </c>
      <c r="H599">
        <v>5.7107759999999999E-3</v>
      </c>
    </row>
    <row r="600" spans="1:8">
      <c r="A600" s="1">
        <v>599</v>
      </c>
      <c r="B600" s="1" t="s">
        <v>180</v>
      </c>
      <c r="C600" s="1">
        <v>1.9143309121264399E-2</v>
      </c>
      <c r="H600">
        <v>-6.8317150000000004E-3</v>
      </c>
    </row>
    <row r="601" spans="1:8">
      <c r="A601" s="1">
        <v>600</v>
      </c>
      <c r="B601" s="1" t="s">
        <v>4</v>
      </c>
      <c r="C601" s="1">
        <v>-2.0503472381681001E-2</v>
      </c>
      <c r="H601">
        <v>2.5375828999999999E-2</v>
      </c>
    </row>
    <row r="602" spans="1:8">
      <c r="A602" s="1">
        <v>601</v>
      </c>
      <c r="B602" s="1" t="s">
        <v>4</v>
      </c>
      <c r="C602" s="1">
        <v>4.1898464864765103E-2</v>
      </c>
      <c r="H602">
        <v>3.9974427E-2</v>
      </c>
    </row>
    <row r="603" spans="1:8">
      <c r="A603" s="1">
        <v>602</v>
      </c>
      <c r="B603" s="1" t="s">
        <v>4</v>
      </c>
      <c r="C603" s="1">
        <v>4.1132491598830201E-2</v>
      </c>
      <c r="H603">
        <v>-1.3307965999999999E-2</v>
      </c>
    </row>
    <row r="604" spans="1:8">
      <c r="A604" s="1">
        <v>603</v>
      </c>
      <c r="B604" s="1" t="s">
        <v>180</v>
      </c>
      <c r="C604" s="1">
        <v>1.6097496502453599E-2</v>
      </c>
      <c r="H604">
        <v>-2.0739976E-2</v>
      </c>
    </row>
    <row r="605" spans="1:8">
      <c r="A605" s="1">
        <v>604</v>
      </c>
      <c r="B605" s="1" t="s">
        <v>180</v>
      </c>
      <c r="C605" s="1">
        <v>-2.4149891867281701E-2</v>
      </c>
      <c r="H605">
        <v>1.4888874999999999E-2</v>
      </c>
    </row>
    <row r="606" spans="1:8">
      <c r="A606" s="1">
        <v>605</v>
      </c>
      <c r="B606" s="1" t="s">
        <v>4</v>
      </c>
      <c r="C606" s="1">
        <v>-3.0924782145987699E-2</v>
      </c>
      <c r="H606">
        <v>3.3067248E-2</v>
      </c>
    </row>
    <row r="607" spans="1:8">
      <c r="A607" s="1">
        <v>606</v>
      </c>
      <c r="B607" s="1" t="s">
        <v>180</v>
      </c>
      <c r="C607" s="1">
        <v>3.3582095262108397E-2</v>
      </c>
      <c r="H607">
        <v>3.6224368E-2</v>
      </c>
    </row>
    <row r="608" spans="1:8">
      <c r="A608" s="1">
        <v>607</v>
      </c>
      <c r="B608" s="1" t="s">
        <v>180</v>
      </c>
      <c r="C608" s="1">
        <v>-2.42161409443362E-2</v>
      </c>
      <c r="H608">
        <v>1.3654537E-2</v>
      </c>
    </row>
    <row r="609" spans="1:8">
      <c r="A609" s="1">
        <v>608</v>
      </c>
      <c r="B609" s="1" t="s">
        <v>4</v>
      </c>
      <c r="C609" s="1">
        <v>-1.5260772821676399E-2</v>
      </c>
      <c r="H609">
        <v>-3.629789E-3</v>
      </c>
    </row>
    <row r="610" spans="1:8">
      <c r="A610" s="1">
        <v>609</v>
      </c>
      <c r="B610" s="1" t="s">
        <v>4</v>
      </c>
      <c r="C610" s="1">
        <v>3.0496849531118598E-3</v>
      </c>
      <c r="H610">
        <v>1.1190482E-2</v>
      </c>
    </row>
    <row r="611" spans="1:8">
      <c r="A611" s="1">
        <v>610</v>
      </c>
      <c r="B611" s="1" t="s">
        <v>180</v>
      </c>
      <c r="C611" s="1">
        <v>7.9392101683310994E-3</v>
      </c>
      <c r="H611">
        <v>1.4492715E-2</v>
      </c>
    </row>
    <row r="612" spans="1:8">
      <c r="A612" s="1">
        <v>611</v>
      </c>
      <c r="B612" s="1" t="s">
        <v>4</v>
      </c>
      <c r="C612" s="1">
        <v>-8.6583985624937299E-3</v>
      </c>
      <c r="H612">
        <v>4.1844970000000002E-2</v>
      </c>
    </row>
    <row r="613" spans="1:8">
      <c r="A613" s="1">
        <v>612</v>
      </c>
      <c r="B613" s="1" t="s">
        <v>4</v>
      </c>
      <c r="C613" s="1">
        <v>1.26528199658224E-2</v>
      </c>
      <c r="H613">
        <v>1.9520075000000001E-2</v>
      </c>
    </row>
    <row r="614" spans="1:8">
      <c r="A614" s="1">
        <v>613</v>
      </c>
      <c r="B614" s="1" t="s">
        <v>180</v>
      </c>
      <c r="C614" s="1">
        <v>2.23280163206638E-2</v>
      </c>
      <c r="H614">
        <v>7.4623449999999996E-3</v>
      </c>
    </row>
    <row r="615" spans="1:8">
      <c r="A615" s="1">
        <v>614</v>
      </c>
      <c r="B615" s="1" t="s">
        <v>4</v>
      </c>
      <c r="C615" s="1">
        <v>-2.4286253822651802E-2</v>
      </c>
      <c r="H615" s="26">
        <v>7.2899999999999997E-5</v>
      </c>
    </row>
    <row r="616" spans="1:8">
      <c r="A616" s="1">
        <v>615</v>
      </c>
      <c r="B616" s="1" t="s">
        <v>4</v>
      </c>
      <c r="C616" s="1">
        <v>-6.9113374231406502E-3</v>
      </c>
      <c r="H616">
        <v>3.0318676999999999E-2</v>
      </c>
    </row>
    <row r="617" spans="1:8">
      <c r="A617" s="1">
        <v>616</v>
      </c>
      <c r="B617" s="1" t="s">
        <v>180</v>
      </c>
      <c r="C617" s="1">
        <v>1.7455138717599999E-2</v>
      </c>
      <c r="H617">
        <v>7.5423449999999998E-3</v>
      </c>
    </row>
    <row r="618" spans="1:8">
      <c r="A618" s="1">
        <v>617</v>
      </c>
      <c r="B618" s="1" t="s">
        <v>4</v>
      </c>
      <c r="C618" s="1">
        <v>2.0204974483362999E-2</v>
      </c>
      <c r="H618">
        <v>1.9260436999999998E-2</v>
      </c>
    </row>
    <row r="619" spans="1:8">
      <c r="A619" s="1">
        <v>618</v>
      </c>
      <c r="B619" s="1" t="s">
        <v>4</v>
      </c>
      <c r="C619" s="1">
        <v>7.3582988328553204E-3</v>
      </c>
      <c r="H619">
        <v>-1.2109941000000001E-2</v>
      </c>
    </row>
    <row r="620" spans="1:8">
      <c r="A620" s="1">
        <v>619</v>
      </c>
      <c r="B620" s="1" t="s">
        <v>4</v>
      </c>
      <c r="C620" s="1">
        <v>-5.8630816039268998E-3</v>
      </c>
      <c r="H620">
        <v>1.5576601000000001E-2</v>
      </c>
    </row>
    <row r="621" spans="1:8">
      <c r="A621" s="1">
        <v>620</v>
      </c>
      <c r="B621" s="1" t="s">
        <v>4</v>
      </c>
      <c r="C621" s="1">
        <v>2.6016980320768802E-3</v>
      </c>
      <c r="H621">
        <v>8.74248E-4</v>
      </c>
    </row>
    <row r="622" spans="1:8">
      <c r="A622" s="1">
        <v>621</v>
      </c>
      <c r="B622" s="1" t="s">
        <v>180</v>
      </c>
      <c r="C622" s="1">
        <v>5.6103612903761696E-3</v>
      </c>
      <c r="H622">
        <v>2.0144017E-2</v>
      </c>
    </row>
    <row r="623" spans="1:8">
      <c r="A623" s="1">
        <v>622</v>
      </c>
      <c r="B623" s="1" t="s">
        <v>4</v>
      </c>
      <c r="C623" s="1">
        <v>4.8839168526697502E-3</v>
      </c>
      <c r="H623">
        <v>-2.7969510999999999E-2</v>
      </c>
    </row>
    <row r="624" spans="1:8">
      <c r="A624" s="1">
        <v>623</v>
      </c>
      <c r="B624" s="1" t="s">
        <v>4</v>
      </c>
      <c r="C624" s="1">
        <v>2.69141101952887E-2</v>
      </c>
      <c r="H624">
        <v>1.7615878000000001E-2</v>
      </c>
    </row>
    <row r="625" spans="1:8">
      <c r="A625" s="1">
        <v>624</v>
      </c>
      <c r="B625" s="1" t="s">
        <v>180</v>
      </c>
      <c r="C625" s="1">
        <v>-1.36679260845227E-2</v>
      </c>
      <c r="H625">
        <v>2.3624597000000001E-2</v>
      </c>
    </row>
    <row r="626" spans="1:8">
      <c r="A626" s="1">
        <v>625</v>
      </c>
      <c r="B626" s="1" t="s">
        <v>4</v>
      </c>
      <c r="C626" s="1">
        <v>-6.2057680110896699E-2</v>
      </c>
      <c r="H626">
        <v>1.3085230999999999E-2</v>
      </c>
    </row>
    <row r="627" spans="1:8">
      <c r="A627" s="1">
        <v>626</v>
      </c>
      <c r="B627" s="1" t="s">
        <v>4</v>
      </c>
      <c r="C627" s="1">
        <v>-1.14831352830222E-2</v>
      </c>
      <c r="H627">
        <v>-1.7606437999999999E-2</v>
      </c>
    </row>
    <row r="628" spans="1:8">
      <c r="A628" s="1">
        <v>627</v>
      </c>
      <c r="B628" s="1" t="s">
        <v>4</v>
      </c>
      <c r="C628" s="1">
        <v>2.01297542534177E-2</v>
      </c>
      <c r="H628">
        <v>-1.7924725999999998E-2</v>
      </c>
    </row>
    <row r="629" spans="1:8">
      <c r="A629" s="1">
        <v>628</v>
      </c>
      <c r="B629" s="1" t="s">
        <v>4</v>
      </c>
      <c r="C629" s="1">
        <v>4.1686711004906797E-3</v>
      </c>
      <c r="H629">
        <v>1.8501179999999999E-2</v>
      </c>
    </row>
    <row r="630" spans="1:8">
      <c r="A630" s="1">
        <v>629</v>
      </c>
      <c r="B630" s="1" t="s">
        <v>4</v>
      </c>
      <c r="C630" s="1">
        <v>2.69031590642363E-2</v>
      </c>
      <c r="H630">
        <v>3.7485942000000001E-2</v>
      </c>
    </row>
    <row r="631" spans="1:8">
      <c r="A631" s="1">
        <v>630</v>
      </c>
      <c r="B631" s="1" t="s">
        <v>4</v>
      </c>
      <c r="C631" s="1">
        <v>-1.7965278526631299E-2</v>
      </c>
      <c r="H631">
        <v>3.0427217999999999E-2</v>
      </c>
    </row>
    <row r="632" spans="1:8">
      <c r="A632" s="1">
        <v>631</v>
      </c>
      <c r="B632" s="1" t="s">
        <v>4</v>
      </c>
      <c r="C632" s="1">
        <v>1.23721509529053E-2</v>
      </c>
      <c r="H632">
        <v>-2.4901250000000002E-3</v>
      </c>
    </row>
    <row r="633" spans="1:8">
      <c r="A633" s="1">
        <v>632</v>
      </c>
      <c r="B633" s="1" t="s">
        <v>4</v>
      </c>
      <c r="C633" s="1">
        <v>-1.4502578408439599E-3</v>
      </c>
      <c r="H633">
        <v>4.9783422000000001E-2</v>
      </c>
    </row>
    <row r="634" spans="1:8">
      <c r="A634" s="1">
        <v>633</v>
      </c>
      <c r="B634" s="1" t="s">
        <v>4</v>
      </c>
      <c r="C634" s="1">
        <v>-8.7073028931072805E-4</v>
      </c>
      <c r="H634">
        <v>2.3769676999999999E-2</v>
      </c>
    </row>
    <row r="635" spans="1:8">
      <c r="A635" s="1">
        <v>634</v>
      </c>
      <c r="B635" s="1" t="s">
        <v>4</v>
      </c>
      <c r="C635" s="1">
        <v>-7.1702322106403905E-4</v>
      </c>
      <c r="H635">
        <v>-2.8115890000000002E-3</v>
      </c>
    </row>
    <row r="636" spans="1:8">
      <c r="A636" s="1">
        <v>635</v>
      </c>
      <c r="B636" s="1" t="s">
        <v>180</v>
      </c>
      <c r="C636" s="1">
        <v>7.1768233721272098E-3</v>
      </c>
      <c r="H636">
        <v>4.0630807999999997E-2</v>
      </c>
    </row>
    <row r="637" spans="1:8">
      <c r="A637" s="1">
        <v>636</v>
      </c>
      <c r="B637" s="1" t="s">
        <v>4</v>
      </c>
      <c r="C637" s="1">
        <v>1.2913838429327001E-3</v>
      </c>
      <c r="H637">
        <v>-1.056988E-3</v>
      </c>
    </row>
    <row r="638" spans="1:8">
      <c r="A638" s="1">
        <v>637</v>
      </c>
      <c r="B638" s="1" t="s">
        <v>4</v>
      </c>
      <c r="C638" s="1">
        <v>2.1667833292900299E-2</v>
      </c>
      <c r="H638">
        <v>-1.4650151E-2</v>
      </c>
    </row>
    <row r="639" spans="1:8">
      <c r="A639" s="1">
        <v>638</v>
      </c>
      <c r="B639" s="1" t="s">
        <v>4</v>
      </c>
      <c r="C639" s="1">
        <v>1.4631973085879E-2</v>
      </c>
      <c r="H639">
        <v>-1.7889964000000001E-2</v>
      </c>
    </row>
    <row r="640" spans="1:8">
      <c r="A640" s="1">
        <v>639</v>
      </c>
      <c r="B640" s="1" t="s">
        <v>4</v>
      </c>
      <c r="C640" s="1">
        <v>1.22843525111058E-2</v>
      </c>
      <c r="H640">
        <v>-1.6334227E-2</v>
      </c>
    </row>
    <row r="641" spans="1:8">
      <c r="A641" s="1">
        <v>640</v>
      </c>
      <c r="B641" s="1" t="s">
        <v>4</v>
      </c>
      <c r="C641" s="1">
        <v>1.7374860408466399E-2</v>
      </c>
      <c r="H641">
        <v>-1.0663139E-2</v>
      </c>
    </row>
    <row r="642" spans="1:8">
      <c r="A642" s="1">
        <v>641</v>
      </c>
      <c r="B642" s="1" t="s">
        <v>180</v>
      </c>
      <c r="C642" s="1">
        <v>3.0234333594847802E-2</v>
      </c>
      <c r="H642">
        <v>4.6038079000000003E-2</v>
      </c>
    </row>
    <row r="643" spans="1:8">
      <c r="A643" s="1">
        <v>642</v>
      </c>
      <c r="B643" s="1" t="s">
        <v>4</v>
      </c>
      <c r="C643" s="1">
        <v>1.33723427171617E-3</v>
      </c>
      <c r="H643">
        <v>1.0619863E-2</v>
      </c>
    </row>
    <row r="644" spans="1:8">
      <c r="A644" s="1">
        <v>643</v>
      </c>
      <c r="B644" s="1" t="s">
        <v>4</v>
      </c>
      <c r="C644" s="1">
        <v>-2.15537338719968E-2</v>
      </c>
      <c r="H644">
        <v>-9.4265699999999996E-4</v>
      </c>
    </row>
    <row r="645" spans="1:8">
      <c r="A645" s="1">
        <v>644</v>
      </c>
      <c r="B645" s="1" t="s">
        <v>4</v>
      </c>
      <c r="C645" s="1">
        <v>6.9679429952884597E-3</v>
      </c>
      <c r="H645">
        <v>-1.1219071000000001E-2</v>
      </c>
    </row>
    <row r="646" spans="1:8">
      <c r="A646" s="1">
        <v>645</v>
      </c>
      <c r="B646" s="1" t="s">
        <v>4</v>
      </c>
      <c r="C646" s="1">
        <v>3.86865260505064E-3</v>
      </c>
      <c r="H646">
        <v>-3.153407E-3</v>
      </c>
    </row>
    <row r="647" spans="1:8">
      <c r="A647" s="1">
        <v>646</v>
      </c>
      <c r="B647" s="1" t="s">
        <v>4</v>
      </c>
      <c r="C647" s="1">
        <v>-2.4950983803620298E-2</v>
      </c>
      <c r="H647">
        <v>6.3583090000000004E-3</v>
      </c>
    </row>
    <row r="648" spans="1:8">
      <c r="A648" s="1">
        <v>647</v>
      </c>
      <c r="B648" s="1" t="s">
        <v>4</v>
      </c>
      <c r="C648" s="1">
        <v>2.1320327825968301E-2</v>
      </c>
      <c r="H648">
        <v>3.6052319999999999E-3</v>
      </c>
    </row>
    <row r="649" spans="1:8">
      <c r="A649" s="1">
        <v>648</v>
      </c>
      <c r="B649" s="1" t="s">
        <v>4</v>
      </c>
      <c r="C649" s="1">
        <v>-2.2302435223266099E-2</v>
      </c>
      <c r="H649">
        <v>1.4385870000000001E-3</v>
      </c>
    </row>
    <row r="650" spans="1:8">
      <c r="A650" s="1">
        <v>649</v>
      </c>
      <c r="B650" s="1" t="s">
        <v>4</v>
      </c>
      <c r="C650" s="1">
        <v>-6.2238282657887103E-3</v>
      </c>
      <c r="H650">
        <v>2.5506401000000001E-2</v>
      </c>
    </row>
    <row r="651" spans="1:8">
      <c r="A651" s="1">
        <v>650</v>
      </c>
      <c r="B651" s="1" t="s">
        <v>4</v>
      </c>
      <c r="C651" s="1">
        <v>-1.12042595605856E-2</v>
      </c>
      <c r="H651">
        <v>-1.1685188000000001E-2</v>
      </c>
    </row>
    <row r="652" spans="1:8">
      <c r="A652" s="1">
        <v>651</v>
      </c>
      <c r="B652" s="1" t="s">
        <v>4</v>
      </c>
      <c r="C652" s="1">
        <v>1.4014247957170701E-2</v>
      </c>
      <c r="H652">
        <v>9.7922519999999996E-3</v>
      </c>
    </row>
    <row r="653" spans="1:8">
      <c r="A653" s="1">
        <v>652</v>
      </c>
      <c r="B653" s="1" t="s">
        <v>4</v>
      </c>
      <c r="C653" s="1">
        <v>4.1779434561703896E-3</v>
      </c>
      <c r="H653">
        <v>1.8931831999999999E-2</v>
      </c>
    </row>
    <row r="654" spans="1:8">
      <c r="A654" s="1">
        <v>653</v>
      </c>
      <c r="B654" s="1" t="s">
        <v>4</v>
      </c>
      <c r="C654" s="1">
        <v>-2.4546662289111499E-2</v>
      </c>
      <c r="H654">
        <v>3.0975899999999999E-3</v>
      </c>
    </row>
    <row r="655" spans="1:8">
      <c r="A655" s="1">
        <v>654</v>
      </c>
      <c r="B655" s="1" t="s">
        <v>4</v>
      </c>
      <c r="C655" s="1">
        <v>-8.1915627083404205E-3</v>
      </c>
      <c r="H655">
        <v>3.054082E-2</v>
      </c>
    </row>
    <row r="656" spans="1:8">
      <c r="A656" s="1">
        <v>655</v>
      </c>
      <c r="B656" s="1" t="s">
        <v>4</v>
      </c>
      <c r="C656" s="1">
        <v>2.81421504716412E-2</v>
      </c>
      <c r="H656">
        <v>3.7470060000000002E-3</v>
      </c>
    </row>
    <row r="657" spans="1:8">
      <c r="A657" s="1">
        <v>656</v>
      </c>
      <c r="B657" s="1" t="s">
        <v>4</v>
      </c>
      <c r="C657" s="1">
        <v>-3.5008921617020398E-2</v>
      </c>
      <c r="H657">
        <v>-9.8951549999999992E-3</v>
      </c>
    </row>
    <row r="658" spans="1:8">
      <c r="A658" s="1">
        <v>657</v>
      </c>
      <c r="B658" s="1" t="s">
        <v>4</v>
      </c>
      <c r="C658" s="1">
        <v>1.2838532327791001E-2</v>
      </c>
      <c r="H658">
        <v>2.4184559000000001E-2</v>
      </c>
    </row>
    <row r="659" spans="1:8">
      <c r="A659" s="1">
        <v>658</v>
      </c>
      <c r="B659" s="1" t="s">
        <v>180</v>
      </c>
      <c r="C659" s="2">
        <v>-4.8001181644607901E-5</v>
      </c>
      <c r="H659">
        <v>8.9422119999999997E-3</v>
      </c>
    </row>
    <row r="660" spans="1:8">
      <c r="A660" s="1">
        <v>659</v>
      </c>
      <c r="B660" s="1" t="s">
        <v>4</v>
      </c>
      <c r="C660" s="1">
        <v>-2.0472814664415698E-2</v>
      </c>
      <c r="H660">
        <v>-1.2066347E-2</v>
      </c>
    </row>
    <row r="661" spans="1:8">
      <c r="A661" s="1">
        <v>660</v>
      </c>
      <c r="B661" s="1" t="s">
        <v>4</v>
      </c>
      <c r="C661" s="1">
        <v>7.5842848919727103E-3</v>
      </c>
      <c r="H661">
        <v>1.6203840000000001E-2</v>
      </c>
    </row>
    <row r="662" spans="1:8">
      <c r="A662" s="1">
        <v>661</v>
      </c>
      <c r="B662" s="1" t="s">
        <v>4</v>
      </c>
      <c r="C662" s="1">
        <v>2.04560595536236E-2</v>
      </c>
      <c r="H662">
        <v>-1.7858925000000001E-2</v>
      </c>
    </row>
    <row r="663" spans="1:8">
      <c r="A663" s="1">
        <v>662</v>
      </c>
      <c r="B663" s="1" t="s">
        <v>180</v>
      </c>
      <c r="C663" s="1">
        <v>2.0996769966771401E-2</v>
      </c>
      <c r="H663">
        <v>2.6390516999999999E-2</v>
      </c>
    </row>
    <row r="664" spans="1:8">
      <c r="A664" s="1">
        <v>663</v>
      </c>
      <c r="B664" s="1" t="s">
        <v>4</v>
      </c>
      <c r="C664" s="1">
        <v>1.4836026130726701E-2</v>
      </c>
      <c r="H664">
        <v>-2.2289499999999999E-3</v>
      </c>
    </row>
    <row r="665" spans="1:8">
      <c r="A665" s="1">
        <v>664</v>
      </c>
      <c r="B665" s="1" t="s">
        <v>180</v>
      </c>
      <c r="C665" s="1">
        <v>2.4038227650038302E-3</v>
      </c>
      <c r="H665">
        <v>3.0463417E-2</v>
      </c>
    </row>
    <row r="666" spans="1:8">
      <c r="A666" s="1">
        <v>665</v>
      </c>
      <c r="B666" s="1" t="s">
        <v>4</v>
      </c>
      <c r="C666" s="1">
        <v>-3.9526169187993697E-2</v>
      </c>
      <c r="H666">
        <v>-1.0233612E-2</v>
      </c>
    </row>
    <row r="667" spans="1:8">
      <c r="A667" s="1">
        <v>666</v>
      </c>
      <c r="B667" s="1" t="s">
        <v>4</v>
      </c>
      <c r="C667" s="1">
        <v>-2.5839041582109701E-3</v>
      </c>
      <c r="H667">
        <v>1.0214608E-2</v>
      </c>
    </row>
    <row r="668" spans="1:8">
      <c r="A668" s="1">
        <v>667</v>
      </c>
      <c r="B668" s="1" t="s">
        <v>4</v>
      </c>
      <c r="C668" s="1">
        <v>4.0274822456254303E-3</v>
      </c>
      <c r="H668">
        <v>4.3704012E-2</v>
      </c>
    </row>
    <row r="669" spans="1:8">
      <c r="A669" s="1">
        <v>668</v>
      </c>
      <c r="B669" s="1" t="s">
        <v>180</v>
      </c>
      <c r="C669" s="1">
        <v>-3.6870177946077803E-2</v>
      </c>
      <c r="H669">
        <v>-8.5918869999999994E-3</v>
      </c>
    </row>
    <row r="670" spans="1:8">
      <c r="A670" s="1">
        <v>669</v>
      </c>
      <c r="B670" s="1" t="s">
        <v>4</v>
      </c>
      <c r="C670" s="1">
        <v>5.71077554111809E-3</v>
      </c>
      <c r="H670">
        <v>3.9991812000000002E-2</v>
      </c>
    </row>
    <row r="671" spans="1:8">
      <c r="A671" s="1">
        <v>670</v>
      </c>
      <c r="B671" s="1" t="s">
        <v>4</v>
      </c>
      <c r="C671" s="1">
        <v>-6.8317146190737203E-3</v>
      </c>
      <c r="H671">
        <v>1.1591254E-2</v>
      </c>
    </row>
    <row r="672" spans="1:8">
      <c r="A672" s="1">
        <v>671</v>
      </c>
      <c r="B672" s="1" t="s">
        <v>4</v>
      </c>
      <c r="C672" s="1">
        <v>2.5375829436212499E-2</v>
      </c>
      <c r="H672">
        <v>8.3140709999999993E-3</v>
      </c>
    </row>
    <row r="673" spans="1:8">
      <c r="A673" s="1">
        <v>672</v>
      </c>
      <c r="B673" s="1" t="s">
        <v>180</v>
      </c>
      <c r="C673" s="1">
        <v>-3.09390079083584E-2</v>
      </c>
      <c r="H673">
        <v>1.6506257999999999E-2</v>
      </c>
    </row>
    <row r="674" spans="1:8">
      <c r="A674" s="1">
        <v>673</v>
      </c>
      <c r="B674" s="1" t="s">
        <v>4</v>
      </c>
      <c r="C674" s="1">
        <v>3.9974427300449998E-2</v>
      </c>
      <c r="H674">
        <v>2.0855829999999998E-3</v>
      </c>
    </row>
    <row r="675" spans="1:8">
      <c r="A675" s="1">
        <v>674</v>
      </c>
      <c r="B675" s="1" t="s">
        <v>180</v>
      </c>
      <c r="C675" s="1">
        <v>8.6114559691949904E-3</v>
      </c>
      <c r="H675">
        <v>-2.6163459999999999E-2</v>
      </c>
    </row>
    <row r="676" spans="1:8">
      <c r="A676" s="1">
        <v>675</v>
      </c>
      <c r="B676" s="1" t="s">
        <v>180</v>
      </c>
      <c r="C676" s="1">
        <v>-4.2178762000091297E-3</v>
      </c>
      <c r="H676">
        <v>1.2521286E-2</v>
      </c>
    </row>
    <row r="677" spans="1:8">
      <c r="A677" s="1">
        <v>676</v>
      </c>
      <c r="B677" s="1" t="s">
        <v>4</v>
      </c>
      <c r="C677" s="1">
        <v>-1.3307966155640101E-2</v>
      </c>
      <c r="H677">
        <v>8.4533400000000002E-3</v>
      </c>
    </row>
    <row r="678" spans="1:8">
      <c r="A678" s="1">
        <v>677</v>
      </c>
      <c r="B678" s="1" t="s">
        <v>4</v>
      </c>
      <c r="C678" s="1">
        <v>-2.0739975575088099E-2</v>
      </c>
      <c r="H678">
        <v>-4.1252994000000001E-2</v>
      </c>
    </row>
    <row r="679" spans="1:8">
      <c r="A679" s="1">
        <v>678</v>
      </c>
      <c r="B679" s="1" t="s">
        <v>180</v>
      </c>
      <c r="C679" s="1">
        <v>-4.9032523474181701E-3</v>
      </c>
      <c r="H679">
        <v>1.9147175999999998E-2</v>
      </c>
    </row>
    <row r="680" spans="1:8">
      <c r="A680" s="1">
        <v>679</v>
      </c>
      <c r="B680" s="1" t="s">
        <v>4</v>
      </c>
      <c r="C680" s="1">
        <v>1.48888752320344E-2</v>
      </c>
      <c r="H680">
        <v>3.1464890000000002E-2</v>
      </c>
    </row>
    <row r="681" spans="1:8">
      <c r="A681" s="1">
        <v>680</v>
      </c>
      <c r="B681" s="1" t="s">
        <v>4</v>
      </c>
      <c r="C681" s="1">
        <v>3.3067248231937102E-2</v>
      </c>
      <c r="H681">
        <v>3.1522816000000002E-2</v>
      </c>
    </row>
    <row r="682" spans="1:8">
      <c r="A682" s="1">
        <v>681</v>
      </c>
      <c r="B682" s="1" t="s">
        <v>4</v>
      </c>
      <c r="C682" s="1">
        <v>3.62243677395497E-2</v>
      </c>
      <c r="H682">
        <v>7.2795890000000004E-3</v>
      </c>
    </row>
    <row r="683" spans="1:8">
      <c r="A683" s="1">
        <v>682</v>
      </c>
      <c r="B683" s="1" t="s">
        <v>4</v>
      </c>
      <c r="C683" s="1">
        <v>1.36545369767304E-2</v>
      </c>
      <c r="H683">
        <v>-3.0528814000000001E-2</v>
      </c>
    </row>
    <row r="684" spans="1:8">
      <c r="A684" s="1">
        <v>683</v>
      </c>
      <c r="B684" s="1" t="s">
        <v>4</v>
      </c>
      <c r="C684" s="1">
        <v>-3.6297894663270798E-3</v>
      </c>
      <c r="H684">
        <v>-4.8280229999999999E-3</v>
      </c>
    </row>
    <row r="685" spans="1:8">
      <c r="A685" s="1">
        <v>684</v>
      </c>
      <c r="B685" s="1" t="s">
        <v>180</v>
      </c>
      <c r="C685" s="1">
        <v>-6.8723493607869496E-3</v>
      </c>
      <c r="H685">
        <v>-2.2117571999999999E-2</v>
      </c>
    </row>
    <row r="686" spans="1:8">
      <c r="A686" s="1">
        <v>685</v>
      </c>
      <c r="B686" s="1" t="s">
        <v>4</v>
      </c>
      <c r="C686" s="1">
        <v>1.11904820064943E-2</v>
      </c>
      <c r="H686">
        <v>-1.6083045000000001E-2</v>
      </c>
    </row>
    <row r="687" spans="1:8">
      <c r="A687" s="1">
        <v>686</v>
      </c>
      <c r="B687" s="1" t="s">
        <v>180</v>
      </c>
      <c r="C687" s="1">
        <v>5.9905899698822603E-2</v>
      </c>
      <c r="H687">
        <v>-1.5369083E-2</v>
      </c>
    </row>
    <row r="688" spans="1:8">
      <c r="A688" s="1">
        <v>687</v>
      </c>
      <c r="B688" s="1" t="s">
        <v>4</v>
      </c>
      <c r="C688" s="1">
        <v>1.44927147164253E-2</v>
      </c>
      <c r="H688">
        <v>1.0285196999999999E-2</v>
      </c>
    </row>
    <row r="689" spans="1:8">
      <c r="A689" s="1">
        <v>688</v>
      </c>
      <c r="B689" s="1" t="s">
        <v>180</v>
      </c>
      <c r="C689" s="1">
        <v>1.0912345544213E-2</v>
      </c>
      <c r="H689">
        <v>-1.7924487999999999E-2</v>
      </c>
    </row>
    <row r="690" spans="1:8">
      <c r="A690" s="1">
        <v>689</v>
      </c>
      <c r="B690" s="1" t="s">
        <v>4</v>
      </c>
      <c r="C690" s="1">
        <v>4.1844970352247601E-2</v>
      </c>
      <c r="H690">
        <v>-3.5997754E-2</v>
      </c>
    </row>
    <row r="691" spans="1:8">
      <c r="A691" s="1">
        <v>690</v>
      </c>
      <c r="B691" s="1" t="s">
        <v>4</v>
      </c>
      <c r="C691" s="1">
        <v>1.9520075184651299E-2</v>
      </c>
      <c r="H691">
        <v>1.1387289E-2</v>
      </c>
    </row>
    <row r="692" spans="1:8">
      <c r="A692" s="1">
        <v>691</v>
      </c>
      <c r="B692" s="1" t="s">
        <v>4</v>
      </c>
      <c r="C692" s="1">
        <v>7.4623449250310597E-3</v>
      </c>
      <c r="H692">
        <v>1.9876226E-2</v>
      </c>
    </row>
    <row r="693" spans="1:8">
      <c r="A693" s="1">
        <v>692</v>
      </c>
      <c r="B693" s="1" t="s">
        <v>180</v>
      </c>
      <c r="C693" s="1">
        <v>-2.70256109249815E-2</v>
      </c>
      <c r="H693">
        <v>-9.2168930000000003E-3</v>
      </c>
    </row>
    <row r="694" spans="1:8">
      <c r="A694" s="1">
        <v>693</v>
      </c>
      <c r="B694" s="1" t="s">
        <v>180</v>
      </c>
      <c r="C694" s="1">
        <v>1.1940515333321801E-3</v>
      </c>
      <c r="H694">
        <v>2.5195565E-2</v>
      </c>
    </row>
    <row r="695" spans="1:8">
      <c r="A695" s="1">
        <v>694</v>
      </c>
      <c r="B695" s="1" t="s">
        <v>4</v>
      </c>
      <c r="C695" s="2">
        <v>7.2941474911658493E-5</v>
      </c>
      <c r="H695">
        <v>-2.8398898999999998E-2</v>
      </c>
    </row>
    <row r="696" spans="1:8">
      <c r="A696" s="1">
        <v>695</v>
      </c>
      <c r="B696" s="1" t="s">
        <v>180</v>
      </c>
      <c r="C696" s="1">
        <v>3.6707347535763497E-2</v>
      </c>
      <c r="H696">
        <v>3.9397236000000002E-2</v>
      </c>
    </row>
    <row r="697" spans="1:8">
      <c r="A697" s="1">
        <v>696</v>
      </c>
      <c r="B697" s="1" t="s">
        <v>4</v>
      </c>
      <c r="C697" s="1">
        <v>3.0318677430130898E-2</v>
      </c>
      <c r="H697">
        <v>-1.6127434999999999E-2</v>
      </c>
    </row>
    <row r="698" spans="1:8">
      <c r="A698" s="1">
        <v>697</v>
      </c>
      <c r="B698" s="1" t="s">
        <v>4</v>
      </c>
      <c r="C698" s="1">
        <v>7.5423452006901899E-3</v>
      </c>
      <c r="H698">
        <v>1.5372254E-2</v>
      </c>
    </row>
    <row r="699" spans="1:8">
      <c r="A699" s="1">
        <v>698</v>
      </c>
      <c r="B699" s="1" t="s">
        <v>4</v>
      </c>
      <c r="C699" s="1">
        <v>1.9260437213226501E-2</v>
      </c>
      <c r="H699">
        <v>8.1715580000000006E-3</v>
      </c>
    </row>
    <row r="700" spans="1:8">
      <c r="A700" s="1">
        <v>699</v>
      </c>
      <c r="B700" s="1" t="s">
        <v>4</v>
      </c>
      <c r="C700" s="1">
        <v>-1.21099410423397E-2</v>
      </c>
      <c r="H700">
        <v>1.501242E-2</v>
      </c>
    </row>
    <row r="701" spans="1:8">
      <c r="A701" s="1">
        <v>700</v>
      </c>
      <c r="B701" s="1" t="s">
        <v>180</v>
      </c>
      <c r="C701" s="1">
        <v>1.1230498077694001E-2</v>
      </c>
      <c r="H701">
        <v>1.2220424000000001E-2</v>
      </c>
    </row>
    <row r="702" spans="1:8">
      <c r="A702" s="1">
        <v>701</v>
      </c>
      <c r="B702" s="1" t="s">
        <v>4</v>
      </c>
      <c r="C702" s="1">
        <v>1.55766007446906E-2</v>
      </c>
      <c r="H702">
        <v>-2.3898065999999999E-2</v>
      </c>
    </row>
    <row r="703" spans="1:8">
      <c r="A703" s="1">
        <v>702</v>
      </c>
      <c r="B703" s="1" t="s">
        <v>180</v>
      </c>
      <c r="C703" s="1">
        <v>1.04085035997911E-2</v>
      </c>
      <c r="H703">
        <v>1.1445455E-2</v>
      </c>
    </row>
    <row r="704" spans="1:8">
      <c r="A704" s="1">
        <v>703</v>
      </c>
      <c r="B704" s="1" t="s">
        <v>4</v>
      </c>
      <c r="C704" s="1">
        <v>8.7424834842408895E-4</v>
      </c>
      <c r="H704">
        <v>1.4202598E-2</v>
      </c>
    </row>
    <row r="705" spans="1:8">
      <c r="A705" s="1">
        <v>704</v>
      </c>
      <c r="B705" s="1" t="s">
        <v>180</v>
      </c>
      <c r="C705" s="1">
        <v>-6.5952908938022798E-3</v>
      </c>
      <c r="H705">
        <v>1.7672032000000001E-2</v>
      </c>
    </row>
    <row r="706" spans="1:8">
      <c r="A706" s="1">
        <v>705</v>
      </c>
      <c r="B706" s="1" t="s">
        <v>4</v>
      </c>
      <c r="C706" s="1">
        <v>2.01440167201383E-2</v>
      </c>
      <c r="H706">
        <v>-1.0592832E-2</v>
      </c>
    </row>
    <row r="707" spans="1:8">
      <c r="A707" s="1">
        <v>706</v>
      </c>
      <c r="B707" s="1" t="s">
        <v>4</v>
      </c>
      <c r="C707" s="1">
        <v>-2.79695108872157E-2</v>
      </c>
      <c r="H707">
        <v>-1.5933657E-2</v>
      </c>
    </row>
    <row r="708" spans="1:8">
      <c r="A708" s="1">
        <v>707</v>
      </c>
      <c r="B708" s="1" t="s">
        <v>4</v>
      </c>
      <c r="C708" s="1">
        <v>1.7615877836142602E-2</v>
      </c>
      <c r="H708">
        <v>7.7308760000000002E-3</v>
      </c>
    </row>
    <row r="709" spans="1:8">
      <c r="A709" s="1">
        <v>708</v>
      </c>
      <c r="B709" s="1" t="s">
        <v>4</v>
      </c>
      <c r="C709" s="1">
        <v>2.36245971749156E-2</v>
      </c>
      <c r="H709">
        <v>4.6305222E-2</v>
      </c>
    </row>
    <row r="710" spans="1:8">
      <c r="A710" s="1">
        <v>709</v>
      </c>
      <c r="B710" s="1" t="s">
        <v>4</v>
      </c>
      <c r="C710" s="1">
        <v>1.3085231233731001E-2</v>
      </c>
      <c r="H710">
        <v>2.1100811000000001E-2</v>
      </c>
    </row>
    <row r="711" spans="1:8">
      <c r="A711" s="1">
        <v>710</v>
      </c>
      <c r="B711" s="1" t="s">
        <v>4</v>
      </c>
      <c r="C711" s="1">
        <v>-1.76064375709046E-2</v>
      </c>
      <c r="H711">
        <v>-1.7840399999999999E-2</v>
      </c>
    </row>
    <row r="712" spans="1:8">
      <c r="A712" s="1">
        <v>711</v>
      </c>
      <c r="B712" s="1" t="s">
        <v>4</v>
      </c>
      <c r="C712" s="1">
        <v>-1.79247262431694E-2</v>
      </c>
      <c r="H712">
        <v>1.4315717E-2</v>
      </c>
    </row>
    <row r="713" spans="1:8">
      <c r="A713" s="1">
        <v>712</v>
      </c>
      <c r="B713" s="1" t="s">
        <v>4</v>
      </c>
      <c r="C713" s="1">
        <v>1.8501179967785199E-2</v>
      </c>
      <c r="H713">
        <v>2.0933588999999999E-2</v>
      </c>
    </row>
    <row r="714" spans="1:8">
      <c r="A714" s="1">
        <v>713</v>
      </c>
      <c r="B714" s="1" t="s">
        <v>180</v>
      </c>
      <c r="C714" s="1">
        <v>-1.9828284911795799E-3</v>
      </c>
      <c r="H714">
        <v>-1.2919648000000001E-2</v>
      </c>
    </row>
    <row r="715" spans="1:8">
      <c r="A715" s="1">
        <v>714</v>
      </c>
      <c r="B715" s="1" t="s">
        <v>180</v>
      </c>
      <c r="C715" s="1">
        <v>-2.3828724975771798E-3</v>
      </c>
      <c r="H715">
        <v>2.2222148000000001E-2</v>
      </c>
    </row>
    <row r="716" spans="1:8">
      <c r="A716" s="1">
        <v>715</v>
      </c>
      <c r="B716" s="1" t="s">
        <v>4</v>
      </c>
      <c r="C716" s="1">
        <v>3.7485941976242998E-2</v>
      </c>
      <c r="H716">
        <v>4.3807682000000001E-2</v>
      </c>
    </row>
    <row r="717" spans="1:8">
      <c r="A717" s="1">
        <v>716</v>
      </c>
      <c r="B717" s="1" t="s">
        <v>4</v>
      </c>
      <c r="C717" s="1">
        <v>3.0427218451121601E-2</v>
      </c>
      <c r="H717">
        <v>-1.1919175000000001E-2</v>
      </c>
    </row>
    <row r="718" spans="1:8">
      <c r="A718" s="1">
        <v>717</v>
      </c>
      <c r="B718" s="1" t="s">
        <v>180</v>
      </c>
      <c r="C718" s="1">
        <v>-2.35771853161281E-2</v>
      </c>
      <c r="H718">
        <v>-9.6443899999999992E-3</v>
      </c>
    </row>
    <row r="719" spans="1:8">
      <c r="A719" s="1">
        <v>718</v>
      </c>
      <c r="B719" s="1" t="s">
        <v>180</v>
      </c>
      <c r="C719" s="1">
        <v>2.3039631754073701E-2</v>
      </c>
      <c r="H719">
        <v>2.2865278999999999E-2</v>
      </c>
    </row>
    <row r="720" spans="1:8">
      <c r="A720" s="1">
        <v>719</v>
      </c>
      <c r="B720" s="1" t="s">
        <v>180</v>
      </c>
      <c r="C720" s="1">
        <v>4.04273254406462E-2</v>
      </c>
      <c r="H720">
        <v>-3.6271599999999999E-3</v>
      </c>
    </row>
    <row r="721" spans="1:8">
      <c r="A721" s="1">
        <v>720</v>
      </c>
      <c r="B721" s="1" t="s">
        <v>4</v>
      </c>
      <c r="C721" s="1">
        <v>-2.4901245284354402E-3</v>
      </c>
      <c r="H721">
        <v>9.0312759999999995E-3</v>
      </c>
    </row>
    <row r="722" spans="1:8">
      <c r="A722" s="1">
        <v>721</v>
      </c>
      <c r="B722" s="1" t="s">
        <v>4</v>
      </c>
      <c r="C722" s="1">
        <v>4.9783422277489102E-2</v>
      </c>
    </row>
    <row r="723" spans="1:8">
      <c r="A723" s="1">
        <v>722</v>
      </c>
      <c r="B723" s="1" t="s">
        <v>4</v>
      </c>
      <c r="C723" s="1">
        <v>2.3769677290076102E-2</v>
      </c>
    </row>
    <row r="724" spans="1:8">
      <c r="A724" s="1">
        <v>723</v>
      </c>
      <c r="B724" s="1" t="s">
        <v>4</v>
      </c>
      <c r="C724" s="1">
        <v>-2.8115888469670801E-3</v>
      </c>
    </row>
    <row r="725" spans="1:8">
      <c r="A725" s="1">
        <v>724</v>
      </c>
      <c r="B725" s="1" t="s">
        <v>180</v>
      </c>
      <c r="C725" s="1">
        <v>-2.3242046483417701E-2</v>
      </c>
    </row>
    <row r="726" spans="1:8">
      <c r="A726" s="1">
        <v>725</v>
      </c>
      <c r="B726" s="1" t="s">
        <v>180</v>
      </c>
      <c r="C726" s="1">
        <v>1.53921288100598E-2</v>
      </c>
    </row>
    <row r="727" spans="1:8">
      <c r="A727" s="1">
        <v>726</v>
      </c>
      <c r="B727" s="1" t="s">
        <v>4</v>
      </c>
      <c r="C727" s="1">
        <v>4.06308079916613E-2</v>
      </c>
    </row>
    <row r="728" spans="1:8">
      <c r="A728" s="1">
        <v>727</v>
      </c>
      <c r="B728" s="1" t="s">
        <v>4</v>
      </c>
      <c r="C728" s="1">
        <v>-1.05698751145233E-3</v>
      </c>
    </row>
    <row r="729" spans="1:8">
      <c r="A729" s="1">
        <v>728</v>
      </c>
      <c r="B729" s="1" t="s">
        <v>4</v>
      </c>
      <c r="C729" s="1">
        <v>-1.46501511254815E-2</v>
      </c>
    </row>
    <row r="730" spans="1:8">
      <c r="A730" s="1">
        <v>729</v>
      </c>
      <c r="B730" s="1" t="s">
        <v>4</v>
      </c>
      <c r="C730" s="1">
        <v>-1.7889963870391701E-2</v>
      </c>
    </row>
    <row r="731" spans="1:8">
      <c r="A731" s="1">
        <v>730</v>
      </c>
      <c r="B731" s="1" t="s">
        <v>4</v>
      </c>
      <c r="C731" s="1">
        <v>-1.63342265792145E-2</v>
      </c>
    </row>
    <row r="732" spans="1:8">
      <c r="A732" s="1">
        <v>731</v>
      </c>
      <c r="B732" s="1" t="s">
        <v>4</v>
      </c>
      <c r="C732" s="1">
        <v>-1.0663138576887801E-2</v>
      </c>
    </row>
    <row r="733" spans="1:8">
      <c r="A733" s="1">
        <v>732</v>
      </c>
      <c r="B733" s="1" t="s">
        <v>4</v>
      </c>
      <c r="C733" s="1">
        <v>4.6038079254841997E-2</v>
      </c>
    </row>
    <row r="734" spans="1:8">
      <c r="A734" s="1">
        <v>733</v>
      </c>
      <c r="B734" s="1" t="s">
        <v>180</v>
      </c>
      <c r="C734" s="1">
        <v>-1.8446261676359599E-2</v>
      </c>
    </row>
    <row r="735" spans="1:8">
      <c r="A735" s="1">
        <v>734</v>
      </c>
      <c r="B735" s="1" t="s">
        <v>4</v>
      </c>
      <c r="C735" s="1">
        <v>1.0619863094643E-2</v>
      </c>
    </row>
    <row r="736" spans="1:8">
      <c r="A736" s="1">
        <v>735</v>
      </c>
      <c r="B736" s="1" t="s">
        <v>4</v>
      </c>
      <c r="C736" s="1">
        <v>-9.42656855599466E-4</v>
      </c>
    </row>
    <row r="737" spans="1:3">
      <c r="A737" s="1">
        <v>736</v>
      </c>
      <c r="B737" s="1" t="s">
        <v>4</v>
      </c>
      <c r="C737" s="1">
        <v>-1.12190710712312E-2</v>
      </c>
    </row>
    <row r="738" spans="1:3">
      <c r="A738" s="1">
        <v>737</v>
      </c>
      <c r="B738" s="1" t="s">
        <v>4</v>
      </c>
      <c r="C738" s="1">
        <v>-3.1534070309264801E-3</v>
      </c>
    </row>
    <row r="739" spans="1:3">
      <c r="A739" s="1">
        <v>738</v>
      </c>
      <c r="B739" s="1" t="s">
        <v>180</v>
      </c>
      <c r="C739" s="1">
        <v>1.22353587544239E-2</v>
      </c>
    </row>
    <row r="740" spans="1:3">
      <c r="A740" s="1">
        <v>739</v>
      </c>
      <c r="B740" s="1" t="s">
        <v>4</v>
      </c>
      <c r="C740" s="1">
        <v>6.35830874633258E-3</v>
      </c>
    </row>
    <row r="741" spans="1:3">
      <c r="A741" s="1">
        <v>740</v>
      </c>
      <c r="B741" s="1" t="s">
        <v>4</v>
      </c>
      <c r="C741" s="1">
        <v>3.6052319936459298E-3</v>
      </c>
    </row>
    <row r="742" spans="1:3">
      <c r="A742" s="1">
        <v>741</v>
      </c>
      <c r="B742" s="1" t="s">
        <v>4</v>
      </c>
      <c r="C742" s="1">
        <v>1.4385873765547701E-3</v>
      </c>
    </row>
    <row r="743" spans="1:3">
      <c r="A743" s="1">
        <v>742</v>
      </c>
      <c r="B743" s="1" t="s">
        <v>180</v>
      </c>
      <c r="C743" s="1">
        <v>2.8846117018353799E-2</v>
      </c>
    </row>
    <row r="744" spans="1:3">
      <c r="A744" s="1">
        <v>743</v>
      </c>
      <c r="B744" s="1" t="s">
        <v>4</v>
      </c>
      <c r="C744" s="1">
        <v>2.5506400882534301E-2</v>
      </c>
    </row>
    <row r="745" spans="1:3">
      <c r="A745" s="1">
        <v>744</v>
      </c>
      <c r="B745" s="1" t="s">
        <v>4</v>
      </c>
      <c r="C745" s="1">
        <v>-1.1685188459523399E-2</v>
      </c>
    </row>
    <row r="746" spans="1:3">
      <c r="A746" s="1">
        <v>745</v>
      </c>
      <c r="B746" s="1" t="s">
        <v>4</v>
      </c>
      <c r="C746" s="1">
        <v>9.7922522935789402E-3</v>
      </c>
    </row>
    <row r="747" spans="1:3">
      <c r="A747" s="1">
        <v>746</v>
      </c>
      <c r="B747" s="1" t="s">
        <v>180</v>
      </c>
      <c r="C747" s="1">
        <v>-4.7352700394554803E-2</v>
      </c>
    </row>
    <row r="748" spans="1:3">
      <c r="A748" s="1">
        <v>747</v>
      </c>
      <c r="B748" s="1" t="s">
        <v>4</v>
      </c>
      <c r="C748" s="1">
        <v>1.8931832357488E-2</v>
      </c>
    </row>
    <row r="749" spans="1:3">
      <c r="A749" s="1">
        <v>748</v>
      </c>
      <c r="B749" s="1" t="s">
        <v>4</v>
      </c>
      <c r="C749" s="1">
        <v>3.0975895639748698E-3</v>
      </c>
    </row>
    <row r="750" spans="1:3">
      <c r="A750" s="1">
        <v>749</v>
      </c>
      <c r="B750" s="1" t="s">
        <v>4</v>
      </c>
      <c r="C750" s="1">
        <v>3.05408203810166E-2</v>
      </c>
    </row>
    <row r="751" spans="1:3">
      <c r="A751" s="1">
        <v>750</v>
      </c>
      <c r="B751" s="1" t="s">
        <v>4</v>
      </c>
      <c r="C751" s="1">
        <v>3.7470062402498098E-3</v>
      </c>
    </row>
    <row r="752" spans="1:3">
      <c r="A752" s="1">
        <v>751</v>
      </c>
      <c r="B752" s="1" t="s">
        <v>4</v>
      </c>
      <c r="C752" s="1">
        <v>-9.8951548132184507E-3</v>
      </c>
    </row>
    <row r="753" spans="1:3">
      <c r="A753" s="1">
        <v>752</v>
      </c>
      <c r="B753" s="1" t="s">
        <v>4</v>
      </c>
      <c r="C753" s="1">
        <v>2.4184558611537399E-2</v>
      </c>
    </row>
    <row r="754" spans="1:3">
      <c r="A754" s="1">
        <v>753</v>
      </c>
      <c r="B754" s="1" t="s">
        <v>4</v>
      </c>
      <c r="C754" s="1">
        <v>8.9422124013793704E-3</v>
      </c>
    </row>
    <row r="755" spans="1:3">
      <c r="A755" s="1">
        <v>754</v>
      </c>
      <c r="B755" s="1" t="s">
        <v>4</v>
      </c>
      <c r="C755" s="1">
        <v>-1.2066347169323401E-2</v>
      </c>
    </row>
    <row r="756" spans="1:3">
      <c r="A756" s="1">
        <v>755</v>
      </c>
      <c r="B756" s="1" t="s">
        <v>4</v>
      </c>
      <c r="C756" s="1">
        <v>1.62038399408857E-2</v>
      </c>
    </row>
    <row r="757" spans="1:3">
      <c r="A757" s="1">
        <v>756</v>
      </c>
      <c r="B757" s="1" t="s">
        <v>4</v>
      </c>
      <c r="C757" s="1">
        <v>-1.7858924798023399E-2</v>
      </c>
    </row>
    <row r="758" spans="1:3">
      <c r="A758" s="1">
        <v>757</v>
      </c>
      <c r="B758" s="1" t="s">
        <v>4</v>
      </c>
      <c r="C758" s="1">
        <v>2.6390517219326101E-2</v>
      </c>
    </row>
    <row r="759" spans="1:3">
      <c r="A759" s="1">
        <v>758</v>
      </c>
      <c r="B759" s="1" t="s">
        <v>4</v>
      </c>
      <c r="C759" s="1">
        <v>-2.2289501118848399E-3</v>
      </c>
    </row>
    <row r="760" spans="1:3">
      <c r="A760" s="1">
        <v>759</v>
      </c>
      <c r="B760" s="1" t="s">
        <v>4</v>
      </c>
      <c r="C760" s="1">
        <v>3.04634171813233E-2</v>
      </c>
    </row>
    <row r="761" spans="1:3">
      <c r="A761" s="1">
        <v>760</v>
      </c>
      <c r="B761" s="1" t="s">
        <v>4</v>
      </c>
      <c r="C761" s="1">
        <v>-1.02336117881378E-2</v>
      </c>
    </row>
    <row r="762" spans="1:3">
      <c r="A762" s="1">
        <v>761</v>
      </c>
      <c r="B762" s="1" t="s">
        <v>4</v>
      </c>
      <c r="C762" s="1">
        <v>1.0214607544597199E-2</v>
      </c>
    </row>
    <row r="763" spans="1:3">
      <c r="A763" s="1">
        <v>762</v>
      </c>
      <c r="B763" s="1" t="s">
        <v>180</v>
      </c>
      <c r="C763" s="1">
        <v>-2.6537495767229302E-3</v>
      </c>
    </row>
    <row r="764" spans="1:3">
      <c r="A764" s="1">
        <v>763</v>
      </c>
      <c r="B764" s="1" t="s">
        <v>4</v>
      </c>
      <c r="C764" s="1">
        <v>4.3704012049630502E-2</v>
      </c>
    </row>
    <row r="765" spans="1:3">
      <c r="A765" s="1">
        <v>764</v>
      </c>
      <c r="B765" s="1" t="s">
        <v>180</v>
      </c>
      <c r="C765" s="1">
        <v>-2.4908863351118499E-2</v>
      </c>
    </row>
    <row r="766" spans="1:3">
      <c r="A766" s="1">
        <v>765</v>
      </c>
      <c r="B766" s="1" t="s">
        <v>4</v>
      </c>
      <c r="C766" s="1">
        <v>-8.5918868684720096E-3</v>
      </c>
    </row>
    <row r="767" spans="1:3">
      <c r="A767" s="1">
        <v>766</v>
      </c>
      <c r="B767" s="1" t="s">
        <v>180</v>
      </c>
      <c r="C767" s="1">
        <v>-1.1888117066334301E-3</v>
      </c>
    </row>
    <row r="768" spans="1:3">
      <c r="A768" s="1">
        <v>767</v>
      </c>
      <c r="B768" s="1" t="s">
        <v>4</v>
      </c>
      <c r="C768" s="1">
        <v>3.99918119382007E-2</v>
      </c>
    </row>
    <row r="769" spans="1:3">
      <c r="A769" s="1">
        <v>768</v>
      </c>
      <c r="B769" s="1" t="s">
        <v>180</v>
      </c>
      <c r="C769" s="1">
        <v>-2.5521399520275798E-2</v>
      </c>
    </row>
    <row r="770" spans="1:3">
      <c r="A770" s="1">
        <v>769</v>
      </c>
      <c r="B770" s="1" t="s">
        <v>180</v>
      </c>
      <c r="C770" s="1">
        <v>-2.6070673974267301E-2</v>
      </c>
    </row>
    <row r="771" spans="1:3">
      <c r="A771" s="1">
        <v>770</v>
      </c>
      <c r="B771" s="1" t="s">
        <v>4</v>
      </c>
      <c r="C771" s="1">
        <v>1.1591253582182E-2</v>
      </c>
    </row>
    <row r="772" spans="1:3">
      <c r="A772" s="1">
        <v>771</v>
      </c>
      <c r="B772" s="1" t="s">
        <v>4</v>
      </c>
      <c r="C772" s="1">
        <v>8.3140706989297507E-3</v>
      </c>
    </row>
    <row r="773" spans="1:3">
      <c r="A773" s="1">
        <v>772</v>
      </c>
      <c r="B773" s="1" t="s">
        <v>4</v>
      </c>
      <c r="C773" s="1">
        <v>1.6506257706788902E-2</v>
      </c>
    </row>
    <row r="774" spans="1:3">
      <c r="A774" s="1">
        <v>773</v>
      </c>
      <c r="B774" s="1" t="s">
        <v>180</v>
      </c>
      <c r="C774" s="1">
        <v>6.5621118055378897E-3</v>
      </c>
    </row>
    <row r="775" spans="1:3">
      <c r="A775" s="1">
        <v>774</v>
      </c>
      <c r="B775" s="1" t="s">
        <v>180</v>
      </c>
      <c r="C775" s="1">
        <v>-5.6692229600088196E-3</v>
      </c>
    </row>
    <row r="776" spans="1:3">
      <c r="A776" s="1">
        <v>775</v>
      </c>
      <c r="B776" s="1" t="s">
        <v>180</v>
      </c>
      <c r="C776" s="1">
        <v>-1.19249412657467E-2</v>
      </c>
    </row>
    <row r="777" spans="1:3">
      <c r="A777" s="1">
        <v>776</v>
      </c>
      <c r="B777" s="1" t="s">
        <v>180</v>
      </c>
      <c r="C777" s="1">
        <v>4.0405578744444101E-2</v>
      </c>
    </row>
    <row r="778" spans="1:3">
      <c r="A778" s="1">
        <v>777</v>
      </c>
      <c r="B778" s="1" t="s">
        <v>4</v>
      </c>
      <c r="C778" s="1">
        <v>2.0855826134109599E-3</v>
      </c>
    </row>
    <row r="779" spans="1:3">
      <c r="A779" s="1">
        <v>778</v>
      </c>
      <c r="B779" s="1" t="s">
        <v>180</v>
      </c>
      <c r="C779" s="1">
        <v>-1.8548533072511399E-2</v>
      </c>
    </row>
    <row r="780" spans="1:3">
      <c r="A780" s="1">
        <v>779</v>
      </c>
      <c r="B780" s="1" t="s">
        <v>4</v>
      </c>
      <c r="C780" s="1">
        <v>-2.6163460492841999E-2</v>
      </c>
    </row>
    <row r="781" spans="1:3">
      <c r="A781" s="1">
        <v>780</v>
      </c>
      <c r="B781" s="1" t="s">
        <v>180</v>
      </c>
      <c r="C781" s="1">
        <v>2.2728393200868099E-3</v>
      </c>
    </row>
    <row r="782" spans="1:3">
      <c r="A782" s="1">
        <v>781</v>
      </c>
      <c r="B782" s="1" t="s">
        <v>4</v>
      </c>
      <c r="C782" s="1">
        <v>1.25212862696102E-2</v>
      </c>
    </row>
    <row r="783" spans="1:3">
      <c r="A783" s="1">
        <v>782</v>
      </c>
      <c r="B783" s="1" t="s">
        <v>4</v>
      </c>
      <c r="C783" s="1">
        <v>8.4533401672869293E-3</v>
      </c>
    </row>
    <row r="784" spans="1:3">
      <c r="A784" s="1">
        <v>783</v>
      </c>
      <c r="B784" s="1" t="s">
        <v>4</v>
      </c>
      <c r="C784" s="1">
        <v>-4.1252994428049299E-2</v>
      </c>
    </row>
    <row r="785" spans="1:3">
      <c r="A785" s="1">
        <v>784</v>
      </c>
      <c r="B785" s="1" t="s">
        <v>180</v>
      </c>
      <c r="C785" s="1">
        <v>-1.6191457223904101E-3</v>
      </c>
    </row>
    <row r="786" spans="1:3">
      <c r="A786" s="1">
        <v>785</v>
      </c>
      <c r="B786" s="1" t="s">
        <v>4</v>
      </c>
      <c r="C786" s="1">
        <v>1.91471762819048E-2</v>
      </c>
    </row>
    <row r="787" spans="1:3">
      <c r="A787" s="1">
        <v>786</v>
      </c>
      <c r="B787" s="1" t="s">
        <v>4</v>
      </c>
      <c r="C787" s="1">
        <v>3.1464889836108498E-2</v>
      </c>
    </row>
    <row r="788" spans="1:3">
      <c r="A788" s="1">
        <v>787</v>
      </c>
      <c r="B788" s="1" t="s">
        <v>4</v>
      </c>
      <c r="C788" s="1">
        <v>3.1522816378977497E-2</v>
      </c>
    </row>
    <row r="789" spans="1:3">
      <c r="A789" s="1">
        <v>788</v>
      </c>
      <c r="B789" s="1" t="s">
        <v>180</v>
      </c>
      <c r="C789" s="1">
        <v>2.0734650834128799E-3</v>
      </c>
    </row>
    <row r="790" spans="1:3">
      <c r="A790" s="1">
        <v>789</v>
      </c>
      <c r="B790" s="1" t="s">
        <v>180</v>
      </c>
      <c r="C790" s="1">
        <v>3.3618110951895298E-2</v>
      </c>
    </row>
    <row r="791" spans="1:3">
      <c r="A791" s="1">
        <v>790</v>
      </c>
      <c r="B791" s="1" t="s">
        <v>180</v>
      </c>
      <c r="C791" s="1">
        <v>5.7564496375761103E-2</v>
      </c>
    </row>
    <row r="792" spans="1:3">
      <c r="A792" s="1">
        <v>791</v>
      </c>
      <c r="B792" s="1" t="s">
        <v>4</v>
      </c>
      <c r="C792" s="1">
        <v>7.2795887229517497E-3</v>
      </c>
    </row>
    <row r="793" spans="1:3">
      <c r="A793" s="1">
        <v>792</v>
      </c>
      <c r="B793" s="1" t="s">
        <v>180</v>
      </c>
      <c r="C793" s="1">
        <v>-3.3703134576867903E-2</v>
      </c>
    </row>
    <row r="794" spans="1:3">
      <c r="A794" s="1">
        <v>793</v>
      </c>
      <c r="B794" s="1" t="s">
        <v>4</v>
      </c>
      <c r="C794" s="1">
        <v>-3.0528814180790599E-2</v>
      </c>
    </row>
    <row r="795" spans="1:3">
      <c r="A795" s="1">
        <v>794</v>
      </c>
      <c r="B795" s="1" t="s">
        <v>4</v>
      </c>
      <c r="C795" s="1">
        <v>-4.8280230590194099E-3</v>
      </c>
    </row>
    <row r="796" spans="1:3">
      <c r="A796" s="1">
        <v>795</v>
      </c>
      <c r="B796" s="1" t="s">
        <v>180</v>
      </c>
      <c r="C796" s="1">
        <v>4.0514418436600801E-2</v>
      </c>
    </row>
    <row r="797" spans="1:3">
      <c r="A797" s="1">
        <v>796</v>
      </c>
      <c r="B797" s="1" t="s">
        <v>4</v>
      </c>
      <c r="C797" s="1">
        <v>-2.2117572001874902E-2</v>
      </c>
    </row>
    <row r="798" spans="1:3">
      <c r="A798" s="1">
        <v>797</v>
      </c>
      <c r="B798" s="1" t="s">
        <v>4</v>
      </c>
      <c r="C798" s="1">
        <v>-1.6083044908125201E-2</v>
      </c>
    </row>
    <row r="799" spans="1:3">
      <c r="A799" s="1">
        <v>798</v>
      </c>
      <c r="B799" s="1" t="s">
        <v>4</v>
      </c>
      <c r="C799" s="1">
        <v>-1.53690831900767E-2</v>
      </c>
    </row>
    <row r="800" spans="1:3">
      <c r="A800" s="1">
        <v>799</v>
      </c>
      <c r="B800" s="1" t="s">
        <v>4</v>
      </c>
      <c r="C800" s="1">
        <v>1.02851969607087E-2</v>
      </c>
    </row>
    <row r="801" spans="1:3">
      <c r="A801" s="1">
        <v>800</v>
      </c>
      <c r="B801" s="1" t="s">
        <v>4</v>
      </c>
      <c r="C801" s="1">
        <v>-1.7924488188235398E-2</v>
      </c>
    </row>
    <row r="802" spans="1:3">
      <c r="A802" s="1">
        <v>801</v>
      </c>
      <c r="B802" s="1" t="s">
        <v>180</v>
      </c>
      <c r="C802" s="2">
        <v>-6.5065037944123105E-5</v>
      </c>
    </row>
    <row r="803" spans="1:3">
      <c r="A803" s="1">
        <v>802</v>
      </c>
      <c r="B803" s="1" t="s">
        <v>180</v>
      </c>
      <c r="C803" s="1">
        <v>-5.9576371168077397E-3</v>
      </c>
    </row>
    <row r="804" spans="1:3">
      <c r="A804" s="1">
        <v>803</v>
      </c>
      <c r="B804" s="1" t="s">
        <v>180</v>
      </c>
      <c r="C804" s="1">
        <v>4.7267071933163103E-2</v>
      </c>
    </row>
    <row r="805" spans="1:3">
      <c r="A805" s="1">
        <v>804</v>
      </c>
      <c r="B805" s="1" t="s">
        <v>4</v>
      </c>
      <c r="C805" s="1">
        <v>-3.5997753735458098E-2</v>
      </c>
    </row>
    <row r="806" spans="1:3">
      <c r="A806" s="1">
        <v>805</v>
      </c>
      <c r="B806" s="1" t="s">
        <v>180</v>
      </c>
      <c r="C806" s="1">
        <v>1.1834017786586701E-2</v>
      </c>
    </row>
    <row r="807" spans="1:3">
      <c r="A807" s="1">
        <v>806</v>
      </c>
      <c r="B807" s="1" t="s">
        <v>180</v>
      </c>
      <c r="C807" s="1">
        <v>-9.1730451909484093E-3</v>
      </c>
    </row>
    <row r="808" spans="1:3">
      <c r="A808" s="1">
        <v>807</v>
      </c>
      <c r="B808" s="1" t="s">
        <v>4</v>
      </c>
      <c r="C808" s="1">
        <v>1.1387289185826399E-2</v>
      </c>
    </row>
    <row r="809" spans="1:3">
      <c r="A809" s="1">
        <v>808</v>
      </c>
      <c r="B809" s="1" t="s">
        <v>4</v>
      </c>
      <c r="C809" s="1">
        <v>1.98762262511849E-2</v>
      </c>
    </row>
    <row r="810" spans="1:3">
      <c r="A810" s="1">
        <v>809</v>
      </c>
      <c r="B810" s="1" t="s">
        <v>4</v>
      </c>
      <c r="C810" s="1">
        <v>-9.2168933276184292E-3</v>
      </c>
    </row>
    <row r="811" spans="1:3">
      <c r="A811" s="1">
        <v>810</v>
      </c>
      <c r="B811" s="1" t="s">
        <v>4</v>
      </c>
      <c r="C811" s="1">
        <v>2.51955654167197E-2</v>
      </c>
    </row>
    <row r="812" spans="1:3">
      <c r="A812" s="1">
        <v>811</v>
      </c>
      <c r="B812" s="1" t="s">
        <v>180</v>
      </c>
      <c r="C812" s="1">
        <v>8.8309666792198895E-3</v>
      </c>
    </row>
    <row r="813" spans="1:3">
      <c r="A813" s="1">
        <v>812</v>
      </c>
      <c r="B813" s="1" t="s">
        <v>180</v>
      </c>
      <c r="C813" s="1">
        <v>-2.4415764644324101E-2</v>
      </c>
    </row>
    <row r="814" spans="1:3">
      <c r="A814" s="1">
        <v>813</v>
      </c>
      <c r="B814" s="1" t="s">
        <v>4</v>
      </c>
      <c r="C814" s="1">
        <v>-2.8398899154016201E-2</v>
      </c>
    </row>
    <row r="815" spans="1:3">
      <c r="A815" s="1">
        <v>814</v>
      </c>
      <c r="B815" s="1" t="s">
        <v>180</v>
      </c>
      <c r="C815" s="1">
        <v>-1.2624504509885601E-2</v>
      </c>
    </row>
    <row r="816" spans="1:3">
      <c r="A816" s="1">
        <v>815</v>
      </c>
      <c r="B816" s="1" t="s">
        <v>4</v>
      </c>
      <c r="C816" s="1">
        <v>3.9397236266323903E-2</v>
      </c>
    </row>
    <row r="817" spans="1:3">
      <c r="A817" s="1">
        <v>816</v>
      </c>
      <c r="B817" s="1" t="s">
        <v>180</v>
      </c>
      <c r="C817" s="1">
        <v>-3.00552610540627E-4</v>
      </c>
    </row>
    <row r="818" spans="1:3">
      <c r="A818" s="1">
        <v>817</v>
      </c>
      <c r="B818" s="1" t="s">
        <v>4</v>
      </c>
      <c r="C818" s="1">
        <v>-1.6127434586806499E-2</v>
      </c>
    </row>
    <row r="819" spans="1:3">
      <c r="A819" s="1">
        <v>818</v>
      </c>
      <c r="B819" s="1" t="s">
        <v>180</v>
      </c>
      <c r="C819" s="1">
        <v>2.40715686623129E-2</v>
      </c>
    </row>
    <row r="820" spans="1:3">
      <c r="A820" s="1">
        <v>819</v>
      </c>
      <c r="B820" s="1" t="s">
        <v>4</v>
      </c>
      <c r="C820" s="1">
        <v>1.5372254392099501E-2</v>
      </c>
    </row>
    <row r="821" spans="1:3">
      <c r="A821" s="1">
        <v>820</v>
      </c>
      <c r="B821" s="1" t="s">
        <v>4</v>
      </c>
      <c r="C821" s="1">
        <v>8.1715581608960905E-3</v>
      </c>
    </row>
    <row r="822" spans="1:3">
      <c r="A822" s="1">
        <v>821</v>
      </c>
      <c r="B822" s="1" t="s">
        <v>4</v>
      </c>
      <c r="C822" s="1">
        <v>1.50124197118231E-2</v>
      </c>
    </row>
    <row r="823" spans="1:3">
      <c r="A823" s="1">
        <v>822</v>
      </c>
      <c r="B823" s="1" t="s">
        <v>4</v>
      </c>
      <c r="C823" s="1">
        <v>1.2220423873372899E-2</v>
      </c>
    </row>
    <row r="824" spans="1:3">
      <c r="A824" s="1">
        <v>823</v>
      </c>
      <c r="B824" s="1" t="s">
        <v>4</v>
      </c>
      <c r="C824" s="1">
        <v>-2.3898066428273499E-2</v>
      </c>
    </row>
    <row r="825" spans="1:3">
      <c r="A825" s="1">
        <v>824</v>
      </c>
      <c r="B825" s="1" t="s">
        <v>4</v>
      </c>
      <c r="C825" s="1">
        <v>1.14454548431395E-2</v>
      </c>
    </row>
    <row r="826" spans="1:3">
      <c r="A826" s="1">
        <v>825</v>
      </c>
      <c r="B826" s="1" t="s">
        <v>4</v>
      </c>
      <c r="C826" s="1">
        <v>1.4202598371475901E-2</v>
      </c>
    </row>
    <row r="827" spans="1:3">
      <c r="A827" s="1">
        <v>826</v>
      </c>
      <c r="B827" s="1" t="s">
        <v>180</v>
      </c>
      <c r="C827" s="1">
        <v>9.7412111066716902E-3</v>
      </c>
    </row>
    <row r="828" spans="1:3">
      <c r="A828" s="1">
        <v>827</v>
      </c>
      <c r="B828" s="1" t="s">
        <v>4</v>
      </c>
      <c r="C828" s="1">
        <v>1.7672032031349202E-2</v>
      </c>
    </row>
    <row r="829" spans="1:3">
      <c r="A829" s="1">
        <v>828</v>
      </c>
      <c r="B829" s="1" t="s">
        <v>4</v>
      </c>
      <c r="C829" s="1">
        <v>-1.05928324281769E-2</v>
      </c>
    </row>
    <row r="830" spans="1:3">
      <c r="A830" s="1">
        <v>829</v>
      </c>
      <c r="B830" s="1" t="s">
        <v>4</v>
      </c>
      <c r="C830" s="1">
        <v>-1.5933657206772901E-2</v>
      </c>
    </row>
    <row r="831" spans="1:3">
      <c r="A831" s="1">
        <v>830</v>
      </c>
      <c r="B831" s="1" t="s">
        <v>4</v>
      </c>
      <c r="C831" s="1">
        <v>7.7308756949676597E-3</v>
      </c>
    </row>
    <row r="832" spans="1:3">
      <c r="A832" s="1">
        <v>831</v>
      </c>
      <c r="B832" s="1" t="s">
        <v>180</v>
      </c>
      <c r="C832" s="1">
        <v>-2.2210593624910398E-2</v>
      </c>
    </row>
    <row r="833" spans="1:3">
      <c r="A833" s="1">
        <v>832</v>
      </c>
      <c r="B833" s="1" t="s">
        <v>4</v>
      </c>
      <c r="C833" s="1">
        <v>4.6305221575273899E-2</v>
      </c>
    </row>
    <row r="834" spans="1:3">
      <c r="A834" s="1">
        <v>833</v>
      </c>
      <c r="B834" s="1" t="s">
        <v>4</v>
      </c>
      <c r="C834" s="1">
        <v>2.1100811394091999E-2</v>
      </c>
    </row>
    <row r="835" spans="1:3">
      <c r="A835" s="1">
        <v>834</v>
      </c>
      <c r="B835" s="1" t="s">
        <v>180</v>
      </c>
      <c r="C835" s="1">
        <v>1.606850729792E-2</v>
      </c>
    </row>
    <row r="836" spans="1:3">
      <c r="A836" s="1">
        <v>835</v>
      </c>
      <c r="B836" s="1" t="s">
        <v>4</v>
      </c>
      <c r="C836" s="1">
        <v>-1.78403996372473E-2</v>
      </c>
    </row>
    <row r="837" spans="1:3">
      <c r="A837" s="1">
        <v>836</v>
      </c>
      <c r="B837" s="1" t="s">
        <v>180</v>
      </c>
      <c r="C837" s="1">
        <v>1.9782348575233699E-2</v>
      </c>
    </row>
    <row r="838" spans="1:3">
      <c r="A838" s="1">
        <v>837</v>
      </c>
      <c r="B838" s="1" t="s">
        <v>4</v>
      </c>
      <c r="C838" s="1">
        <v>1.43157172264665E-2</v>
      </c>
    </row>
    <row r="839" spans="1:3">
      <c r="A839" s="1">
        <v>838</v>
      </c>
      <c r="B839" s="1" t="s">
        <v>4</v>
      </c>
      <c r="C839" s="1">
        <v>2.0933588938078101E-2</v>
      </c>
    </row>
    <row r="840" spans="1:3">
      <c r="A840" s="1">
        <v>839</v>
      </c>
      <c r="B840" s="1" t="s">
        <v>4</v>
      </c>
      <c r="C840" s="1">
        <v>-1.2919647941479401E-2</v>
      </c>
    </row>
    <row r="841" spans="1:3">
      <c r="A841" s="1">
        <v>840</v>
      </c>
      <c r="B841" s="1" t="s">
        <v>4</v>
      </c>
      <c r="C841" s="1">
        <v>2.2222147775025201E-2</v>
      </c>
    </row>
    <row r="842" spans="1:3">
      <c r="A842" s="1">
        <v>841</v>
      </c>
      <c r="B842" s="1" t="s">
        <v>180</v>
      </c>
      <c r="C842" s="1">
        <v>4.5216414802883499E-2</v>
      </c>
    </row>
    <row r="843" spans="1:3">
      <c r="A843" s="1">
        <v>842</v>
      </c>
      <c r="B843" s="1" t="s">
        <v>4</v>
      </c>
      <c r="C843" s="1">
        <v>4.3807681565929998E-2</v>
      </c>
    </row>
    <row r="844" spans="1:3">
      <c r="A844" s="1">
        <v>843</v>
      </c>
      <c r="B844" s="1" t="s">
        <v>4</v>
      </c>
      <c r="C844" s="1">
        <v>-1.19191754028946E-2</v>
      </c>
    </row>
    <row r="845" spans="1:3">
      <c r="A845" s="1">
        <v>844</v>
      </c>
      <c r="B845" s="1" t="s">
        <v>180</v>
      </c>
      <c r="C845" s="1">
        <v>-6.4974825426062904E-3</v>
      </c>
    </row>
    <row r="846" spans="1:3">
      <c r="A846" s="1">
        <v>845</v>
      </c>
      <c r="B846" s="1" t="s">
        <v>180</v>
      </c>
      <c r="C846" s="1">
        <v>-1.10842891259821E-2</v>
      </c>
    </row>
    <row r="847" spans="1:3">
      <c r="A847" s="1">
        <v>846</v>
      </c>
      <c r="B847" s="1" t="s">
        <v>180</v>
      </c>
      <c r="C847" s="1">
        <v>4.5811384494157802E-2</v>
      </c>
    </row>
    <row r="848" spans="1:3">
      <c r="A848" s="1">
        <v>847</v>
      </c>
      <c r="B848" s="1" t="s">
        <v>4</v>
      </c>
      <c r="C848" s="1">
        <v>-9.6443901315836893E-3</v>
      </c>
    </row>
    <row r="849" spans="1:3">
      <c r="A849" s="1">
        <v>848</v>
      </c>
      <c r="B849" s="1" t="s">
        <v>4</v>
      </c>
      <c r="C849" s="1">
        <v>2.2865278991478201E-2</v>
      </c>
    </row>
    <row r="850" spans="1:3">
      <c r="A850" s="1">
        <v>849</v>
      </c>
      <c r="B850" s="1" t="s">
        <v>180</v>
      </c>
      <c r="C850" s="1">
        <v>-1.8609304127473001E-2</v>
      </c>
    </row>
    <row r="851" spans="1:3">
      <c r="A851" s="1">
        <v>850</v>
      </c>
      <c r="B851" s="1" t="s">
        <v>180</v>
      </c>
      <c r="C851" s="1">
        <v>-5.8210913186229596E-4</v>
      </c>
    </row>
    <row r="852" spans="1:3">
      <c r="A852" s="1">
        <v>851</v>
      </c>
      <c r="B852" s="1" t="s">
        <v>4</v>
      </c>
      <c r="C852" s="1">
        <v>-3.6271601983308699E-3</v>
      </c>
    </row>
    <row r="853" spans="1:3">
      <c r="A853" s="1">
        <v>852</v>
      </c>
      <c r="B853" s="1" t="s">
        <v>4</v>
      </c>
      <c r="C853" s="1">
        <v>9.0312755127754905E-3</v>
      </c>
    </row>
  </sheetData>
  <autoFilter ref="A1:C853" xr:uid="{B591A4A0-DE2B-8A4E-8C34-A3AA14362772}"/>
  <sortState xmlns:xlrd2="http://schemas.microsoft.com/office/spreadsheetml/2017/richdata2" ref="T28:T47">
    <sortCondition ref="T28"/>
  </sortState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F319-316E-1C4E-B1B6-DD9118D49B15}">
  <dimension ref="A1:U853"/>
  <sheetViews>
    <sheetView tabSelected="1" topLeftCell="C19" zoomScale="89" workbookViewId="0">
      <selection activeCell="M36" sqref="M36"/>
    </sheetView>
  </sheetViews>
  <sheetFormatPr baseColWidth="10" defaultRowHeight="16"/>
  <cols>
    <col min="17" max="17" width="13.33203125" bestFit="1" customWidth="1"/>
    <col min="22" max="22" width="13.5" bestFit="1" customWidth="1"/>
  </cols>
  <sheetData>
    <row r="1" spans="1:17">
      <c r="A1" s="3" t="s">
        <v>2334</v>
      </c>
      <c r="B1" s="3" t="s">
        <v>1727</v>
      </c>
      <c r="C1" s="3" t="s">
        <v>2333</v>
      </c>
      <c r="G1" t="s">
        <v>2422</v>
      </c>
      <c r="H1" t="s">
        <v>2423</v>
      </c>
      <c r="J1" t="s">
        <v>2422</v>
      </c>
    </row>
    <row r="2" spans="1:17">
      <c r="A2" s="1">
        <v>1</v>
      </c>
      <c r="B2" s="1" t="s">
        <v>4</v>
      </c>
      <c r="C2" s="1">
        <v>3.7934913346834902</v>
      </c>
      <c r="G2">
        <v>3.7934913350000001</v>
      </c>
      <c r="H2">
        <v>3.8317514090000002</v>
      </c>
    </row>
    <row r="3" spans="1:17" ht="17" thickBot="1">
      <c r="A3" s="1">
        <v>2</v>
      </c>
      <c r="B3" s="1" t="s">
        <v>4</v>
      </c>
      <c r="C3" s="1">
        <v>3.6798288727160999</v>
      </c>
      <c r="G3">
        <v>3.6798288729999999</v>
      </c>
      <c r="H3">
        <v>3.7402350430000002</v>
      </c>
      <c r="M3" t="s">
        <v>2437</v>
      </c>
    </row>
    <row r="4" spans="1:17">
      <c r="A4" s="1">
        <v>3</v>
      </c>
      <c r="B4" s="1" t="s">
        <v>4</v>
      </c>
      <c r="C4" s="1">
        <v>3.6341080730370199</v>
      </c>
      <c r="G4">
        <v>3.6341080730000002</v>
      </c>
      <c r="H4">
        <v>3.5100369329999999</v>
      </c>
      <c r="J4" t="s">
        <v>2426</v>
      </c>
      <c r="K4">
        <f>MAX(G2:G721)</f>
        <v>4.3369607700000001</v>
      </c>
      <c r="L4">
        <v>1</v>
      </c>
      <c r="M4">
        <v>1.4626443339999999</v>
      </c>
      <c r="O4" s="28" t="s">
        <v>2438</v>
      </c>
      <c r="P4" s="28" t="s">
        <v>2440</v>
      </c>
      <c r="Q4" t="s">
        <v>2441</v>
      </c>
    </row>
    <row r="5" spans="1:17">
      <c r="A5" s="1">
        <v>4</v>
      </c>
      <c r="B5" s="1" t="s">
        <v>4</v>
      </c>
      <c r="C5" s="1">
        <v>3.47365306367251</v>
      </c>
      <c r="G5">
        <v>3.4736530640000001</v>
      </c>
      <c r="H5">
        <v>3.3175521049999999</v>
      </c>
      <c r="J5" t="s">
        <v>2428</v>
      </c>
      <c r="K5">
        <f>MIN(G2:G722)</f>
        <v>1.4626443339999999</v>
      </c>
      <c r="L5">
        <v>2</v>
      </c>
      <c r="M5">
        <f>M4+K$9</f>
        <v>1.6063601558</v>
      </c>
      <c r="O5">
        <v>1.4626443339999999</v>
      </c>
      <c r="P5">
        <v>1</v>
      </c>
      <c r="Q5">
        <f>_xlfn.NORM.DIST(O5,K$6,K$7,0)</f>
        <v>3.1417471900791041E-5</v>
      </c>
    </row>
    <row r="6" spans="1:17">
      <c r="A6" s="1">
        <v>5</v>
      </c>
      <c r="B6" s="1" t="s">
        <v>4</v>
      </c>
      <c r="C6" s="1">
        <v>2.7875613915069599</v>
      </c>
      <c r="G6">
        <v>2.7875613920000002</v>
      </c>
      <c r="H6">
        <v>2.398902364</v>
      </c>
      <c r="J6" t="s">
        <v>2430</v>
      </c>
      <c r="K6">
        <f>AVERAGE(G2:G722)</f>
        <v>3.3129683184916656</v>
      </c>
      <c r="L6">
        <v>3</v>
      </c>
      <c r="M6">
        <f t="shared" ref="M6:M24" si="0">M5+K$9</f>
        <v>1.7500759776000001</v>
      </c>
      <c r="O6">
        <v>1.6063601558</v>
      </c>
      <c r="P6">
        <v>0</v>
      </c>
      <c r="Q6">
        <f t="shared" ref="Q6:Q25" si="1">_xlfn.NORM.DIST(O6,K$6,K$7,0)</f>
        <v>1.4730967734710002E-4</v>
      </c>
    </row>
    <row r="7" spans="1:17">
      <c r="A7" s="1">
        <v>6</v>
      </c>
      <c r="B7" s="1" t="s">
        <v>4</v>
      </c>
      <c r="C7" s="1">
        <v>3.6223115744392</v>
      </c>
      <c r="G7">
        <v>3.6223115739999998</v>
      </c>
      <c r="H7">
        <v>3.5183751779999999</v>
      </c>
      <c r="J7" t="s">
        <v>2432</v>
      </c>
      <c r="K7">
        <f>_xlfn.STDEV.S(G2:G722)</f>
        <v>0.4067115906110545</v>
      </c>
      <c r="L7">
        <v>4</v>
      </c>
      <c r="M7">
        <f t="shared" si="0"/>
        <v>1.8937917994000002</v>
      </c>
      <c r="O7">
        <v>1.7500759776000001</v>
      </c>
      <c r="P7">
        <v>1</v>
      </c>
      <c r="Q7">
        <f t="shared" si="1"/>
        <v>6.0962633824602694E-4</v>
      </c>
    </row>
    <row r="8" spans="1:17">
      <c r="A8" s="1">
        <v>7</v>
      </c>
      <c r="B8" s="1" t="s">
        <v>4</v>
      </c>
      <c r="C8" s="1">
        <v>3.1323331862985002</v>
      </c>
      <c r="G8">
        <v>3.1323331859999999</v>
      </c>
      <c r="H8">
        <v>3.9241778539999999</v>
      </c>
      <c r="J8" t="s">
        <v>2436</v>
      </c>
      <c r="K8">
        <v>20</v>
      </c>
      <c r="L8">
        <v>5</v>
      </c>
      <c r="M8">
        <f t="shared" si="0"/>
        <v>2.0375076212000001</v>
      </c>
      <c r="O8">
        <v>1.8937917994000002</v>
      </c>
      <c r="P8">
        <v>0</v>
      </c>
      <c r="Q8">
        <f t="shared" si="1"/>
        <v>2.2267351585524581E-3</v>
      </c>
    </row>
    <row r="9" spans="1:17">
      <c r="A9" s="1">
        <v>8</v>
      </c>
      <c r="B9" s="1" t="s">
        <v>4</v>
      </c>
      <c r="C9" s="1">
        <v>3.1547179889033501</v>
      </c>
      <c r="G9">
        <v>3.1547179889999999</v>
      </c>
      <c r="H9">
        <v>3.5671969780000001</v>
      </c>
      <c r="J9" t="s">
        <v>2434</v>
      </c>
      <c r="K9">
        <f>(K4-K5)/20</f>
        <v>0.1437158218</v>
      </c>
      <c r="L9">
        <v>6</v>
      </c>
      <c r="M9">
        <f t="shared" si="0"/>
        <v>2.1812234429999999</v>
      </c>
      <c r="O9">
        <v>2.0375076212000001</v>
      </c>
      <c r="P9">
        <v>1</v>
      </c>
      <c r="Q9">
        <f t="shared" si="1"/>
        <v>7.1787001174289542E-3</v>
      </c>
    </row>
    <row r="10" spans="1:17">
      <c r="A10" s="1">
        <v>9</v>
      </c>
      <c r="B10" s="1" t="s">
        <v>4</v>
      </c>
      <c r="C10" s="1">
        <v>3.4741733644021799</v>
      </c>
      <c r="G10">
        <v>3.4741733639999999</v>
      </c>
      <c r="H10">
        <v>3.931660639</v>
      </c>
      <c r="L10">
        <v>7</v>
      </c>
      <c r="M10">
        <f t="shared" si="0"/>
        <v>2.3249392647999998</v>
      </c>
      <c r="O10">
        <v>2.1812234429999999</v>
      </c>
      <c r="P10">
        <v>5</v>
      </c>
      <c r="Q10">
        <f t="shared" si="1"/>
        <v>2.0426570505409608E-2</v>
      </c>
    </row>
    <row r="11" spans="1:17">
      <c r="A11" s="1">
        <v>10</v>
      </c>
      <c r="B11" s="1" t="s">
        <v>4</v>
      </c>
      <c r="C11" s="1">
        <v>3.7360244756713699</v>
      </c>
      <c r="G11">
        <v>3.7360244759999999</v>
      </c>
      <c r="H11">
        <v>2.485902802</v>
      </c>
      <c r="L11">
        <v>8</v>
      </c>
      <c r="M11">
        <f t="shared" si="0"/>
        <v>2.4686550865999997</v>
      </c>
      <c r="O11">
        <v>2.3249392647999998</v>
      </c>
      <c r="P11">
        <v>11</v>
      </c>
      <c r="Q11">
        <f t="shared" si="1"/>
        <v>5.1300016407351809E-2</v>
      </c>
    </row>
    <row r="12" spans="1:17">
      <c r="A12" s="1">
        <v>11</v>
      </c>
      <c r="B12" s="1" t="s">
        <v>4</v>
      </c>
      <c r="C12" s="1">
        <v>3.5126577644563599</v>
      </c>
      <c r="G12">
        <v>3.5126577640000001</v>
      </c>
      <c r="H12">
        <v>3.7371772829999998</v>
      </c>
      <c r="L12">
        <v>9</v>
      </c>
      <c r="M12">
        <f t="shared" si="0"/>
        <v>2.6123709083999995</v>
      </c>
      <c r="O12">
        <v>2.4686550865999997</v>
      </c>
      <c r="P12">
        <v>14</v>
      </c>
      <c r="Q12">
        <f t="shared" si="1"/>
        <v>0.11371348021119403</v>
      </c>
    </row>
    <row r="13" spans="1:17">
      <c r="A13" s="1">
        <v>12</v>
      </c>
      <c r="B13" s="1" t="s">
        <v>4</v>
      </c>
      <c r="C13" s="1">
        <v>2.93305916565361</v>
      </c>
      <c r="G13">
        <v>2.9330591660000001</v>
      </c>
      <c r="H13">
        <v>3.4140343959999999</v>
      </c>
      <c r="L13">
        <v>10</v>
      </c>
      <c r="M13">
        <f t="shared" si="0"/>
        <v>2.7560867301999994</v>
      </c>
      <c r="O13">
        <v>2.6123709083999995</v>
      </c>
      <c r="P13">
        <v>25</v>
      </c>
      <c r="Q13">
        <f t="shared" si="1"/>
        <v>0.22247376236052055</v>
      </c>
    </row>
    <row r="14" spans="1:17">
      <c r="A14" s="1">
        <v>13</v>
      </c>
      <c r="B14" s="1" t="s">
        <v>4</v>
      </c>
      <c r="C14" s="1">
        <v>3.6929363185608</v>
      </c>
      <c r="G14">
        <v>3.6929363190000002</v>
      </c>
      <c r="H14">
        <v>3.7166000700000001</v>
      </c>
      <c r="L14">
        <v>11</v>
      </c>
      <c r="M14">
        <f t="shared" si="0"/>
        <v>2.8998025519999993</v>
      </c>
      <c r="O14">
        <v>2.7560867301999994</v>
      </c>
      <c r="P14">
        <v>25</v>
      </c>
      <c r="Q14">
        <f t="shared" si="1"/>
        <v>0.38416522383789647</v>
      </c>
    </row>
    <row r="15" spans="1:17">
      <c r="A15" s="1">
        <v>14</v>
      </c>
      <c r="B15" s="1" t="s">
        <v>4</v>
      </c>
      <c r="C15" s="1">
        <v>3.7547292195349198</v>
      </c>
      <c r="G15">
        <v>3.7547292200000002</v>
      </c>
      <c r="H15">
        <v>3.6486234450000001</v>
      </c>
      <c r="L15">
        <v>12</v>
      </c>
      <c r="M15">
        <f t="shared" si="0"/>
        <v>3.0435183737999991</v>
      </c>
      <c r="O15">
        <v>2.8998025519999993</v>
      </c>
      <c r="P15">
        <v>38</v>
      </c>
      <c r="Q15">
        <f t="shared" si="1"/>
        <v>0.58550377268167053</v>
      </c>
    </row>
    <row r="16" spans="1:17">
      <c r="A16" s="1">
        <v>15</v>
      </c>
      <c r="B16" s="1" t="s">
        <v>4</v>
      </c>
      <c r="C16" s="1">
        <v>3.49315927408164</v>
      </c>
      <c r="G16">
        <v>3.4931592739999999</v>
      </c>
      <c r="H16">
        <v>3.534893243</v>
      </c>
      <c r="L16">
        <v>13</v>
      </c>
      <c r="M16">
        <f t="shared" si="0"/>
        <v>3.187234195599999</v>
      </c>
      <c r="O16">
        <v>3.0435183737999991</v>
      </c>
      <c r="P16">
        <v>40</v>
      </c>
      <c r="Q16">
        <f t="shared" si="1"/>
        <v>0.7876145818795518</v>
      </c>
    </row>
    <row r="17" spans="1:17">
      <c r="A17" s="1">
        <v>16</v>
      </c>
      <c r="B17" s="1" t="s">
        <v>4</v>
      </c>
      <c r="C17" s="1">
        <v>3.51534499393428</v>
      </c>
      <c r="G17">
        <v>3.5153449939999999</v>
      </c>
      <c r="H17">
        <v>2.943521504</v>
      </c>
      <c r="L17">
        <v>14</v>
      </c>
      <c r="M17">
        <f t="shared" si="0"/>
        <v>3.3309500173999989</v>
      </c>
      <c r="O17">
        <v>3.187234195599999</v>
      </c>
      <c r="P17">
        <v>44</v>
      </c>
      <c r="Q17">
        <f t="shared" si="1"/>
        <v>0.93512614402973648</v>
      </c>
    </row>
    <row r="18" spans="1:17">
      <c r="A18" s="1">
        <v>17</v>
      </c>
      <c r="B18" s="1" t="s">
        <v>4</v>
      </c>
      <c r="C18" s="1">
        <v>3.4882051664001801</v>
      </c>
      <c r="G18">
        <v>3.4882051660000002</v>
      </c>
      <c r="H18">
        <v>3.3883737489999999</v>
      </c>
      <c r="L18">
        <v>15</v>
      </c>
      <c r="M18">
        <f t="shared" si="0"/>
        <v>3.4746658391999987</v>
      </c>
      <c r="O18">
        <v>3.3309500173999989</v>
      </c>
      <c r="P18">
        <v>85</v>
      </c>
      <c r="Q18">
        <f t="shared" si="1"/>
        <v>0.97993901933644023</v>
      </c>
    </row>
    <row r="19" spans="1:17">
      <c r="A19" s="1">
        <v>18</v>
      </c>
      <c r="B19" s="1" t="s">
        <v>4</v>
      </c>
      <c r="C19" s="1">
        <v>3.6342867600491702</v>
      </c>
      <c r="G19">
        <v>3.6342867600000002</v>
      </c>
      <c r="H19">
        <v>3.2701284529999999</v>
      </c>
      <c r="L19">
        <v>16</v>
      </c>
      <c r="M19">
        <f t="shared" si="0"/>
        <v>3.6183816609999986</v>
      </c>
      <c r="O19">
        <v>3.4746658391999987</v>
      </c>
      <c r="P19">
        <v>120</v>
      </c>
      <c r="Q19">
        <f t="shared" si="1"/>
        <v>0.90635910788675855</v>
      </c>
    </row>
    <row r="20" spans="1:17">
      <c r="A20" s="1">
        <v>19</v>
      </c>
      <c r="B20" s="1" t="s">
        <v>4</v>
      </c>
      <c r="C20" s="1">
        <v>3.5344353191870002</v>
      </c>
      <c r="G20">
        <v>3.534435319</v>
      </c>
      <c r="H20">
        <v>3.4673184130000001</v>
      </c>
      <c r="L20">
        <v>17</v>
      </c>
      <c r="M20">
        <f t="shared" si="0"/>
        <v>3.7620974827999984</v>
      </c>
      <c r="O20">
        <v>3.6183816609999986</v>
      </c>
      <c r="P20">
        <v>131</v>
      </c>
      <c r="Q20">
        <f t="shared" si="1"/>
        <v>0.73990158299376307</v>
      </c>
    </row>
    <row r="21" spans="1:17">
      <c r="A21" s="1">
        <v>20</v>
      </c>
      <c r="B21" s="1" t="s">
        <v>4</v>
      </c>
      <c r="C21" s="1">
        <v>3.5921744904095601</v>
      </c>
      <c r="G21">
        <v>3.5921744900000001</v>
      </c>
      <c r="H21">
        <v>3.552504705</v>
      </c>
      <c r="L21">
        <v>18</v>
      </c>
      <c r="M21">
        <f t="shared" si="0"/>
        <v>3.9058133045999983</v>
      </c>
      <c r="O21">
        <v>3.7620974827999984</v>
      </c>
      <c r="P21">
        <v>134</v>
      </c>
      <c r="Q21">
        <f t="shared" si="1"/>
        <v>0.53311390526089131</v>
      </c>
    </row>
    <row r="22" spans="1:17">
      <c r="A22" s="1">
        <v>21</v>
      </c>
      <c r="B22" s="1" t="s">
        <v>4</v>
      </c>
      <c r="C22" s="1">
        <v>2.9075666206470698</v>
      </c>
      <c r="G22">
        <v>2.907566621</v>
      </c>
      <c r="H22">
        <v>3.0321145139999999</v>
      </c>
      <c r="L22">
        <v>19</v>
      </c>
      <c r="M22">
        <f t="shared" si="0"/>
        <v>4.0495291263999986</v>
      </c>
      <c r="O22">
        <v>3.9058133045999983</v>
      </c>
      <c r="P22">
        <v>43</v>
      </c>
      <c r="Q22">
        <f t="shared" si="1"/>
        <v>0.3390302618625195</v>
      </c>
    </row>
    <row r="23" spans="1:17">
      <c r="A23" s="1">
        <v>22</v>
      </c>
      <c r="B23" s="1" t="s">
        <v>4</v>
      </c>
      <c r="C23" s="1">
        <v>3.5152074228585799</v>
      </c>
      <c r="G23">
        <v>3.5152074230000001</v>
      </c>
      <c r="H23">
        <v>3.1185651929999998</v>
      </c>
      <c r="L23">
        <v>20</v>
      </c>
      <c r="M23">
        <f t="shared" si="0"/>
        <v>4.1932449481999985</v>
      </c>
      <c r="O23">
        <v>4.0495291263999986</v>
      </c>
      <c r="P23">
        <v>1</v>
      </c>
      <c r="Q23">
        <f t="shared" si="1"/>
        <v>0.19029585142641431</v>
      </c>
    </row>
    <row r="24" spans="1:17">
      <c r="A24" s="1">
        <v>23</v>
      </c>
      <c r="B24" s="1" t="s">
        <v>4</v>
      </c>
      <c r="C24" s="1">
        <v>3.4030707070845199</v>
      </c>
      <c r="G24">
        <v>3.4030707069999999</v>
      </c>
      <c r="H24">
        <v>3.6968484199999998</v>
      </c>
      <c r="L24">
        <v>21</v>
      </c>
      <c r="M24">
        <f t="shared" si="0"/>
        <v>4.3369607699999984</v>
      </c>
      <c r="O24">
        <v>4.1932449481999985</v>
      </c>
      <c r="P24">
        <v>0</v>
      </c>
      <c r="Q24">
        <f t="shared" si="1"/>
        <v>9.4274139414772251E-2</v>
      </c>
    </row>
    <row r="25" spans="1:17">
      <c r="A25" s="1">
        <v>24</v>
      </c>
      <c r="B25" s="1" t="s">
        <v>4</v>
      </c>
      <c r="C25" s="1">
        <v>3.2108870059750299</v>
      </c>
      <c r="G25">
        <v>3.2108870060000001</v>
      </c>
      <c r="H25">
        <v>3.432942197</v>
      </c>
      <c r="O25">
        <v>4.3369607699999984</v>
      </c>
      <c r="P25">
        <v>0</v>
      </c>
      <c r="Q25">
        <f t="shared" si="1"/>
        <v>4.1221921648648269E-2</v>
      </c>
    </row>
    <row r="26" spans="1:17" ht="17" thickBot="1">
      <c r="A26" s="1">
        <v>25</v>
      </c>
      <c r="B26" s="1" t="s">
        <v>4</v>
      </c>
      <c r="C26" s="1">
        <v>3.53375946414811</v>
      </c>
      <c r="G26">
        <v>3.5337594640000001</v>
      </c>
      <c r="H26">
        <v>2.983263773</v>
      </c>
      <c r="O26" s="27" t="s">
        <v>2439</v>
      </c>
      <c r="P26" s="27">
        <v>1</v>
      </c>
    </row>
    <row r="27" spans="1:17">
      <c r="A27" s="1">
        <v>26</v>
      </c>
      <c r="B27" s="1" t="s">
        <v>4</v>
      </c>
      <c r="C27" s="1">
        <v>3.4634541573501298</v>
      </c>
      <c r="G27">
        <v>3.4634541570000001</v>
      </c>
      <c r="H27">
        <v>2.6127489480000001</v>
      </c>
    </row>
    <row r="28" spans="1:17">
      <c r="A28" s="1">
        <v>27</v>
      </c>
      <c r="B28" s="1" t="s">
        <v>4</v>
      </c>
      <c r="C28" s="1">
        <v>3.6240954014109499</v>
      </c>
      <c r="G28">
        <v>3.6240954009999999</v>
      </c>
      <c r="H28">
        <v>3.6911862759999998</v>
      </c>
    </row>
    <row r="29" spans="1:17">
      <c r="A29" s="1">
        <v>28</v>
      </c>
      <c r="B29" s="1" t="s">
        <v>4</v>
      </c>
      <c r="C29" s="1">
        <v>3.2805304636294501</v>
      </c>
      <c r="G29">
        <v>3.2805304639999999</v>
      </c>
      <c r="H29">
        <v>2.8691704659999999</v>
      </c>
    </row>
    <row r="30" spans="1:17">
      <c r="A30" s="1">
        <v>29</v>
      </c>
      <c r="B30" s="1" t="s">
        <v>4</v>
      </c>
      <c r="C30" s="1">
        <v>3.7896497637766098</v>
      </c>
      <c r="G30">
        <v>3.789649764</v>
      </c>
      <c r="H30">
        <v>3.6800523599999999</v>
      </c>
    </row>
    <row r="31" spans="1:17">
      <c r="A31" s="1">
        <v>30</v>
      </c>
      <c r="B31" s="1" t="s">
        <v>4</v>
      </c>
      <c r="C31" s="1">
        <v>3.70168289473113</v>
      </c>
      <c r="G31">
        <v>3.7016828949999998</v>
      </c>
      <c r="H31">
        <v>3.7134378799999999</v>
      </c>
    </row>
    <row r="32" spans="1:17">
      <c r="A32" s="1">
        <v>31</v>
      </c>
      <c r="B32" s="1" t="s">
        <v>4</v>
      </c>
      <c r="C32" s="1">
        <v>3.3835269669847401</v>
      </c>
      <c r="G32">
        <v>3.3835269669999999</v>
      </c>
      <c r="H32">
        <v>3.2870074530000002</v>
      </c>
    </row>
    <row r="33" spans="1:17">
      <c r="A33" s="1">
        <v>32</v>
      </c>
      <c r="B33" s="1" t="s">
        <v>4</v>
      </c>
      <c r="C33" s="1">
        <v>3.7057564204565798</v>
      </c>
      <c r="G33">
        <v>3.7057564200000002</v>
      </c>
      <c r="H33">
        <v>3.5304482350000002</v>
      </c>
      <c r="J33" t="s">
        <v>2423</v>
      </c>
    </row>
    <row r="34" spans="1:17">
      <c r="A34" s="1">
        <v>33</v>
      </c>
      <c r="B34" s="1" t="s">
        <v>4</v>
      </c>
      <c r="C34" s="1">
        <v>3.3266620968717802</v>
      </c>
      <c r="G34">
        <v>3.3266620969999998</v>
      </c>
      <c r="H34">
        <v>3.5204222949999999</v>
      </c>
    </row>
    <row r="35" spans="1:17">
      <c r="A35" s="1">
        <v>34</v>
      </c>
      <c r="B35" s="1" t="s">
        <v>4</v>
      </c>
      <c r="C35" s="1">
        <v>3.7168644615527802</v>
      </c>
      <c r="G35">
        <v>3.7168644620000002</v>
      </c>
      <c r="H35">
        <v>3.447387494</v>
      </c>
    </row>
    <row r="36" spans="1:17" ht="17" thickBot="1">
      <c r="A36" s="1">
        <v>35</v>
      </c>
      <c r="B36" s="1" t="s">
        <v>4</v>
      </c>
      <c r="C36" s="1">
        <v>3.6661354193284899</v>
      </c>
      <c r="G36">
        <v>3.6661354190000002</v>
      </c>
      <c r="H36">
        <v>3.7123945709999999</v>
      </c>
      <c r="M36" t="s">
        <v>2437</v>
      </c>
    </row>
    <row r="37" spans="1:17">
      <c r="A37" s="1">
        <v>36</v>
      </c>
      <c r="B37" s="1" t="s">
        <v>4</v>
      </c>
      <c r="C37" s="1">
        <v>3.46005367009771</v>
      </c>
      <c r="G37">
        <v>3.4600536700000002</v>
      </c>
      <c r="H37">
        <v>3.633982622</v>
      </c>
      <c r="J37" t="s">
        <v>2426</v>
      </c>
      <c r="K37">
        <f>MAX(H2:H133)</f>
        <v>4.015354619</v>
      </c>
      <c r="L37">
        <v>1</v>
      </c>
      <c r="M37">
        <v>2.0629487260000001</v>
      </c>
      <c r="O37" s="28" t="s">
        <v>2438</v>
      </c>
      <c r="P37" s="28" t="s">
        <v>2440</v>
      </c>
      <c r="Q37" t="s">
        <v>2442</v>
      </c>
    </row>
    <row r="38" spans="1:17">
      <c r="A38" s="1">
        <v>37</v>
      </c>
      <c r="B38" s="1" t="s">
        <v>4</v>
      </c>
      <c r="C38" s="1">
        <v>3.8523970363900601</v>
      </c>
      <c r="G38">
        <v>3.8523970360000002</v>
      </c>
      <c r="H38">
        <v>3.866568413</v>
      </c>
      <c r="J38" t="s">
        <v>2428</v>
      </c>
      <c r="K38">
        <f>MIN(H2:H133)</f>
        <v>2.0629487260000001</v>
      </c>
      <c r="L38">
        <v>2</v>
      </c>
      <c r="M38">
        <f>M37+K$42</f>
        <v>2.165706930894737</v>
      </c>
      <c r="O38">
        <v>2.0629487260000001</v>
      </c>
      <c r="P38">
        <v>1</v>
      </c>
      <c r="Q38">
        <f>_xlfn.NORM.DIST(O38,K$39,K$40,0)</f>
        <v>2.5419332246914695E-3</v>
      </c>
    </row>
    <row r="39" spans="1:17">
      <c r="A39" s="1">
        <v>38</v>
      </c>
      <c r="B39" s="1" t="s">
        <v>4</v>
      </c>
      <c r="C39" s="1">
        <v>3.6936473481889802</v>
      </c>
      <c r="G39">
        <v>3.6936473479999998</v>
      </c>
      <c r="H39">
        <v>3.4302567150000001</v>
      </c>
      <c r="J39" t="s">
        <v>2430</v>
      </c>
      <c r="K39">
        <f>AVERAGE(H2:H133)</f>
        <v>3.4299407810227271</v>
      </c>
      <c r="L39">
        <v>3</v>
      </c>
      <c r="M39">
        <f t="shared" ref="M39:M56" si="2">M38+K$42</f>
        <v>2.2684651357894738</v>
      </c>
      <c r="O39">
        <v>2.165706930894737</v>
      </c>
      <c r="P39">
        <v>1</v>
      </c>
      <c r="Q39">
        <f t="shared" ref="Q39:Q57" si="3">_xlfn.NORM.DIST(O39,K$39,K$40,0)</f>
        <v>6.0425182897792008E-3</v>
      </c>
    </row>
    <row r="40" spans="1:17">
      <c r="A40" s="1">
        <v>39</v>
      </c>
      <c r="B40" s="1" t="s">
        <v>4</v>
      </c>
      <c r="C40" s="1">
        <v>2.7713899745280499</v>
      </c>
      <c r="G40">
        <v>2.771389975</v>
      </c>
      <c r="H40">
        <v>3.455606323</v>
      </c>
      <c r="J40" t="s">
        <v>2432</v>
      </c>
      <c r="K40">
        <f>_xlfn.STDEV.S(H2:H133)</f>
        <v>0.39512951267163365</v>
      </c>
      <c r="L40">
        <v>4</v>
      </c>
      <c r="M40">
        <f t="shared" si="2"/>
        <v>2.3712233406842107</v>
      </c>
      <c r="O40">
        <v>2.2684651357894738</v>
      </c>
      <c r="P40">
        <v>0</v>
      </c>
      <c r="Q40">
        <f t="shared" si="3"/>
        <v>1.3424542065632733E-2</v>
      </c>
    </row>
    <row r="41" spans="1:17">
      <c r="A41" s="1">
        <v>40</v>
      </c>
      <c r="B41" s="1" t="s">
        <v>4</v>
      </c>
      <c r="C41" s="1">
        <v>3.5764683912631101</v>
      </c>
      <c r="G41">
        <v>3.5764683910000001</v>
      </c>
      <c r="H41">
        <v>3.4394762879999998</v>
      </c>
      <c r="J41" t="s">
        <v>2436</v>
      </c>
      <c r="K41">
        <v>20</v>
      </c>
      <c r="L41">
        <v>5</v>
      </c>
      <c r="M41">
        <f t="shared" si="2"/>
        <v>2.4739815455789476</v>
      </c>
      <c r="O41">
        <v>2.3712233406842107</v>
      </c>
      <c r="P41">
        <v>1</v>
      </c>
      <c r="Q41">
        <f t="shared" si="3"/>
        <v>2.7874600839272023E-2</v>
      </c>
    </row>
    <row r="42" spans="1:17">
      <c r="A42" s="1">
        <v>41</v>
      </c>
      <c r="B42" s="1" t="s">
        <v>4</v>
      </c>
      <c r="C42" s="1">
        <v>3.6698111537807101</v>
      </c>
      <c r="G42">
        <v>3.669811154</v>
      </c>
      <c r="H42">
        <v>2.5753243179999998</v>
      </c>
      <c r="J42" t="s">
        <v>2434</v>
      </c>
      <c r="K42">
        <f>(K37-K38)/19</f>
        <v>0.10275820489473683</v>
      </c>
      <c r="L42">
        <v>6</v>
      </c>
      <c r="M42">
        <f t="shared" si="2"/>
        <v>2.5767397504736844</v>
      </c>
      <c r="O42">
        <v>2.4739815455789476</v>
      </c>
      <c r="P42">
        <v>2</v>
      </c>
      <c r="Q42">
        <f t="shared" si="3"/>
        <v>5.4093552577896824E-2</v>
      </c>
    </row>
    <row r="43" spans="1:17">
      <c r="A43" s="1">
        <v>42</v>
      </c>
      <c r="B43" s="1" t="s">
        <v>4</v>
      </c>
      <c r="C43" s="1">
        <v>2.9003462727488798</v>
      </c>
      <c r="G43">
        <v>2.9003462729999998</v>
      </c>
      <c r="H43">
        <v>3.352732204</v>
      </c>
      <c r="L43">
        <v>7</v>
      </c>
      <c r="M43">
        <f t="shared" si="2"/>
        <v>2.6794979553684213</v>
      </c>
      <c r="O43">
        <v>2.5767397504736844</v>
      </c>
      <c r="P43">
        <v>3</v>
      </c>
      <c r="Q43">
        <f t="shared" si="3"/>
        <v>9.8109265086509231E-2</v>
      </c>
    </row>
    <row r="44" spans="1:17">
      <c r="A44" s="1">
        <v>43</v>
      </c>
      <c r="B44" s="1" t="s">
        <v>4</v>
      </c>
      <c r="C44" s="1">
        <v>3.5916591170776999</v>
      </c>
      <c r="G44">
        <v>3.5916591169999998</v>
      </c>
      <c r="H44">
        <v>3.577409244</v>
      </c>
      <c r="L44">
        <v>8</v>
      </c>
      <c r="M44">
        <f t="shared" si="2"/>
        <v>2.7822561602631581</v>
      </c>
      <c r="O44">
        <v>2.6794979553684213</v>
      </c>
      <c r="P44">
        <v>2</v>
      </c>
      <c r="Q44">
        <f t="shared" si="3"/>
        <v>0.16630381461684621</v>
      </c>
    </row>
    <row r="45" spans="1:17">
      <c r="A45" s="1">
        <v>44</v>
      </c>
      <c r="B45" s="1" t="s">
        <v>4</v>
      </c>
      <c r="C45" s="1">
        <v>3.6788588228696102</v>
      </c>
      <c r="G45">
        <v>3.6788588230000001</v>
      </c>
      <c r="H45">
        <v>3.6338758480000002</v>
      </c>
      <c r="L45">
        <v>9</v>
      </c>
      <c r="M45">
        <f t="shared" si="2"/>
        <v>2.885014365157895</v>
      </c>
      <c r="O45">
        <v>2.7822561602631581</v>
      </c>
      <c r="P45">
        <v>1</v>
      </c>
      <c r="Q45">
        <f t="shared" si="3"/>
        <v>0.26346447857568317</v>
      </c>
    </row>
    <row r="46" spans="1:17">
      <c r="A46" s="1">
        <v>45</v>
      </c>
      <c r="B46" s="1" t="s">
        <v>4</v>
      </c>
      <c r="C46" s="1">
        <v>3.1104669617495002</v>
      </c>
      <c r="G46">
        <v>3.1104669619999998</v>
      </c>
      <c r="H46">
        <v>3.6342910179999999</v>
      </c>
      <c r="L46">
        <v>10</v>
      </c>
      <c r="M46">
        <f t="shared" si="2"/>
        <v>2.9877725700526319</v>
      </c>
      <c r="O46">
        <v>2.885014365157895</v>
      </c>
      <c r="P46">
        <v>4</v>
      </c>
      <c r="Q46">
        <f t="shared" si="3"/>
        <v>0.39009429553620911</v>
      </c>
    </row>
    <row r="47" spans="1:17">
      <c r="A47" s="1">
        <v>46</v>
      </c>
      <c r="B47" s="1" t="s">
        <v>4</v>
      </c>
      <c r="C47" s="1">
        <v>3.5469074085986501</v>
      </c>
      <c r="G47">
        <v>3.5469074090000001</v>
      </c>
      <c r="H47">
        <v>3.6909031859999999</v>
      </c>
      <c r="L47">
        <v>11</v>
      </c>
      <c r="M47">
        <f t="shared" si="2"/>
        <v>3.0905307749473687</v>
      </c>
      <c r="O47">
        <v>2.9877725700526319</v>
      </c>
      <c r="P47">
        <v>3</v>
      </c>
      <c r="Q47">
        <f t="shared" si="3"/>
        <v>0.53981481517746632</v>
      </c>
    </row>
    <row r="48" spans="1:17">
      <c r="A48" s="1">
        <v>47</v>
      </c>
      <c r="B48" s="1" t="s">
        <v>4</v>
      </c>
      <c r="C48" s="1">
        <v>3.71453803842466</v>
      </c>
      <c r="G48">
        <v>3.7145380380000002</v>
      </c>
      <c r="H48">
        <v>3.622300407</v>
      </c>
      <c r="L48">
        <v>12</v>
      </c>
      <c r="M48">
        <f t="shared" si="2"/>
        <v>3.1932889798421056</v>
      </c>
      <c r="O48">
        <v>3.0905307749473687</v>
      </c>
      <c r="P48">
        <v>2</v>
      </c>
      <c r="Q48">
        <f t="shared" si="3"/>
        <v>0.69814827628741827</v>
      </c>
    </row>
    <row r="49" spans="1:17">
      <c r="A49" s="1">
        <v>48</v>
      </c>
      <c r="B49" s="1" t="s">
        <v>4</v>
      </c>
      <c r="C49" s="1">
        <v>2.7594211562540298</v>
      </c>
      <c r="G49">
        <v>2.7594211560000002</v>
      </c>
      <c r="H49">
        <v>3.6833567519999999</v>
      </c>
      <c r="L49">
        <v>13</v>
      </c>
      <c r="M49">
        <f t="shared" si="2"/>
        <v>3.2960471847368424</v>
      </c>
      <c r="O49">
        <v>3.1932889798421056</v>
      </c>
      <c r="P49">
        <v>6</v>
      </c>
      <c r="Q49">
        <f t="shared" si="3"/>
        <v>0.84387517514191301</v>
      </c>
    </row>
    <row r="50" spans="1:17">
      <c r="A50" s="1">
        <v>49</v>
      </c>
      <c r="B50" s="1" t="s">
        <v>4</v>
      </c>
      <c r="C50" s="1">
        <v>3.7564075292191599</v>
      </c>
      <c r="G50">
        <v>3.7564075290000001</v>
      </c>
      <c r="H50">
        <v>3.3931089220000001</v>
      </c>
      <c r="L50">
        <v>14</v>
      </c>
      <c r="M50">
        <f t="shared" si="2"/>
        <v>3.3988053896315793</v>
      </c>
      <c r="O50">
        <v>3.2960471847368424</v>
      </c>
      <c r="P50">
        <v>4</v>
      </c>
      <c r="Q50">
        <f t="shared" si="3"/>
        <v>0.95331499158672162</v>
      </c>
    </row>
    <row r="51" spans="1:17">
      <c r="A51" s="1">
        <v>50</v>
      </c>
      <c r="B51" s="1" t="s">
        <v>4</v>
      </c>
      <c r="C51" s="1">
        <v>3.5918500882152302</v>
      </c>
      <c r="G51">
        <v>3.5918500880000002</v>
      </c>
      <c r="H51">
        <v>3.0959147159999998</v>
      </c>
      <c r="L51">
        <v>15</v>
      </c>
      <c r="M51">
        <f t="shared" si="2"/>
        <v>3.5015635945263162</v>
      </c>
      <c r="O51">
        <v>3.3988053896315793</v>
      </c>
      <c r="P51">
        <v>12</v>
      </c>
      <c r="Q51">
        <f t="shared" si="3"/>
        <v>1.0065197585056627</v>
      </c>
    </row>
    <row r="52" spans="1:17">
      <c r="A52" s="1">
        <v>51</v>
      </c>
      <c r="B52" s="1" t="s">
        <v>4</v>
      </c>
      <c r="C52" s="1">
        <v>2.9736027255719399</v>
      </c>
      <c r="G52">
        <v>2.9736027260000002</v>
      </c>
      <c r="H52">
        <v>3.656103549</v>
      </c>
      <c r="L52">
        <v>16</v>
      </c>
      <c r="M52">
        <f t="shared" si="2"/>
        <v>3.604321799421053</v>
      </c>
      <c r="O52">
        <v>3.5015635945263162</v>
      </c>
      <c r="P52">
        <v>17</v>
      </c>
      <c r="Q52">
        <f t="shared" si="3"/>
        <v>0.99319804791659594</v>
      </c>
    </row>
    <row r="53" spans="1:17">
      <c r="A53" s="1">
        <v>52</v>
      </c>
      <c r="B53" s="1" t="s">
        <v>4</v>
      </c>
      <c r="C53" s="1">
        <v>3.5330015007239601</v>
      </c>
      <c r="G53">
        <v>3.5330015010000002</v>
      </c>
      <c r="H53">
        <v>3.4192380259999999</v>
      </c>
      <c r="L53">
        <v>17</v>
      </c>
      <c r="M53">
        <f t="shared" si="2"/>
        <v>3.7070800043157899</v>
      </c>
      <c r="O53">
        <v>3.604321799421053</v>
      </c>
      <c r="P53">
        <v>21</v>
      </c>
      <c r="Q53">
        <f t="shared" si="3"/>
        <v>0.91596120626792787</v>
      </c>
    </row>
    <row r="54" spans="1:17">
      <c r="A54" s="1">
        <v>53</v>
      </c>
      <c r="B54" s="1" t="s">
        <v>4</v>
      </c>
      <c r="C54" s="1">
        <v>3.6185244116813302</v>
      </c>
      <c r="G54">
        <v>3.6185244120000002</v>
      </c>
      <c r="H54">
        <v>3.8265511779999999</v>
      </c>
      <c r="L54">
        <v>18</v>
      </c>
      <c r="M54">
        <f t="shared" si="2"/>
        <v>3.8098382092105267</v>
      </c>
      <c r="O54">
        <v>3.7070800043157899</v>
      </c>
      <c r="P54">
        <v>22</v>
      </c>
      <c r="Q54">
        <f t="shared" si="3"/>
        <v>0.78948880115581199</v>
      </c>
    </row>
    <row r="55" spans="1:17">
      <c r="A55" s="1">
        <v>54</v>
      </c>
      <c r="B55" s="1" t="s">
        <v>4</v>
      </c>
      <c r="C55" s="1">
        <v>3.7459654130040998</v>
      </c>
      <c r="G55">
        <v>3.745965413</v>
      </c>
      <c r="H55">
        <v>3.6582677170000002</v>
      </c>
      <c r="L55">
        <v>19</v>
      </c>
      <c r="M55">
        <f t="shared" si="2"/>
        <v>3.9125964141052636</v>
      </c>
      <c r="O55">
        <v>3.8098382092105267</v>
      </c>
      <c r="P55">
        <v>17</v>
      </c>
      <c r="Q55">
        <f t="shared" si="3"/>
        <v>0.6359786522647034</v>
      </c>
    </row>
    <row r="56" spans="1:17">
      <c r="A56" s="1">
        <v>55</v>
      </c>
      <c r="B56" s="1" t="s">
        <v>4</v>
      </c>
      <c r="C56" s="1">
        <v>3.6174133668090498</v>
      </c>
      <c r="G56">
        <v>3.6174133670000002</v>
      </c>
      <c r="H56">
        <v>3.5701076349999998</v>
      </c>
      <c r="L56">
        <v>20</v>
      </c>
      <c r="M56">
        <f t="shared" si="2"/>
        <v>4.015354619</v>
      </c>
      <c r="O56">
        <v>3.9125964141052636</v>
      </c>
      <c r="P56">
        <v>9</v>
      </c>
      <c r="Q56">
        <f t="shared" si="3"/>
        <v>0.47881392549122681</v>
      </c>
    </row>
    <row r="57" spans="1:17">
      <c r="A57" s="1">
        <v>56</v>
      </c>
      <c r="B57" s="1" t="s">
        <v>4</v>
      </c>
      <c r="C57" s="1">
        <v>3.4762367620702901</v>
      </c>
      <c r="G57">
        <v>3.4762367620000001</v>
      </c>
      <c r="H57">
        <v>3.7028991649999998</v>
      </c>
      <c r="O57">
        <v>4.015354619</v>
      </c>
      <c r="P57">
        <v>4</v>
      </c>
      <c r="Q57">
        <f t="shared" si="3"/>
        <v>0.33691370510829938</v>
      </c>
    </row>
    <row r="58" spans="1:17" ht="17" thickBot="1">
      <c r="A58" s="1">
        <v>57</v>
      </c>
      <c r="B58" s="1" t="s">
        <v>4</v>
      </c>
      <c r="C58" s="1">
        <v>3.2204330611529701</v>
      </c>
      <c r="G58">
        <v>3.220433061</v>
      </c>
      <c r="H58">
        <v>3.876129438</v>
      </c>
      <c r="O58" s="27" t="s">
        <v>2439</v>
      </c>
      <c r="P58" s="27">
        <v>0</v>
      </c>
    </row>
    <row r="59" spans="1:17">
      <c r="A59" s="1">
        <v>58</v>
      </c>
      <c r="B59" s="1" t="s">
        <v>4</v>
      </c>
      <c r="C59" s="1">
        <v>3.68877430134618</v>
      </c>
      <c r="G59">
        <v>3.688774301</v>
      </c>
      <c r="H59">
        <v>3.3958565539999999</v>
      </c>
    </row>
    <row r="60" spans="1:17">
      <c r="A60" s="1">
        <v>59</v>
      </c>
      <c r="B60" s="1" t="s">
        <v>4</v>
      </c>
      <c r="C60" s="1">
        <v>3.5092435971862299</v>
      </c>
      <c r="G60">
        <v>3.5092435970000002</v>
      </c>
      <c r="H60">
        <v>3.6309816229999998</v>
      </c>
    </row>
    <row r="61" spans="1:17">
      <c r="A61" s="1">
        <v>60</v>
      </c>
      <c r="B61" s="1" t="s">
        <v>180</v>
      </c>
      <c r="C61" s="1">
        <v>3.8317514086712201</v>
      </c>
      <c r="G61">
        <v>3.5900447639999999</v>
      </c>
      <c r="H61">
        <v>3.1595100270000001</v>
      </c>
    </row>
    <row r="62" spans="1:17">
      <c r="A62" s="1">
        <v>61</v>
      </c>
      <c r="B62" s="1" t="s">
        <v>4</v>
      </c>
      <c r="C62" s="1">
        <v>3.59004476428</v>
      </c>
      <c r="G62">
        <v>3.4925946649999999</v>
      </c>
      <c r="H62">
        <v>3.6179912550000002</v>
      </c>
    </row>
    <row r="63" spans="1:17">
      <c r="A63" s="1">
        <v>62</v>
      </c>
      <c r="B63" s="1" t="s">
        <v>4</v>
      </c>
      <c r="C63" s="1">
        <v>3.4925946650417199</v>
      </c>
      <c r="G63">
        <v>3.3903762249999998</v>
      </c>
      <c r="H63">
        <v>3.5367053980000001</v>
      </c>
    </row>
    <row r="64" spans="1:17">
      <c r="A64" s="1">
        <v>63</v>
      </c>
      <c r="B64" s="1" t="s">
        <v>4</v>
      </c>
      <c r="C64" s="1">
        <v>3.3903762248317402</v>
      </c>
      <c r="G64">
        <v>2.716812054</v>
      </c>
      <c r="H64">
        <v>3.4513618099999999</v>
      </c>
    </row>
    <row r="65" spans="1:21">
      <c r="A65" s="1">
        <v>64</v>
      </c>
      <c r="B65" s="1" t="s">
        <v>4</v>
      </c>
      <c r="C65" s="1">
        <v>2.7168120540624399</v>
      </c>
      <c r="G65">
        <v>2.726278846</v>
      </c>
      <c r="H65">
        <v>3.432792498</v>
      </c>
    </row>
    <row r="66" spans="1:21" ht="17" thickBot="1">
      <c r="A66" s="1">
        <v>65</v>
      </c>
      <c r="B66" s="1" t="s">
        <v>4</v>
      </c>
      <c r="C66" s="1">
        <v>2.72627884640114</v>
      </c>
      <c r="G66">
        <v>2.3117745470000002</v>
      </c>
      <c r="H66">
        <v>3.5333257480000002</v>
      </c>
    </row>
    <row r="67" spans="1:21">
      <c r="A67" s="1">
        <v>66</v>
      </c>
      <c r="B67" s="1" t="s">
        <v>4</v>
      </c>
      <c r="C67" s="1">
        <v>2.3117745467716699</v>
      </c>
      <c r="G67">
        <v>3.6382855520000001</v>
      </c>
      <c r="H67">
        <v>3.8306583139999999</v>
      </c>
      <c r="O67" s="28"/>
      <c r="P67" s="28"/>
      <c r="T67" s="28"/>
      <c r="U67" s="28"/>
    </row>
    <row r="68" spans="1:21">
      <c r="A68" s="1">
        <v>67</v>
      </c>
      <c r="B68" s="1" t="s">
        <v>180</v>
      </c>
      <c r="C68" s="1">
        <v>3.7402350426074702</v>
      </c>
      <c r="G68">
        <v>2.4849869240000002</v>
      </c>
      <c r="H68">
        <v>3.2453587540000002</v>
      </c>
    </row>
    <row r="69" spans="1:21">
      <c r="A69" s="1">
        <v>68</v>
      </c>
      <c r="B69" s="1" t="s">
        <v>4</v>
      </c>
      <c r="C69" s="1">
        <v>3.6382855524684898</v>
      </c>
      <c r="G69">
        <v>3.5627108089999999</v>
      </c>
      <c r="H69">
        <v>3.85393389</v>
      </c>
    </row>
    <row r="70" spans="1:21">
      <c r="A70" s="1">
        <v>69</v>
      </c>
      <c r="B70" s="1" t="s">
        <v>4</v>
      </c>
      <c r="C70" s="1">
        <v>2.4849869238988802</v>
      </c>
      <c r="G70">
        <v>3.1732355299999999</v>
      </c>
      <c r="H70">
        <v>3.4201635499999998</v>
      </c>
    </row>
    <row r="71" spans="1:21">
      <c r="A71" s="1">
        <v>70</v>
      </c>
      <c r="B71" s="1" t="s">
        <v>4</v>
      </c>
      <c r="C71" s="1">
        <v>3.5627108085694101</v>
      </c>
      <c r="G71">
        <v>3.4523087000000001</v>
      </c>
      <c r="H71">
        <v>3.0150816269999998</v>
      </c>
    </row>
    <row r="72" spans="1:21">
      <c r="A72" s="1">
        <v>71</v>
      </c>
      <c r="B72" s="1" t="s">
        <v>4</v>
      </c>
      <c r="C72" s="1">
        <v>3.17323553030598</v>
      </c>
      <c r="G72">
        <v>2.7340721939999999</v>
      </c>
      <c r="H72">
        <v>2.9109747220000002</v>
      </c>
    </row>
    <row r="73" spans="1:21">
      <c r="A73" s="1">
        <v>72</v>
      </c>
      <c r="B73" s="1" t="s">
        <v>4</v>
      </c>
      <c r="C73" s="1">
        <v>3.4523086995269701</v>
      </c>
      <c r="G73">
        <v>3.7689993020000001</v>
      </c>
      <c r="H73">
        <v>3.766852487</v>
      </c>
    </row>
    <row r="74" spans="1:21">
      <c r="A74" s="1">
        <v>73</v>
      </c>
      <c r="B74" s="1" t="s">
        <v>4</v>
      </c>
      <c r="C74" s="1">
        <v>2.7340721936288199</v>
      </c>
      <c r="G74">
        <v>3.5208784529999999</v>
      </c>
      <c r="H74">
        <v>3.8160384139999999</v>
      </c>
    </row>
    <row r="75" spans="1:21">
      <c r="A75" s="1">
        <v>74</v>
      </c>
      <c r="B75" s="1" t="s">
        <v>4</v>
      </c>
      <c r="C75" s="1">
        <v>3.7689993022438899</v>
      </c>
      <c r="G75">
        <v>3.3246855360000001</v>
      </c>
      <c r="H75">
        <v>3.5177694380000002</v>
      </c>
    </row>
    <row r="76" spans="1:21">
      <c r="A76" s="1">
        <v>75</v>
      </c>
      <c r="B76" s="1" t="s">
        <v>4</v>
      </c>
      <c r="C76" s="1">
        <v>3.5208784533809099</v>
      </c>
      <c r="G76">
        <v>3.488808562</v>
      </c>
      <c r="H76">
        <v>3.5868282960000002</v>
      </c>
    </row>
    <row r="77" spans="1:21">
      <c r="A77" s="1">
        <v>76</v>
      </c>
      <c r="B77" s="1" t="s">
        <v>4</v>
      </c>
      <c r="C77" s="1">
        <v>3.3246855363013799</v>
      </c>
      <c r="G77">
        <v>3.6154240899999999</v>
      </c>
      <c r="H77">
        <v>3.701280127</v>
      </c>
    </row>
    <row r="78" spans="1:21">
      <c r="A78" s="1">
        <v>77</v>
      </c>
      <c r="B78" s="1" t="s">
        <v>4</v>
      </c>
      <c r="C78" s="1">
        <v>3.48880856199137</v>
      </c>
      <c r="G78">
        <v>3.6235477149999999</v>
      </c>
      <c r="H78">
        <v>2.0751695529999998</v>
      </c>
    </row>
    <row r="79" spans="1:21">
      <c r="A79" s="1">
        <v>78</v>
      </c>
      <c r="B79" s="1" t="s">
        <v>4</v>
      </c>
      <c r="C79" s="1">
        <v>3.61542408953563</v>
      </c>
      <c r="G79">
        <v>3.0767864029999998</v>
      </c>
      <c r="H79">
        <v>3.7443709260000002</v>
      </c>
    </row>
    <row r="80" spans="1:21">
      <c r="A80" s="1">
        <v>79</v>
      </c>
      <c r="B80" s="1" t="s">
        <v>4</v>
      </c>
      <c r="C80" s="1">
        <v>3.6235477146302002</v>
      </c>
      <c r="G80">
        <v>2.5689312200000001</v>
      </c>
      <c r="H80">
        <v>3.6821266210000001</v>
      </c>
    </row>
    <row r="81" spans="1:21">
      <c r="A81" s="1">
        <v>80</v>
      </c>
      <c r="B81" s="1" t="s">
        <v>4</v>
      </c>
      <c r="C81" s="1">
        <v>3.0767864026343599</v>
      </c>
      <c r="G81">
        <v>3.362358033</v>
      </c>
      <c r="H81">
        <v>3.5984096769999998</v>
      </c>
    </row>
    <row r="82" spans="1:21">
      <c r="A82" s="1">
        <v>81</v>
      </c>
      <c r="B82" s="1" t="s">
        <v>4</v>
      </c>
      <c r="C82" s="1">
        <v>2.56893122006562</v>
      </c>
      <c r="G82">
        <v>3.6762419080000002</v>
      </c>
      <c r="H82">
        <v>3.2065801409999999</v>
      </c>
    </row>
    <row r="83" spans="1:21">
      <c r="A83" s="1">
        <v>82</v>
      </c>
      <c r="B83" s="1" t="s">
        <v>4</v>
      </c>
      <c r="C83" s="1">
        <v>3.3623580330023999</v>
      </c>
      <c r="G83">
        <v>2.9479530920000001</v>
      </c>
      <c r="H83">
        <v>3.5970656289999998</v>
      </c>
    </row>
    <row r="84" spans="1:21">
      <c r="A84" s="1">
        <v>83</v>
      </c>
      <c r="B84" s="1" t="s">
        <v>4</v>
      </c>
      <c r="C84" s="1">
        <v>3.6762419077992199</v>
      </c>
      <c r="G84">
        <v>3.624940423</v>
      </c>
      <c r="H84">
        <v>3.3947980040000001</v>
      </c>
    </row>
    <row r="85" spans="1:21">
      <c r="A85" s="1">
        <v>84</v>
      </c>
      <c r="B85" s="1" t="s">
        <v>4</v>
      </c>
      <c r="C85" s="1">
        <v>2.9479530924956499</v>
      </c>
      <c r="G85">
        <v>3.330017131</v>
      </c>
      <c r="H85">
        <v>3.7513893239999998</v>
      </c>
    </row>
    <row r="86" spans="1:21">
      <c r="A86" s="1">
        <v>85</v>
      </c>
      <c r="B86" s="1" t="s">
        <v>4</v>
      </c>
      <c r="C86" s="1">
        <v>3.6249404225933701</v>
      </c>
      <c r="G86">
        <v>3.7320452390000001</v>
      </c>
      <c r="H86">
        <v>3.4314368559999999</v>
      </c>
    </row>
    <row r="87" spans="1:21">
      <c r="A87" s="1">
        <v>86</v>
      </c>
      <c r="B87" s="1" t="s">
        <v>4</v>
      </c>
      <c r="C87" s="1">
        <v>3.3300171311443298</v>
      </c>
      <c r="G87">
        <v>3.6350003489999998</v>
      </c>
      <c r="H87">
        <v>3.5434353729999999</v>
      </c>
    </row>
    <row r="88" spans="1:21" ht="17" thickBot="1">
      <c r="A88" s="1">
        <v>87</v>
      </c>
      <c r="B88" s="1" t="s">
        <v>4</v>
      </c>
      <c r="C88" s="1">
        <v>3.73204523901124</v>
      </c>
      <c r="G88">
        <v>2.493243659</v>
      </c>
      <c r="H88">
        <v>3.4148562889999998</v>
      </c>
      <c r="O88" s="27"/>
      <c r="P88" s="27"/>
      <c r="T88" s="27"/>
      <c r="U88" s="27"/>
    </row>
    <row r="89" spans="1:21">
      <c r="A89" s="1">
        <v>88</v>
      </c>
      <c r="B89" s="1" t="s">
        <v>4</v>
      </c>
      <c r="C89" s="1">
        <v>3.6350003487012601</v>
      </c>
      <c r="G89">
        <v>3.6691392569999999</v>
      </c>
      <c r="H89">
        <v>3.7570066999999998</v>
      </c>
    </row>
    <row r="90" spans="1:21">
      <c r="A90" s="1">
        <v>89</v>
      </c>
      <c r="B90" s="1" t="s">
        <v>4</v>
      </c>
      <c r="C90" s="1">
        <v>2.49324365877133</v>
      </c>
      <c r="G90">
        <v>3.6988751010000001</v>
      </c>
      <c r="H90">
        <v>2.83192756</v>
      </c>
    </row>
    <row r="91" spans="1:21">
      <c r="A91" s="1">
        <v>90</v>
      </c>
      <c r="B91" s="1" t="s">
        <v>4</v>
      </c>
      <c r="C91" s="1">
        <v>3.66913925699511</v>
      </c>
      <c r="G91">
        <v>3.6697592939999999</v>
      </c>
      <c r="H91">
        <v>3.7389148689999998</v>
      </c>
    </row>
    <row r="92" spans="1:21">
      <c r="A92" s="1">
        <v>91</v>
      </c>
      <c r="B92" s="1" t="s">
        <v>4</v>
      </c>
      <c r="C92" s="1">
        <v>3.6988751012782002</v>
      </c>
      <c r="G92">
        <v>3.5439891669999999</v>
      </c>
      <c r="H92">
        <v>2.2699703520000001</v>
      </c>
    </row>
    <row r="93" spans="1:21">
      <c r="A93" s="1">
        <v>92</v>
      </c>
      <c r="B93" s="1" t="s">
        <v>4</v>
      </c>
      <c r="C93" s="1">
        <v>3.66975929366486</v>
      </c>
      <c r="G93">
        <v>3.6247026560000002</v>
      </c>
      <c r="H93">
        <v>3.4140101170000001</v>
      </c>
    </row>
    <row r="94" spans="1:21">
      <c r="A94" s="1">
        <v>93</v>
      </c>
      <c r="B94" s="1" t="s">
        <v>4</v>
      </c>
      <c r="C94" s="1">
        <v>3.5439891666846699</v>
      </c>
      <c r="G94">
        <v>3.794912268</v>
      </c>
      <c r="H94">
        <v>3.6071608730000002</v>
      </c>
    </row>
    <row r="95" spans="1:21">
      <c r="A95" s="1">
        <v>94</v>
      </c>
      <c r="B95" s="1" t="s">
        <v>4</v>
      </c>
      <c r="C95" s="1">
        <v>3.6247026560572699</v>
      </c>
      <c r="G95">
        <v>3.6675488970000001</v>
      </c>
      <c r="H95">
        <v>2.8463532950000001</v>
      </c>
    </row>
    <row r="96" spans="1:21">
      <c r="A96" s="1">
        <v>95</v>
      </c>
      <c r="B96" s="1" t="s">
        <v>4</v>
      </c>
      <c r="C96" s="1">
        <v>3.7949122678776099</v>
      </c>
      <c r="G96">
        <v>3.8045230550000002</v>
      </c>
      <c r="H96">
        <v>3.9954355289999999</v>
      </c>
    </row>
    <row r="97" spans="1:8">
      <c r="A97" s="1">
        <v>96</v>
      </c>
      <c r="B97" s="1" t="s">
        <v>4</v>
      </c>
      <c r="C97" s="1">
        <v>3.6675488971968</v>
      </c>
      <c r="G97">
        <v>3.543634392</v>
      </c>
      <c r="H97">
        <v>3.6275666919999998</v>
      </c>
    </row>
    <row r="98" spans="1:8">
      <c r="A98" s="1">
        <v>97</v>
      </c>
      <c r="B98" s="1" t="s">
        <v>4</v>
      </c>
      <c r="C98" s="1">
        <v>3.80452305468024</v>
      </c>
      <c r="G98">
        <v>2.6011856500000001</v>
      </c>
      <c r="H98">
        <v>3.3752846999999999</v>
      </c>
    </row>
    <row r="99" spans="1:8">
      <c r="A99" s="1">
        <v>98</v>
      </c>
      <c r="B99" s="1" t="s">
        <v>4</v>
      </c>
      <c r="C99" s="1">
        <v>3.5436343918316502</v>
      </c>
      <c r="G99">
        <v>3.7027170730000001</v>
      </c>
      <c r="H99">
        <v>3.6940867220000002</v>
      </c>
    </row>
    <row r="100" spans="1:8">
      <c r="A100" s="1">
        <v>99</v>
      </c>
      <c r="B100" s="1" t="s">
        <v>4</v>
      </c>
      <c r="C100" s="1">
        <v>2.6011856501239201</v>
      </c>
      <c r="G100">
        <v>3.0156523229999999</v>
      </c>
      <c r="H100">
        <v>3.5953476800000002</v>
      </c>
    </row>
    <row r="101" spans="1:8">
      <c r="A101" s="1">
        <v>100</v>
      </c>
      <c r="B101" s="1" t="s">
        <v>4</v>
      </c>
      <c r="C101" s="1">
        <v>3.7027170728727299</v>
      </c>
      <c r="G101">
        <v>3.3167442089999999</v>
      </c>
      <c r="H101">
        <v>3.1929702990000002</v>
      </c>
    </row>
    <row r="102" spans="1:8">
      <c r="A102" s="1">
        <v>101</v>
      </c>
      <c r="B102" s="1" t="s">
        <v>4</v>
      </c>
      <c r="C102" s="1">
        <v>3.0156523226227701</v>
      </c>
      <c r="G102">
        <v>3.3196855439999999</v>
      </c>
      <c r="H102">
        <v>3.8880925569999998</v>
      </c>
    </row>
    <row r="103" spans="1:8">
      <c r="A103" s="1">
        <v>102</v>
      </c>
      <c r="B103" s="1" t="s">
        <v>4</v>
      </c>
      <c r="C103" s="1">
        <v>3.3167442093325099</v>
      </c>
      <c r="G103">
        <v>2.9119387130000001</v>
      </c>
      <c r="H103">
        <v>3.7131251789999999</v>
      </c>
    </row>
    <row r="104" spans="1:8">
      <c r="A104" s="1">
        <v>103</v>
      </c>
      <c r="B104" s="1" t="s">
        <v>4</v>
      </c>
      <c r="C104" s="1">
        <v>3.3196855443666502</v>
      </c>
      <c r="G104">
        <v>2.812949852</v>
      </c>
      <c r="H104">
        <v>3.1014643639999999</v>
      </c>
    </row>
    <row r="105" spans="1:8">
      <c r="A105" s="1">
        <v>104</v>
      </c>
      <c r="B105" s="1" t="s">
        <v>4</v>
      </c>
      <c r="C105" s="1">
        <v>2.9119387126924399</v>
      </c>
      <c r="G105">
        <v>3.3506179810000001</v>
      </c>
      <c r="H105">
        <v>2.8075890710000002</v>
      </c>
    </row>
    <row r="106" spans="1:8">
      <c r="A106" s="1">
        <v>105</v>
      </c>
      <c r="B106" s="1" t="s">
        <v>4</v>
      </c>
      <c r="C106" s="1">
        <v>2.81294985245898</v>
      </c>
      <c r="G106">
        <v>3.7885899300000001</v>
      </c>
      <c r="H106">
        <v>3.5351551890000001</v>
      </c>
    </row>
    <row r="107" spans="1:8">
      <c r="A107" s="1">
        <v>106</v>
      </c>
      <c r="B107" s="1" t="s">
        <v>4</v>
      </c>
      <c r="C107" s="1">
        <v>3.3506179809225598</v>
      </c>
      <c r="G107">
        <v>2.7321108889999999</v>
      </c>
      <c r="H107">
        <v>3.3816692650000002</v>
      </c>
    </row>
    <row r="108" spans="1:8">
      <c r="A108" s="1">
        <v>107</v>
      </c>
      <c r="B108" s="1" t="s">
        <v>4</v>
      </c>
      <c r="C108" s="1">
        <v>3.7885899299013102</v>
      </c>
      <c r="G108">
        <v>3.6454702010000002</v>
      </c>
      <c r="H108">
        <v>3.3649373950000001</v>
      </c>
    </row>
    <row r="109" spans="1:8">
      <c r="A109" s="1">
        <v>108</v>
      </c>
      <c r="B109" s="1" t="s">
        <v>4</v>
      </c>
      <c r="C109" s="1">
        <v>2.7321108885343399</v>
      </c>
      <c r="G109">
        <v>3.457181829</v>
      </c>
      <c r="H109">
        <v>3.6320762260000001</v>
      </c>
    </row>
    <row r="110" spans="1:8">
      <c r="A110" s="1">
        <v>109</v>
      </c>
      <c r="B110" s="1" t="s">
        <v>4</v>
      </c>
      <c r="C110" s="1">
        <v>3.6454702011774001</v>
      </c>
      <c r="G110">
        <v>2.165828817</v>
      </c>
      <c r="H110">
        <v>3.5117658270000001</v>
      </c>
    </row>
    <row r="111" spans="1:8">
      <c r="A111" s="1">
        <v>110</v>
      </c>
      <c r="B111" s="1" t="s">
        <v>4</v>
      </c>
      <c r="C111" s="1">
        <v>3.4571818288261902</v>
      </c>
      <c r="G111">
        <v>3.7496087189999998</v>
      </c>
      <c r="H111">
        <v>3.1228380310000001</v>
      </c>
    </row>
    <row r="112" spans="1:8">
      <c r="A112" s="1">
        <v>111</v>
      </c>
      <c r="B112" s="1" t="s">
        <v>4</v>
      </c>
      <c r="C112" s="1">
        <v>2.1658288168533901</v>
      </c>
      <c r="G112">
        <v>2.5580523049999999</v>
      </c>
      <c r="H112">
        <v>3.4476223070000001</v>
      </c>
    </row>
    <row r="113" spans="1:8">
      <c r="A113" s="1">
        <v>112</v>
      </c>
      <c r="B113" s="1" t="s">
        <v>4</v>
      </c>
      <c r="C113" s="1">
        <v>3.7496087194251899</v>
      </c>
      <c r="G113">
        <v>3.5886393980000002</v>
      </c>
      <c r="H113">
        <v>2.0629487260000001</v>
      </c>
    </row>
    <row r="114" spans="1:8">
      <c r="A114" s="1">
        <v>113</v>
      </c>
      <c r="B114" s="1" t="s">
        <v>4</v>
      </c>
      <c r="C114" s="1">
        <v>2.5580523048500599</v>
      </c>
      <c r="G114">
        <v>3.1034396019999999</v>
      </c>
      <c r="H114">
        <v>3.5974169140000001</v>
      </c>
    </row>
    <row r="115" spans="1:8">
      <c r="A115" s="1">
        <v>114</v>
      </c>
      <c r="B115" s="1" t="s">
        <v>4</v>
      </c>
      <c r="C115" s="1">
        <v>3.5886393981070501</v>
      </c>
      <c r="G115">
        <v>3.2471332780000002</v>
      </c>
      <c r="H115">
        <v>3.7351478760000001</v>
      </c>
    </row>
    <row r="116" spans="1:8">
      <c r="A116" s="1">
        <v>115</v>
      </c>
      <c r="B116" s="1" t="s">
        <v>4</v>
      </c>
      <c r="C116" s="1">
        <v>3.1034396016958299</v>
      </c>
      <c r="G116">
        <v>3.4249479819999999</v>
      </c>
      <c r="H116">
        <v>2.4007382860000002</v>
      </c>
    </row>
    <row r="117" spans="1:8">
      <c r="A117" s="1">
        <v>116</v>
      </c>
      <c r="B117" s="1" t="s">
        <v>4</v>
      </c>
      <c r="C117" s="1">
        <v>3.2471332779598598</v>
      </c>
      <c r="G117">
        <v>1.4626443339999999</v>
      </c>
      <c r="H117">
        <v>3.6766817679999999</v>
      </c>
    </row>
    <row r="118" spans="1:8">
      <c r="A118" s="1">
        <v>117</v>
      </c>
      <c r="B118" s="1" t="s">
        <v>4</v>
      </c>
      <c r="C118" s="1">
        <v>3.42494798161662</v>
      </c>
      <c r="G118">
        <v>3.2132205530000002</v>
      </c>
      <c r="H118">
        <v>3.7280580749999999</v>
      </c>
    </row>
    <row r="119" spans="1:8">
      <c r="A119" s="1">
        <v>118</v>
      </c>
      <c r="B119" s="1" t="s">
        <v>4</v>
      </c>
      <c r="C119" s="1">
        <v>1.46264433413574</v>
      </c>
      <c r="G119">
        <v>3.7060136809999999</v>
      </c>
      <c r="H119">
        <v>3.7457771000000002</v>
      </c>
    </row>
    <row r="120" spans="1:8">
      <c r="A120" s="1">
        <v>119</v>
      </c>
      <c r="B120" s="1" t="s">
        <v>4</v>
      </c>
      <c r="C120" s="1">
        <v>3.2132205533310101</v>
      </c>
      <c r="G120">
        <v>3.8384619639999999</v>
      </c>
      <c r="H120">
        <v>3.7616439449999999</v>
      </c>
    </row>
    <row r="121" spans="1:8">
      <c r="A121" s="1">
        <v>120</v>
      </c>
      <c r="B121" s="1" t="s">
        <v>4</v>
      </c>
      <c r="C121" s="1">
        <v>3.70601368059685</v>
      </c>
      <c r="G121">
        <v>2.8708816370000001</v>
      </c>
      <c r="H121">
        <v>3.7124724520000001</v>
      </c>
    </row>
    <row r="122" spans="1:8">
      <c r="A122" s="1">
        <v>121</v>
      </c>
      <c r="B122" s="1" t="s">
        <v>4</v>
      </c>
      <c r="C122" s="1">
        <v>3.83846196415523</v>
      </c>
      <c r="G122">
        <v>3.307364331</v>
      </c>
      <c r="H122">
        <v>3.3731972450000001</v>
      </c>
    </row>
    <row r="123" spans="1:8">
      <c r="A123" s="1">
        <v>122</v>
      </c>
      <c r="B123" s="1" t="s">
        <v>4</v>
      </c>
      <c r="C123" s="1">
        <v>2.8708816366305898</v>
      </c>
      <c r="G123">
        <v>3.5396271760000002</v>
      </c>
      <c r="H123">
        <v>2.5272911050000002</v>
      </c>
    </row>
    <row r="124" spans="1:8">
      <c r="A124" s="1">
        <v>123</v>
      </c>
      <c r="B124" s="1" t="s">
        <v>4</v>
      </c>
      <c r="C124" s="1">
        <v>3.3073643310456</v>
      </c>
      <c r="G124">
        <v>3.7309777099999999</v>
      </c>
      <c r="H124">
        <v>4.015354619</v>
      </c>
    </row>
    <row r="125" spans="1:8">
      <c r="A125" s="1">
        <v>124</v>
      </c>
      <c r="B125" s="1" t="s">
        <v>180</v>
      </c>
      <c r="C125" s="1">
        <v>3.5100369331663299</v>
      </c>
      <c r="G125">
        <v>3.31768324</v>
      </c>
      <c r="H125">
        <v>3.4298015560000001</v>
      </c>
    </row>
    <row r="126" spans="1:8">
      <c r="A126" s="1">
        <v>125</v>
      </c>
      <c r="B126" s="1" t="s">
        <v>4</v>
      </c>
      <c r="C126" s="1">
        <v>3.5396271762692599</v>
      </c>
      <c r="G126">
        <v>3.0290790090000002</v>
      </c>
      <c r="H126">
        <v>3.2965291849999998</v>
      </c>
    </row>
    <row r="127" spans="1:8">
      <c r="A127" s="1">
        <v>126</v>
      </c>
      <c r="B127" s="1" t="s">
        <v>4</v>
      </c>
      <c r="C127" s="1">
        <v>3.7309777097125898</v>
      </c>
      <c r="G127">
        <v>3.6272481029999999</v>
      </c>
      <c r="H127">
        <v>2.667276545</v>
      </c>
    </row>
    <row r="128" spans="1:8">
      <c r="A128" s="1">
        <v>127</v>
      </c>
      <c r="B128" s="1" t="s">
        <v>4</v>
      </c>
      <c r="C128" s="1">
        <v>3.31768324035317</v>
      </c>
      <c r="G128">
        <v>3.5239255119999999</v>
      </c>
      <c r="H128">
        <v>3.4994719500000002</v>
      </c>
    </row>
    <row r="129" spans="1:16">
      <c r="A129" s="1">
        <v>128</v>
      </c>
      <c r="B129" s="1" t="s">
        <v>4</v>
      </c>
      <c r="C129" s="1">
        <v>3.0290790092068498</v>
      </c>
      <c r="G129">
        <v>3.8454225609999999</v>
      </c>
      <c r="H129">
        <v>3.8582100079999999</v>
      </c>
    </row>
    <row r="130" spans="1:16">
      <c r="A130" s="1">
        <v>129</v>
      </c>
      <c r="B130" s="1" t="s">
        <v>4</v>
      </c>
      <c r="C130" s="1">
        <v>3.62724810292602</v>
      </c>
      <c r="G130">
        <v>3.4033410200000001</v>
      </c>
      <c r="H130">
        <v>3.7399905910000002</v>
      </c>
    </row>
    <row r="131" spans="1:16">
      <c r="A131" s="1">
        <v>130</v>
      </c>
      <c r="B131" s="1" t="s">
        <v>4</v>
      </c>
      <c r="C131" s="1">
        <v>3.5239255118889301</v>
      </c>
      <c r="G131">
        <v>2.3427050249999999</v>
      </c>
      <c r="H131">
        <v>2.689108869</v>
      </c>
      <c r="N131" s="24" t="s">
        <v>2422</v>
      </c>
      <c r="O131" s="24">
        <v>1.4626443339999999</v>
      </c>
      <c r="P131" s="24">
        <f t="shared" ref="P131:P151" si="4">_xlfn.NORM.DIST(O131,K$6,K$7,0)</f>
        <v>3.1417471900791041E-5</v>
      </c>
    </row>
    <row r="132" spans="1:16">
      <c r="A132" s="1">
        <v>131</v>
      </c>
      <c r="B132" s="1" t="s">
        <v>4</v>
      </c>
      <c r="C132" s="1">
        <v>3.8454225606863002</v>
      </c>
      <c r="G132">
        <v>3.743660701</v>
      </c>
      <c r="H132">
        <v>3.3174490790000002</v>
      </c>
      <c r="N132" s="24" t="s">
        <v>2422</v>
      </c>
      <c r="O132" s="24">
        <v>1.6063601558</v>
      </c>
      <c r="P132" s="24">
        <f t="shared" si="4"/>
        <v>1.4730967734710002E-4</v>
      </c>
    </row>
    <row r="133" spans="1:16">
      <c r="A133" s="1">
        <v>132</v>
      </c>
      <c r="B133" s="1" t="s">
        <v>4</v>
      </c>
      <c r="C133" s="1">
        <v>3.4033410197583298</v>
      </c>
      <c r="G133">
        <v>2.506515807</v>
      </c>
      <c r="H133">
        <v>3.580783152</v>
      </c>
      <c r="N133" s="24" t="s">
        <v>2422</v>
      </c>
      <c r="O133" s="24">
        <v>1.7500759776000001</v>
      </c>
      <c r="P133" s="24">
        <f t="shared" si="4"/>
        <v>6.0962633824602694E-4</v>
      </c>
    </row>
    <row r="134" spans="1:16">
      <c r="A134" s="1">
        <v>133</v>
      </c>
      <c r="B134" s="1" t="s">
        <v>4</v>
      </c>
      <c r="C134" s="1">
        <v>2.34270502537714</v>
      </c>
      <c r="G134">
        <v>2.613545513</v>
      </c>
      <c r="N134" s="24" t="s">
        <v>2422</v>
      </c>
      <c r="O134" s="24">
        <v>1.8937917994000002</v>
      </c>
      <c r="P134" s="24">
        <f t="shared" si="4"/>
        <v>2.2267351585524581E-3</v>
      </c>
    </row>
    <row r="135" spans="1:16">
      <c r="A135" s="1">
        <v>134</v>
      </c>
      <c r="B135" s="1" t="s">
        <v>4</v>
      </c>
      <c r="C135" s="1">
        <v>3.7436607008151799</v>
      </c>
      <c r="G135">
        <v>3.3626808709999998</v>
      </c>
      <c r="N135" s="24" t="s">
        <v>2422</v>
      </c>
      <c r="O135" s="24">
        <v>2.0375076212000001</v>
      </c>
      <c r="P135" s="24">
        <f t="shared" si="4"/>
        <v>7.1787001174289542E-3</v>
      </c>
    </row>
    <row r="136" spans="1:16">
      <c r="A136" s="1">
        <v>135</v>
      </c>
      <c r="B136" s="1" t="s">
        <v>4</v>
      </c>
      <c r="C136" s="1">
        <v>2.50651580676826</v>
      </c>
      <c r="G136">
        <v>3.7330290779999999</v>
      </c>
      <c r="N136" s="24" t="s">
        <v>2422</v>
      </c>
      <c r="O136" s="24">
        <v>2.1812234429999999</v>
      </c>
      <c r="P136" s="24">
        <f t="shared" si="4"/>
        <v>2.0426570505409608E-2</v>
      </c>
    </row>
    <row r="137" spans="1:16">
      <c r="A137" s="1">
        <v>136</v>
      </c>
      <c r="B137" s="1" t="s">
        <v>180</v>
      </c>
      <c r="C137" s="1">
        <v>3.31755210526683</v>
      </c>
      <c r="G137">
        <v>3.8049235669999999</v>
      </c>
      <c r="N137" s="24" t="s">
        <v>2422</v>
      </c>
      <c r="O137" s="24">
        <v>2.3249392647999998</v>
      </c>
      <c r="P137" s="24">
        <f t="shared" si="4"/>
        <v>5.1300016407351809E-2</v>
      </c>
    </row>
    <row r="138" spans="1:16">
      <c r="A138" s="1">
        <v>137</v>
      </c>
      <c r="B138" s="1" t="s">
        <v>4</v>
      </c>
      <c r="C138" s="1">
        <v>2.6135455125718101</v>
      </c>
      <c r="G138">
        <v>3.023013363</v>
      </c>
      <c r="N138" s="24" t="s">
        <v>2422</v>
      </c>
      <c r="O138" s="24">
        <v>2.4686550865999997</v>
      </c>
      <c r="P138" s="24">
        <f t="shared" si="4"/>
        <v>0.11371348021119403</v>
      </c>
    </row>
    <row r="139" spans="1:16">
      <c r="A139" s="1">
        <v>138</v>
      </c>
      <c r="B139" s="1" t="s">
        <v>4</v>
      </c>
      <c r="C139" s="1">
        <v>3.36268087057638</v>
      </c>
      <c r="G139">
        <v>3.479602018</v>
      </c>
      <c r="N139" s="24" t="s">
        <v>2422</v>
      </c>
      <c r="O139" s="24">
        <v>2.6123709083999995</v>
      </c>
      <c r="P139" s="24">
        <f t="shared" si="4"/>
        <v>0.22247376236052055</v>
      </c>
    </row>
    <row r="140" spans="1:16">
      <c r="A140" s="1">
        <v>139</v>
      </c>
      <c r="B140" s="1" t="s">
        <v>4</v>
      </c>
      <c r="C140" s="1">
        <v>3.7330290778139998</v>
      </c>
      <c r="G140">
        <v>3.0137809619999998</v>
      </c>
      <c r="N140" s="24" t="s">
        <v>2422</v>
      </c>
      <c r="O140" s="24">
        <v>2.7560867301999994</v>
      </c>
      <c r="P140" s="24">
        <f t="shared" si="4"/>
        <v>0.38416522383789647</v>
      </c>
    </row>
    <row r="141" spans="1:16">
      <c r="A141" s="1">
        <v>140</v>
      </c>
      <c r="B141" s="1" t="s">
        <v>4</v>
      </c>
      <c r="C141" s="1">
        <v>3.8049235670673101</v>
      </c>
      <c r="G141">
        <v>3.373068371</v>
      </c>
      <c r="N141" s="24" t="s">
        <v>2422</v>
      </c>
      <c r="O141" s="24">
        <v>2.8998025519999993</v>
      </c>
      <c r="P141" s="24">
        <f t="shared" si="4"/>
        <v>0.58550377268167053</v>
      </c>
    </row>
    <row r="142" spans="1:16">
      <c r="A142" s="1">
        <v>141</v>
      </c>
      <c r="B142" s="1" t="s">
        <v>4</v>
      </c>
      <c r="C142" s="1">
        <v>3.0230133626761702</v>
      </c>
      <c r="G142">
        <v>3.8022943480000002</v>
      </c>
      <c r="N142" s="24" t="s">
        <v>2422</v>
      </c>
      <c r="O142" s="24">
        <v>3.0435183737999991</v>
      </c>
      <c r="P142" s="24">
        <f t="shared" si="4"/>
        <v>0.7876145818795518</v>
      </c>
    </row>
    <row r="143" spans="1:16">
      <c r="A143" s="1">
        <v>142</v>
      </c>
      <c r="B143" s="1" t="s">
        <v>4</v>
      </c>
      <c r="C143" s="1">
        <v>3.4796020183297802</v>
      </c>
      <c r="G143">
        <v>3.3962993589999999</v>
      </c>
      <c r="N143" s="24" t="s">
        <v>2422</v>
      </c>
      <c r="O143" s="24">
        <v>3.187234195599999</v>
      </c>
      <c r="P143" s="24">
        <f t="shared" si="4"/>
        <v>0.93512614402973648</v>
      </c>
    </row>
    <row r="144" spans="1:16">
      <c r="A144" s="1">
        <v>143</v>
      </c>
      <c r="B144" s="1" t="s">
        <v>4</v>
      </c>
      <c r="C144" s="1">
        <v>3.0137809619939602</v>
      </c>
      <c r="G144">
        <v>3.4248230930000001</v>
      </c>
      <c r="N144" s="24" t="s">
        <v>2422</v>
      </c>
      <c r="O144" s="24">
        <v>3.3309500173999989</v>
      </c>
      <c r="P144" s="24">
        <f t="shared" si="4"/>
        <v>0.97993901933644023</v>
      </c>
    </row>
    <row r="145" spans="1:16">
      <c r="A145" s="1">
        <v>144</v>
      </c>
      <c r="B145" s="1" t="s">
        <v>4</v>
      </c>
      <c r="C145" s="1">
        <v>3.3730683706479998</v>
      </c>
      <c r="G145">
        <v>3.602363408</v>
      </c>
      <c r="N145" s="24" t="s">
        <v>2422</v>
      </c>
      <c r="O145" s="24">
        <v>3.4746658391999987</v>
      </c>
      <c r="P145" s="24">
        <f t="shared" si="4"/>
        <v>0.90635910788675855</v>
      </c>
    </row>
    <row r="146" spans="1:16">
      <c r="A146" s="1">
        <v>145</v>
      </c>
      <c r="B146" s="1" t="s">
        <v>4</v>
      </c>
      <c r="C146" s="1">
        <v>3.8022943479089202</v>
      </c>
      <c r="G146">
        <v>3.564656474</v>
      </c>
      <c r="N146" s="24" t="s">
        <v>2422</v>
      </c>
      <c r="O146" s="24">
        <v>3.6183816609999986</v>
      </c>
      <c r="P146" s="24">
        <f t="shared" si="4"/>
        <v>0.73990158299376307</v>
      </c>
    </row>
    <row r="147" spans="1:16">
      <c r="A147" s="1">
        <v>146</v>
      </c>
      <c r="B147" s="1" t="s">
        <v>180</v>
      </c>
      <c r="C147" s="1">
        <v>2.3989023636612101</v>
      </c>
      <c r="G147">
        <v>3.0830576199999999</v>
      </c>
      <c r="N147" s="24" t="s">
        <v>2422</v>
      </c>
      <c r="O147" s="24">
        <v>3.7620974827999984</v>
      </c>
      <c r="P147" s="24">
        <f t="shared" si="4"/>
        <v>0.53311390526089131</v>
      </c>
    </row>
    <row r="148" spans="1:16">
      <c r="A148" s="1">
        <v>147</v>
      </c>
      <c r="B148" s="1" t="s">
        <v>4</v>
      </c>
      <c r="C148" s="1">
        <v>3.3962993589058299</v>
      </c>
      <c r="G148">
        <v>3.6285371890000002</v>
      </c>
      <c r="N148" s="24" t="s">
        <v>2422</v>
      </c>
      <c r="O148" s="24">
        <v>3.9058133045999983</v>
      </c>
      <c r="P148" s="24">
        <f t="shared" si="4"/>
        <v>0.3390302618625195</v>
      </c>
    </row>
    <row r="149" spans="1:16">
      <c r="A149" s="1">
        <v>148</v>
      </c>
      <c r="B149" s="1" t="s">
        <v>4</v>
      </c>
      <c r="C149" s="1">
        <v>3.4248230931371801</v>
      </c>
      <c r="G149">
        <v>3.4453070690000001</v>
      </c>
      <c r="N149" s="24" t="s">
        <v>2422</v>
      </c>
      <c r="O149" s="24">
        <v>4.0495291263999986</v>
      </c>
      <c r="P149" s="24">
        <f t="shared" si="4"/>
        <v>0.19029585142641431</v>
      </c>
    </row>
    <row r="150" spans="1:16">
      <c r="A150" s="1">
        <v>149</v>
      </c>
      <c r="B150" s="1" t="s">
        <v>4</v>
      </c>
      <c r="C150" s="1">
        <v>3.6023634080147899</v>
      </c>
      <c r="G150">
        <v>3.6267412220000002</v>
      </c>
      <c r="N150" s="24" t="s">
        <v>2422</v>
      </c>
      <c r="O150" s="24">
        <v>4.1932449481999985</v>
      </c>
      <c r="P150" s="24">
        <f t="shared" si="4"/>
        <v>9.4274139414772251E-2</v>
      </c>
    </row>
    <row r="151" spans="1:16">
      <c r="A151" s="1">
        <v>150</v>
      </c>
      <c r="B151" s="1" t="s">
        <v>4</v>
      </c>
      <c r="C151" s="1">
        <v>3.5646564742354401</v>
      </c>
      <c r="G151">
        <v>2.5229139420000002</v>
      </c>
      <c r="N151" s="24" t="s">
        <v>2422</v>
      </c>
      <c r="O151" s="24">
        <v>4.3369607699999984</v>
      </c>
      <c r="P151" s="24">
        <f t="shared" si="4"/>
        <v>4.1221921648648269E-2</v>
      </c>
    </row>
    <row r="152" spans="1:16">
      <c r="A152" s="1">
        <v>151</v>
      </c>
      <c r="B152" s="1" t="s">
        <v>4</v>
      </c>
      <c r="C152" s="1">
        <v>3.0830576201299298</v>
      </c>
      <c r="G152">
        <v>3.6188562219999998</v>
      </c>
      <c r="N152" s="24" t="s">
        <v>2423</v>
      </c>
      <c r="O152" s="24">
        <v>2.0629487260000001</v>
      </c>
      <c r="P152" s="24">
        <v>2.5419332246914695E-3</v>
      </c>
    </row>
    <row r="153" spans="1:16">
      <c r="A153" s="1">
        <v>152</v>
      </c>
      <c r="B153" s="1" t="s">
        <v>4</v>
      </c>
      <c r="C153" s="1">
        <v>3.6285371889833602</v>
      </c>
      <c r="G153">
        <v>3.4446227930000002</v>
      </c>
      <c r="N153" s="24" t="s">
        <v>2423</v>
      </c>
      <c r="O153" s="24">
        <v>2.165706930894737</v>
      </c>
      <c r="P153" s="24">
        <v>6.0425182897792008E-3</v>
      </c>
    </row>
    <row r="154" spans="1:16">
      <c r="A154" s="1">
        <v>153</v>
      </c>
      <c r="B154" s="1" t="s">
        <v>4</v>
      </c>
      <c r="C154" s="1">
        <v>3.4453070689853398</v>
      </c>
      <c r="G154">
        <v>2.4468933430000002</v>
      </c>
      <c r="N154" s="24" t="s">
        <v>2423</v>
      </c>
      <c r="O154" s="24">
        <v>2.2684651357894738</v>
      </c>
      <c r="P154" s="24">
        <v>1.3424542065632733E-2</v>
      </c>
    </row>
    <row r="155" spans="1:16">
      <c r="A155" s="1">
        <v>154</v>
      </c>
      <c r="B155" s="1" t="s">
        <v>4</v>
      </c>
      <c r="C155" s="1">
        <v>3.6267412220883699</v>
      </c>
      <c r="G155">
        <v>3.5496628499999998</v>
      </c>
      <c r="N155" s="24" t="s">
        <v>2423</v>
      </c>
      <c r="O155" s="24">
        <v>2.3712233406842107</v>
      </c>
      <c r="P155" s="24">
        <v>2.7874600839272023E-2</v>
      </c>
    </row>
    <row r="156" spans="1:16">
      <c r="A156" s="1">
        <v>155</v>
      </c>
      <c r="B156" s="1" t="s">
        <v>4</v>
      </c>
      <c r="C156" s="1">
        <v>2.5229139415557502</v>
      </c>
      <c r="G156">
        <v>3.4910858349999998</v>
      </c>
      <c r="N156" s="24" t="s">
        <v>2423</v>
      </c>
      <c r="O156" s="24">
        <v>2.4739815455789476</v>
      </c>
      <c r="P156" s="24">
        <v>5.4093552577896824E-2</v>
      </c>
    </row>
    <row r="157" spans="1:16">
      <c r="A157" s="1">
        <v>156</v>
      </c>
      <c r="B157" s="1" t="s">
        <v>4</v>
      </c>
      <c r="C157" s="1">
        <v>3.61885622221804</v>
      </c>
      <c r="G157">
        <v>3.4062358850000001</v>
      </c>
      <c r="N157" s="24" t="s">
        <v>2423</v>
      </c>
      <c r="O157" s="24">
        <v>2.5767397504736844</v>
      </c>
      <c r="P157" s="24">
        <v>9.8109265086509231E-2</v>
      </c>
    </row>
    <row r="158" spans="1:16">
      <c r="A158" s="1">
        <v>157</v>
      </c>
      <c r="B158" s="1" t="s">
        <v>4</v>
      </c>
      <c r="C158" s="1">
        <v>3.4446227926290498</v>
      </c>
      <c r="G158">
        <v>2.8054400390000001</v>
      </c>
      <c r="N158" s="24" t="s">
        <v>2423</v>
      </c>
      <c r="O158" s="24">
        <v>2.6794979553684213</v>
      </c>
      <c r="P158" s="24">
        <v>0.16630381461684621</v>
      </c>
    </row>
    <row r="159" spans="1:16">
      <c r="A159" s="1">
        <v>158</v>
      </c>
      <c r="B159" s="1" t="s">
        <v>4</v>
      </c>
      <c r="C159" s="1">
        <v>2.44689334276128</v>
      </c>
      <c r="G159">
        <v>3.447800118</v>
      </c>
      <c r="N159" s="24" t="s">
        <v>2423</v>
      </c>
      <c r="O159" s="24">
        <v>2.7822561602631581</v>
      </c>
      <c r="P159" s="24">
        <v>0.26346447857568317</v>
      </c>
    </row>
    <row r="160" spans="1:16">
      <c r="A160" s="1">
        <v>159</v>
      </c>
      <c r="B160" s="1" t="s">
        <v>4</v>
      </c>
      <c r="C160" s="1">
        <v>3.5496628500555598</v>
      </c>
      <c r="G160">
        <v>2.8127614740000002</v>
      </c>
      <c r="N160" s="24" t="s">
        <v>2423</v>
      </c>
      <c r="O160" s="24">
        <v>2.885014365157895</v>
      </c>
      <c r="P160" s="24">
        <v>0.39009429553620911</v>
      </c>
    </row>
    <row r="161" spans="1:16">
      <c r="A161" s="1">
        <v>160</v>
      </c>
      <c r="B161" s="1" t="s">
        <v>4</v>
      </c>
      <c r="C161" s="1">
        <v>3.4910858353663499</v>
      </c>
      <c r="G161">
        <v>3.007978488</v>
      </c>
      <c r="N161" s="24" t="s">
        <v>2423</v>
      </c>
      <c r="O161" s="24">
        <v>2.9877725700526319</v>
      </c>
      <c r="P161" s="24">
        <v>0.53981481517746632</v>
      </c>
    </row>
    <row r="162" spans="1:16">
      <c r="A162" s="1">
        <v>161</v>
      </c>
      <c r="B162" s="1" t="s">
        <v>4</v>
      </c>
      <c r="C162" s="1">
        <v>3.40623588534487</v>
      </c>
      <c r="G162">
        <v>3.6650480989999998</v>
      </c>
      <c r="N162" s="24" t="s">
        <v>2423</v>
      </c>
      <c r="O162" s="24">
        <v>3.0905307749473687</v>
      </c>
      <c r="P162" s="24">
        <v>0.69814827628741827</v>
      </c>
    </row>
    <row r="163" spans="1:16">
      <c r="A163" s="1">
        <v>162</v>
      </c>
      <c r="B163" s="1" t="s">
        <v>4</v>
      </c>
      <c r="C163" s="1">
        <v>2.8054400391420402</v>
      </c>
      <c r="G163">
        <v>2.7301588579999998</v>
      </c>
      <c r="N163" s="24" t="s">
        <v>2423</v>
      </c>
      <c r="O163" s="24">
        <v>3.1932889798421056</v>
      </c>
      <c r="P163" s="24">
        <v>0.84387517514191301</v>
      </c>
    </row>
    <row r="164" spans="1:16">
      <c r="A164" s="1">
        <v>163</v>
      </c>
      <c r="B164" s="1" t="s">
        <v>4</v>
      </c>
      <c r="C164" s="1">
        <v>3.4478001177885802</v>
      </c>
      <c r="G164">
        <v>3.4609787750000001</v>
      </c>
      <c r="N164" s="24" t="s">
        <v>2423</v>
      </c>
      <c r="O164" s="24">
        <v>3.2960471847368424</v>
      </c>
      <c r="P164" s="24">
        <v>0.95331499158672162</v>
      </c>
    </row>
    <row r="165" spans="1:16">
      <c r="A165" s="1">
        <v>164</v>
      </c>
      <c r="B165" s="1" t="s">
        <v>4</v>
      </c>
      <c r="C165" s="1">
        <v>2.8127614736028499</v>
      </c>
      <c r="G165">
        <v>3.7723083060000002</v>
      </c>
      <c r="N165" s="24" t="s">
        <v>2423</v>
      </c>
      <c r="O165" s="24">
        <v>3.3988053896315793</v>
      </c>
      <c r="P165" s="24">
        <v>1.0065197585056627</v>
      </c>
    </row>
    <row r="166" spans="1:16">
      <c r="A166" s="1">
        <v>165</v>
      </c>
      <c r="B166" s="1" t="s">
        <v>4</v>
      </c>
      <c r="C166" s="1">
        <v>3.00797848762241</v>
      </c>
      <c r="G166">
        <v>3.5824827560000001</v>
      </c>
      <c r="N166" s="24" t="s">
        <v>2423</v>
      </c>
      <c r="O166" s="24">
        <v>3.5015635945263162</v>
      </c>
      <c r="P166" s="24">
        <v>0.99319804791659594</v>
      </c>
    </row>
    <row r="167" spans="1:16">
      <c r="A167" s="1">
        <v>166</v>
      </c>
      <c r="B167" s="1" t="s">
        <v>4</v>
      </c>
      <c r="C167" s="1">
        <v>3.6650480988979899</v>
      </c>
      <c r="G167">
        <v>3.423073472</v>
      </c>
      <c r="N167" s="24" t="s">
        <v>2423</v>
      </c>
      <c r="O167" s="24">
        <v>3.604321799421053</v>
      </c>
      <c r="P167" s="24">
        <v>0.91596120626792787</v>
      </c>
    </row>
    <row r="168" spans="1:16">
      <c r="A168" s="1">
        <v>167</v>
      </c>
      <c r="B168" s="1" t="s">
        <v>4</v>
      </c>
      <c r="C168" s="1">
        <v>2.73015885773391</v>
      </c>
      <c r="G168">
        <v>3.7998143600000001</v>
      </c>
      <c r="N168" s="24" t="s">
        <v>2423</v>
      </c>
      <c r="O168" s="24">
        <v>3.7070800043157899</v>
      </c>
      <c r="P168" s="24">
        <v>0.78948880115581199</v>
      </c>
    </row>
    <row r="169" spans="1:16">
      <c r="A169" s="1">
        <v>168</v>
      </c>
      <c r="B169" s="1" t="s">
        <v>4</v>
      </c>
      <c r="C169" s="1">
        <v>3.4609787749844099</v>
      </c>
      <c r="G169">
        <v>2.4854125900000001</v>
      </c>
      <c r="N169" s="24" t="s">
        <v>2423</v>
      </c>
      <c r="O169" s="24">
        <v>3.8098382092105267</v>
      </c>
      <c r="P169" s="24">
        <v>0.6359786522647034</v>
      </c>
    </row>
    <row r="170" spans="1:16">
      <c r="A170" s="1">
        <v>169</v>
      </c>
      <c r="B170" s="1" t="s">
        <v>4</v>
      </c>
      <c r="C170" s="1">
        <v>3.7723083056851898</v>
      </c>
      <c r="G170">
        <v>3.6592123449999998</v>
      </c>
      <c r="N170" s="24" t="s">
        <v>2423</v>
      </c>
      <c r="O170" s="24">
        <v>3.9125964141052636</v>
      </c>
      <c r="P170" s="24">
        <v>0.47881392549122681</v>
      </c>
    </row>
    <row r="171" spans="1:16">
      <c r="A171" s="1">
        <v>170</v>
      </c>
      <c r="B171" s="1" t="s">
        <v>4</v>
      </c>
      <c r="C171" s="1">
        <v>3.5824827561377899</v>
      </c>
      <c r="G171">
        <v>2.8598179539999999</v>
      </c>
      <c r="N171" s="24" t="s">
        <v>2423</v>
      </c>
      <c r="O171" s="24">
        <v>4.015354619</v>
      </c>
      <c r="P171" s="24">
        <v>0.33691370510829938</v>
      </c>
    </row>
    <row r="172" spans="1:16">
      <c r="A172" s="1">
        <v>171</v>
      </c>
      <c r="B172" s="1" t="s">
        <v>4</v>
      </c>
      <c r="C172" s="1">
        <v>3.4230734723470602</v>
      </c>
      <c r="G172">
        <v>3.7558607259999999</v>
      </c>
    </row>
    <row r="173" spans="1:16">
      <c r="A173" s="1">
        <v>172</v>
      </c>
      <c r="B173" s="1" t="s">
        <v>4</v>
      </c>
      <c r="C173" s="1">
        <v>3.79981435966535</v>
      </c>
      <c r="G173">
        <v>2.3248136939999999</v>
      </c>
    </row>
    <row r="174" spans="1:16">
      <c r="A174" s="1">
        <v>173</v>
      </c>
      <c r="B174" s="1" t="s">
        <v>4</v>
      </c>
      <c r="C174" s="1">
        <v>2.4854125895846</v>
      </c>
      <c r="G174">
        <v>3.7418617439999999</v>
      </c>
    </row>
    <row r="175" spans="1:16">
      <c r="A175" s="1">
        <v>174</v>
      </c>
      <c r="B175" s="1" t="s">
        <v>4</v>
      </c>
      <c r="C175" s="1">
        <v>3.6592123452804599</v>
      </c>
      <c r="G175">
        <v>3.5968324709999999</v>
      </c>
    </row>
    <row r="176" spans="1:16">
      <c r="A176" s="1">
        <v>175</v>
      </c>
      <c r="B176" s="1" t="s">
        <v>4</v>
      </c>
      <c r="C176" s="1">
        <v>2.8598179536741402</v>
      </c>
      <c r="G176">
        <v>3.661024748</v>
      </c>
    </row>
    <row r="177" spans="1:7">
      <c r="A177" s="1">
        <v>176</v>
      </c>
      <c r="B177" s="1" t="s">
        <v>4</v>
      </c>
      <c r="C177" s="1">
        <v>3.7558607257137</v>
      </c>
      <c r="G177">
        <v>3.7977054080000001</v>
      </c>
    </row>
    <row r="178" spans="1:7">
      <c r="A178" s="1">
        <v>177</v>
      </c>
      <c r="B178" s="1" t="s">
        <v>4</v>
      </c>
      <c r="C178" s="1">
        <v>2.3248136940609898</v>
      </c>
      <c r="G178">
        <v>3.4924301400000002</v>
      </c>
    </row>
    <row r="179" spans="1:7">
      <c r="A179" s="1">
        <v>178</v>
      </c>
      <c r="B179" s="1" t="s">
        <v>4</v>
      </c>
      <c r="C179" s="1">
        <v>3.7418617439543298</v>
      </c>
      <c r="G179">
        <v>3.8571437990000002</v>
      </c>
    </row>
    <row r="180" spans="1:7">
      <c r="A180" s="1">
        <v>179</v>
      </c>
      <c r="B180" s="1" t="s">
        <v>4</v>
      </c>
      <c r="C180" s="1">
        <v>3.5968324706082</v>
      </c>
      <c r="G180">
        <v>3.5586762470000002</v>
      </c>
    </row>
    <row r="181" spans="1:7">
      <c r="A181" s="1">
        <v>180</v>
      </c>
      <c r="B181" s="1" t="s">
        <v>4</v>
      </c>
      <c r="C181" s="1">
        <v>3.6610247478409201</v>
      </c>
      <c r="G181">
        <v>2.857633538</v>
      </c>
    </row>
    <row r="182" spans="1:7">
      <c r="A182" s="1">
        <v>181</v>
      </c>
      <c r="B182" s="1" t="s">
        <v>4</v>
      </c>
      <c r="C182" s="1">
        <v>3.7977054078250498</v>
      </c>
      <c r="G182">
        <v>3.2061837139999998</v>
      </c>
    </row>
    <row r="183" spans="1:7">
      <c r="A183" s="1">
        <v>182</v>
      </c>
      <c r="B183" s="1" t="s">
        <v>4</v>
      </c>
      <c r="C183" s="1">
        <v>3.4924301403949198</v>
      </c>
      <c r="G183">
        <v>3.5804703770000001</v>
      </c>
    </row>
    <row r="184" spans="1:7">
      <c r="A184" s="1">
        <v>183</v>
      </c>
      <c r="B184" s="1" t="s">
        <v>4</v>
      </c>
      <c r="C184" s="1">
        <v>3.8571437988551001</v>
      </c>
      <c r="G184">
        <v>2.9736867299999998</v>
      </c>
    </row>
    <row r="185" spans="1:7">
      <c r="A185" s="1">
        <v>184</v>
      </c>
      <c r="B185" s="1" t="s">
        <v>4</v>
      </c>
      <c r="C185" s="1">
        <v>3.5586762473236</v>
      </c>
      <c r="G185">
        <v>3.7130156580000002</v>
      </c>
    </row>
    <row r="186" spans="1:7">
      <c r="A186" s="1">
        <v>185</v>
      </c>
      <c r="B186" s="1" t="s">
        <v>4</v>
      </c>
      <c r="C186" s="1">
        <v>2.8576335377169699</v>
      </c>
      <c r="G186">
        <v>3.4740876090000001</v>
      </c>
    </row>
    <row r="187" spans="1:7">
      <c r="A187" s="1">
        <v>186</v>
      </c>
      <c r="B187" s="1" t="s">
        <v>4</v>
      </c>
      <c r="C187" s="1">
        <v>3.2061837137573601</v>
      </c>
      <c r="G187">
        <v>3.325243462</v>
      </c>
    </row>
    <row r="188" spans="1:7">
      <c r="A188" s="1">
        <v>187</v>
      </c>
      <c r="B188" s="1" t="s">
        <v>4</v>
      </c>
      <c r="C188" s="1">
        <v>3.58047037744908</v>
      </c>
      <c r="G188">
        <v>3.635178636</v>
      </c>
    </row>
    <row r="189" spans="1:7">
      <c r="A189" s="1">
        <v>188</v>
      </c>
      <c r="B189" s="1" t="s">
        <v>4</v>
      </c>
      <c r="C189" s="1">
        <v>2.97368673029285</v>
      </c>
      <c r="G189">
        <v>3.8998485650000001</v>
      </c>
    </row>
    <row r="190" spans="1:7">
      <c r="A190" s="1">
        <v>189</v>
      </c>
      <c r="B190" s="1" t="s">
        <v>4</v>
      </c>
      <c r="C190" s="1">
        <v>3.7130156578342999</v>
      </c>
      <c r="G190">
        <v>3.7016139849999998</v>
      </c>
    </row>
    <row r="191" spans="1:7">
      <c r="A191" s="1">
        <v>190</v>
      </c>
      <c r="B191" s="1" t="s">
        <v>180</v>
      </c>
      <c r="C191" s="1">
        <v>3.51837517763067</v>
      </c>
      <c r="G191">
        <v>3.1558123149999999</v>
      </c>
    </row>
    <row r="192" spans="1:7">
      <c r="A192" s="1">
        <v>191</v>
      </c>
      <c r="B192" s="1" t="s">
        <v>4</v>
      </c>
      <c r="C192" s="1">
        <v>3.47408760935383</v>
      </c>
      <c r="G192">
        <v>3.2854006139999998</v>
      </c>
    </row>
    <row r="193" spans="1:7">
      <c r="A193" s="1">
        <v>192</v>
      </c>
      <c r="B193" s="1" t="s">
        <v>4</v>
      </c>
      <c r="C193" s="1">
        <v>3.32524346181158</v>
      </c>
      <c r="G193">
        <v>3.0803184529999998</v>
      </c>
    </row>
    <row r="194" spans="1:7">
      <c r="A194" s="1">
        <v>193</v>
      </c>
      <c r="B194" s="1" t="s">
        <v>180</v>
      </c>
      <c r="C194" s="1">
        <v>3.9241778538704302</v>
      </c>
      <c r="G194">
        <v>2.511218333</v>
      </c>
    </row>
    <row r="195" spans="1:7">
      <c r="A195" s="1">
        <v>194</v>
      </c>
      <c r="B195" s="1" t="s">
        <v>4</v>
      </c>
      <c r="C195" s="1">
        <v>3.6351786360506799</v>
      </c>
      <c r="G195">
        <v>3.3454927130000001</v>
      </c>
    </row>
    <row r="196" spans="1:7">
      <c r="A196" s="1">
        <v>195</v>
      </c>
      <c r="B196" s="1" t="s">
        <v>4</v>
      </c>
      <c r="C196" s="1">
        <v>3.89984856486014</v>
      </c>
      <c r="G196">
        <v>3.7058773939999998</v>
      </c>
    </row>
    <row r="197" spans="1:7">
      <c r="A197" s="1">
        <v>196</v>
      </c>
      <c r="B197" s="1" t="s">
        <v>4</v>
      </c>
      <c r="C197" s="1">
        <v>3.7016139849151801</v>
      </c>
      <c r="G197">
        <v>3.79129564</v>
      </c>
    </row>
    <row r="198" spans="1:7">
      <c r="A198" s="1">
        <v>197</v>
      </c>
      <c r="B198" s="1" t="s">
        <v>4</v>
      </c>
      <c r="C198" s="1">
        <v>3.1558123149398898</v>
      </c>
      <c r="G198">
        <v>3.7956032980000001</v>
      </c>
    </row>
    <row r="199" spans="1:7">
      <c r="A199" s="1">
        <v>198</v>
      </c>
      <c r="B199" s="1" t="s">
        <v>4</v>
      </c>
      <c r="C199" s="1">
        <v>3.2854006142813201</v>
      </c>
      <c r="G199">
        <v>3.3905761719999998</v>
      </c>
    </row>
    <row r="200" spans="1:7">
      <c r="A200" s="1">
        <v>199</v>
      </c>
      <c r="B200" s="1" t="s">
        <v>180</v>
      </c>
      <c r="C200" s="1">
        <v>3.5671969782290902</v>
      </c>
      <c r="G200">
        <v>3.4097554529999998</v>
      </c>
    </row>
    <row r="201" spans="1:7">
      <c r="A201" s="1">
        <v>200</v>
      </c>
      <c r="B201" s="1" t="s">
        <v>4</v>
      </c>
      <c r="C201" s="1">
        <v>3.0803184525881</v>
      </c>
      <c r="G201">
        <v>3.5936260440000001</v>
      </c>
    </row>
    <row r="202" spans="1:7">
      <c r="A202" s="1">
        <v>201</v>
      </c>
      <c r="B202" s="1" t="s">
        <v>4</v>
      </c>
      <c r="C202" s="1">
        <v>2.5112183325016502</v>
      </c>
      <c r="G202">
        <v>3.0750188349999998</v>
      </c>
    </row>
    <row r="203" spans="1:7">
      <c r="A203" s="1">
        <v>202</v>
      </c>
      <c r="B203" s="1" t="s">
        <v>4</v>
      </c>
      <c r="C203" s="1">
        <v>3.3454927134827201</v>
      </c>
      <c r="G203">
        <v>3.224199944</v>
      </c>
    </row>
    <row r="204" spans="1:7">
      <c r="A204" s="1">
        <v>203</v>
      </c>
      <c r="B204" s="1" t="s">
        <v>4</v>
      </c>
      <c r="C204" s="1">
        <v>3.7058773942377901</v>
      </c>
      <c r="G204">
        <v>3.7093852570000001</v>
      </c>
    </row>
    <row r="205" spans="1:7">
      <c r="A205" s="1">
        <v>204</v>
      </c>
      <c r="B205" s="1" t="s">
        <v>4</v>
      </c>
      <c r="C205" s="1">
        <v>3.7912956401513598</v>
      </c>
      <c r="G205">
        <v>3.0361682559999998</v>
      </c>
    </row>
    <row r="206" spans="1:7">
      <c r="A206" s="1">
        <v>205</v>
      </c>
      <c r="B206" s="1" t="s">
        <v>4</v>
      </c>
      <c r="C206" s="1">
        <v>3.7956032979407901</v>
      </c>
      <c r="G206">
        <v>3.729358714</v>
      </c>
    </row>
    <row r="207" spans="1:7">
      <c r="A207" s="1">
        <v>206</v>
      </c>
      <c r="B207" s="1" t="s">
        <v>4</v>
      </c>
      <c r="C207" s="1">
        <v>3.39057617222067</v>
      </c>
      <c r="G207">
        <v>3.2625039299999998</v>
      </c>
    </row>
    <row r="208" spans="1:7">
      <c r="A208" s="1">
        <v>207</v>
      </c>
      <c r="B208" s="1" t="s">
        <v>4</v>
      </c>
      <c r="C208" s="1">
        <v>3.4097554531155598</v>
      </c>
      <c r="G208">
        <v>2.725852776</v>
      </c>
    </row>
    <row r="209" spans="1:7">
      <c r="A209" s="1">
        <v>208</v>
      </c>
      <c r="B209" s="1" t="s">
        <v>4</v>
      </c>
      <c r="C209" s="1">
        <v>3.5936260442955201</v>
      </c>
      <c r="G209">
        <v>3.6685880289999999</v>
      </c>
    </row>
    <row r="210" spans="1:7">
      <c r="A210" s="1">
        <v>209</v>
      </c>
      <c r="B210" s="1" t="s">
        <v>4</v>
      </c>
      <c r="C210" s="1">
        <v>3.0750188354331902</v>
      </c>
      <c r="G210">
        <v>3.203191957</v>
      </c>
    </row>
    <row r="211" spans="1:7">
      <c r="A211" s="1">
        <v>210</v>
      </c>
      <c r="B211" s="1" t="s">
        <v>4</v>
      </c>
      <c r="C211" s="1">
        <v>3.2241999438173501</v>
      </c>
      <c r="G211">
        <v>3.2944870970000002</v>
      </c>
    </row>
    <row r="212" spans="1:7">
      <c r="A212" s="1">
        <v>211</v>
      </c>
      <c r="B212" s="1" t="s">
        <v>4</v>
      </c>
      <c r="C212" s="1">
        <v>3.70938525679674</v>
      </c>
      <c r="G212">
        <v>3.5837717480000002</v>
      </c>
    </row>
    <row r="213" spans="1:7">
      <c r="A213" s="1">
        <v>212</v>
      </c>
      <c r="B213" s="1" t="s">
        <v>4</v>
      </c>
      <c r="C213" s="1">
        <v>3.0361682555022198</v>
      </c>
      <c r="G213">
        <v>3.4146085369999999</v>
      </c>
    </row>
    <row r="214" spans="1:7">
      <c r="A214" s="1">
        <v>213</v>
      </c>
      <c r="B214" s="1" t="s">
        <v>4</v>
      </c>
      <c r="C214" s="1">
        <v>3.7293587142765099</v>
      </c>
      <c r="G214">
        <v>3.4549523230000001</v>
      </c>
    </row>
    <row r="215" spans="1:7">
      <c r="A215" s="1">
        <v>214</v>
      </c>
      <c r="B215" s="1" t="s">
        <v>4</v>
      </c>
      <c r="C215" s="1">
        <v>3.2625039304159902</v>
      </c>
      <c r="G215">
        <v>3.4598506050000002</v>
      </c>
    </row>
    <row r="216" spans="1:7">
      <c r="A216" s="1">
        <v>215</v>
      </c>
      <c r="B216" s="1" t="s">
        <v>4</v>
      </c>
      <c r="C216" s="1">
        <v>2.7258527758342099</v>
      </c>
      <c r="G216">
        <v>1.6218692100000001</v>
      </c>
    </row>
    <row r="217" spans="1:7">
      <c r="A217" s="1">
        <v>216</v>
      </c>
      <c r="B217" s="1" t="s">
        <v>4</v>
      </c>
      <c r="C217" s="1">
        <v>3.6685880290948401</v>
      </c>
      <c r="G217">
        <v>3.754007074</v>
      </c>
    </row>
    <row r="218" spans="1:7">
      <c r="A218" s="1">
        <v>217</v>
      </c>
      <c r="B218" s="1" t="s">
        <v>4</v>
      </c>
      <c r="C218" s="1">
        <v>3.2031919569432499</v>
      </c>
      <c r="G218">
        <v>3.6542452949999999</v>
      </c>
    </row>
    <row r="219" spans="1:7">
      <c r="A219" s="1">
        <v>218</v>
      </c>
      <c r="B219" s="1" t="s">
        <v>4</v>
      </c>
      <c r="C219" s="1">
        <v>3.2944870965838802</v>
      </c>
      <c r="G219">
        <v>3.2870903889999998</v>
      </c>
    </row>
    <row r="220" spans="1:7">
      <c r="A220" s="1">
        <v>219</v>
      </c>
      <c r="B220" s="1" t="s">
        <v>180</v>
      </c>
      <c r="C220" s="1">
        <v>3.9316606387075099</v>
      </c>
      <c r="G220">
        <v>3.565935589</v>
      </c>
    </row>
    <row r="221" spans="1:7">
      <c r="A221" s="1">
        <v>220</v>
      </c>
      <c r="B221" s="1" t="s">
        <v>4</v>
      </c>
      <c r="C221" s="1">
        <v>3.5837717482346201</v>
      </c>
      <c r="G221">
        <v>3.3117199519999998</v>
      </c>
    </row>
    <row r="222" spans="1:7">
      <c r="A222" s="1">
        <v>221</v>
      </c>
      <c r="B222" s="1" t="s">
        <v>4</v>
      </c>
      <c r="C222" s="1">
        <v>3.4146085367179002</v>
      </c>
      <c r="G222">
        <v>3.5024241909999998</v>
      </c>
    </row>
    <row r="223" spans="1:7">
      <c r="A223" s="1">
        <v>222</v>
      </c>
      <c r="B223" s="1" t="s">
        <v>4</v>
      </c>
      <c r="C223" s="1">
        <v>3.4549523232561201</v>
      </c>
      <c r="G223">
        <v>3.7463528039999998</v>
      </c>
    </row>
    <row r="224" spans="1:7">
      <c r="A224" s="1">
        <v>223</v>
      </c>
      <c r="B224" s="1" t="s">
        <v>4</v>
      </c>
      <c r="C224" s="1">
        <v>3.45985060500582</v>
      </c>
      <c r="G224">
        <v>3.6844763380000001</v>
      </c>
    </row>
    <row r="225" spans="1:7">
      <c r="A225" s="1">
        <v>224</v>
      </c>
      <c r="B225" s="1" t="s">
        <v>4</v>
      </c>
      <c r="C225" s="1">
        <v>1.6218692099410601</v>
      </c>
      <c r="G225">
        <v>3.8400674069999998</v>
      </c>
    </row>
    <row r="226" spans="1:7">
      <c r="A226" s="1">
        <v>225</v>
      </c>
      <c r="B226" s="1" t="s">
        <v>4</v>
      </c>
      <c r="C226" s="1">
        <v>3.7540070738676099</v>
      </c>
      <c r="G226">
        <v>3.5034554149999999</v>
      </c>
    </row>
    <row r="227" spans="1:7">
      <c r="A227" s="1">
        <v>226</v>
      </c>
      <c r="B227" s="1" t="s">
        <v>4</v>
      </c>
      <c r="C227" s="1">
        <v>3.6542452948771902</v>
      </c>
      <c r="G227">
        <v>2.764481747</v>
      </c>
    </row>
    <row r="228" spans="1:7">
      <c r="A228" s="1">
        <v>227</v>
      </c>
      <c r="B228" s="1" t="s">
        <v>4</v>
      </c>
      <c r="C228" s="1">
        <v>3.2870903889257299</v>
      </c>
      <c r="G228">
        <v>3.4426715080000001</v>
      </c>
    </row>
    <row r="229" spans="1:7">
      <c r="A229" s="1">
        <v>228</v>
      </c>
      <c r="B229" s="1" t="s">
        <v>4</v>
      </c>
      <c r="C229" s="1">
        <v>3.5659355892009001</v>
      </c>
      <c r="G229">
        <v>3.541593808</v>
      </c>
    </row>
    <row r="230" spans="1:7">
      <c r="A230" s="1">
        <v>229</v>
      </c>
      <c r="B230" s="1" t="s">
        <v>4</v>
      </c>
      <c r="C230" s="1">
        <v>3.31171995180696</v>
      </c>
      <c r="G230">
        <v>3.6670085370000001</v>
      </c>
    </row>
    <row r="231" spans="1:7">
      <c r="A231" s="1">
        <v>230</v>
      </c>
      <c r="B231" s="1" t="s">
        <v>4</v>
      </c>
      <c r="C231" s="1">
        <v>3.5024241907565798</v>
      </c>
      <c r="G231">
        <v>3.519783324</v>
      </c>
    </row>
    <row r="232" spans="1:7">
      <c r="A232" s="1">
        <v>231</v>
      </c>
      <c r="B232" s="1" t="s">
        <v>4</v>
      </c>
      <c r="C232" s="1">
        <v>3.7463528035213098</v>
      </c>
      <c r="G232">
        <v>2.948800329</v>
      </c>
    </row>
    <row r="233" spans="1:7">
      <c r="A233" s="1">
        <v>232</v>
      </c>
      <c r="B233" s="1" t="s">
        <v>4</v>
      </c>
      <c r="C233" s="1">
        <v>3.68447633763838</v>
      </c>
      <c r="G233">
        <v>3.642948316</v>
      </c>
    </row>
    <row r="234" spans="1:7">
      <c r="A234" s="1">
        <v>233</v>
      </c>
      <c r="B234" s="1" t="s">
        <v>4</v>
      </c>
      <c r="C234" s="1">
        <v>3.8400674071985099</v>
      </c>
      <c r="G234">
        <v>3.651388335</v>
      </c>
    </row>
    <row r="235" spans="1:7">
      <c r="A235" s="1">
        <v>234</v>
      </c>
      <c r="B235" s="1" t="s">
        <v>4</v>
      </c>
      <c r="C235" s="1">
        <v>3.5034554149642401</v>
      </c>
      <c r="G235">
        <v>3.4907082969999998</v>
      </c>
    </row>
    <row r="236" spans="1:7">
      <c r="A236" s="1">
        <v>235</v>
      </c>
      <c r="B236" s="1" t="s">
        <v>4</v>
      </c>
      <c r="C236" s="1">
        <v>2.7644817473945</v>
      </c>
      <c r="G236">
        <v>3.8259313850000001</v>
      </c>
    </row>
    <row r="237" spans="1:7">
      <c r="A237" s="1">
        <v>236</v>
      </c>
      <c r="B237" s="1" t="s">
        <v>180</v>
      </c>
      <c r="C237" s="1">
        <v>2.4859028018372702</v>
      </c>
      <c r="G237">
        <v>2.4712952590000001</v>
      </c>
    </row>
    <row r="238" spans="1:7">
      <c r="A238" s="1">
        <v>237</v>
      </c>
      <c r="B238" s="1" t="s">
        <v>4</v>
      </c>
      <c r="C238" s="1">
        <v>3.4426715081418702</v>
      </c>
      <c r="G238">
        <v>3.791263447</v>
      </c>
    </row>
    <row r="239" spans="1:7">
      <c r="A239" s="1">
        <v>238</v>
      </c>
      <c r="B239" s="1" t="s">
        <v>4</v>
      </c>
      <c r="C239" s="1">
        <v>3.5415938077933098</v>
      </c>
      <c r="G239">
        <v>3.1719899890000001</v>
      </c>
    </row>
    <row r="240" spans="1:7">
      <c r="A240" s="1">
        <v>239</v>
      </c>
      <c r="B240" s="1" t="s">
        <v>4</v>
      </c>
      <c r="C240" s="1">
        <v>3.66700853721591</v>
      </c>
      <c r="G240">
        <v>3.7040802149999998</v>
      </c>
    </row>
    <row r="241" spans="1:7">
      <c r="A241" s="1">
        <v>240</v>
      </c>
      <c r="B241" s="1" t="s">
        <v>180</v>
      </c>
      <c r="C241" s="1">
        <v>3.73717728259113</v>
      </c>
      <c r="G241">
        <v>3.2832073890000002</v>
      </c>
    </row>
    <row r="242" spans="1:7">
      <c r="A242" s="1">
        <v>241</v>
      </c>
      <c r="B242" s="1" t="s">
        <v>4</v>
      </c>
      <c r="C242" s="1">
        <v>3.5197833235817302</v>
      </c>
      <c r="G242">
        <v>3.6156423379999998</v>
      </c>
    </row>
    <row r="243" spans="1:7">
      <c r="A243" s="1">
        <v>242</v>
      </c>
      <c r="B243" s="1" t="s">
        <v>4</v>
      </c>
      <c r="C243" s="1">
        <v>2.9488003291030802</v>
      </c>
      <c r="G243">
        <v>2.7962305079999998</v>
      </c>
    </row>
    <row r="244" spans="1:7">
      <c r="A244" s="1">
        <v>243</v>
      </c>
      <c r="B244" s="1" t="s">
        <v>4</v>
      </c>
      <c r="C244" s="1">
        <v>3.6429483159493001</v>
      </c>
      <c r="G244">
        <v>3.597388912</v>
      </c>
    </row>
    <row r="245" spans="1:7">
      <c r="A245" s="1">
        <v>244</v>
      </c>
      <c r="B245" s="1" t="s">
        <v>4</v>
      </c>
      <c r="C245" s="1">
        <v>3.6513883347549201</v>
      </c>
      <c r="G245">
        <v>3.2496334670000002</v>
      </c>
    </row>
    <row r="246" spans="1:7">
      <c r="A246" s="1">
        <v>245</v>
      </c>
      <c r="B246" s="1" t="s">
        <v>4</v>
      </c>
      <c r="C246" s="1">
        <v>3.49070829739125</v>
      </c>
      <c r="G246">
        <v>3.4783794549999998</v>
      </c>
    </row>
    <row r="247" spans="1:7">
      <c r="A247" s="1">
        <v>246</v>
      </c>
      <c r="B247" s="1" t="s">
        <v>4</v>
      </c>
      <c r="C247" s="1">
        <v>3.8259313852689099</v>
      </c>
      <c r="G247">
        <v>3.6681045819999998</v>
      </c>
    </row>
    <row r="248" spans="1:7">
      <c r="A248" s="1">
        <v>247</v>
      </c>
      <c r="B248" s="1" t="s">
        <v>4</v>
      </c>
      <c r="C248" s="1">
        <v>2.4712952594751298</v>
      </c>
      <c r="G248">
        <v>3.618204424</v>
      </c>
    </row>
    <row r="249" spans="1:7">
      <c r="A249" s="1">
        <v>248</v>
      </c>
      <c r="B249" s="1" t="s">
        <v>4</v>
      </c>
      <c r="C249" s="1">
        <v>3.7912634470229101</v>
      </c>
      <c r="G249">
        <v>3.5823328409999999</v>
      </c>
    </row>
    <row r="250" spans="1:7">
      <c r="A250" s="1">
        <v>249</v>
      </c>
      <c r="B250" s="1" t="s">
        <v>4</v>
      </c>
      <c r="C250" s="1">
        <v>3.1719899889472201</v>
      </c>
      <c r="G250">
        <v>3.6301828120000001</v>
      </c>
    </row>
    <row r="251" spans="1:7">
      <c r="A251" s="1">
        <v>250</v>
      </c>
      <c r="B251" s="1" t="s">
        <v>4</v>
      </c>
      <c r="C251" s="1">
        <v>3.7040802151744199</v>
      </c>
      <c r="G251">
        <v>3.7047661430000001</v>
      </c>
    </row>
    <row r="252" spans="1:7">
      <c r="A252" s="1">
        <v>251</v>
      </c>
      <c r="B252" s="1" t="s">
        <v>4</v>
      </c>
      <c r="C252" s="1">
        <v>3.2832073889752902</v>
      </c>
      <c r="G252">
        <v>2.678066818</v>
      </c>
    </row>
    <row r="253" spans="1:7">
      <c r="A253" s="1">
        <v>252</v>
      </c>
      <c r="B253" s="1" t="s">
        <v>4</v>
      </c>
      <c r="C253" s="1">
        <v>3.6156423375520599</v>
      </c>
      <c r="G253">
        <v>3.325873729</v>
      </c>
    </row>
    <row r="254" spans="1:7">
      <c r="A254" s="1">
        <v>253</v>
      </c>
      <c r="B254" s="1" t="s">
        <v>4</v>
      </c>
      <c r="C254" s="1">
        <v>2.7962305076405398</v>
      </c>
      <c r="G254">
        <v>3.5980779460000001</v>
      </c>
    </row>
    <row r="255" spans="1:7">
      <c r="A255" s="1">
        <v>254</v>
      </c>
      <c r="B255" s="1" t="s">
        <v>4</v>
      </c>
      <c r="C255" s="1">
        <v>3.5973889116493898</v>
      </c>
      <c r="G255">
        <v>3.7323223689999998</v>
      </c>
    </row>
    <row r="256" spans="1:7">
      <c r="A256" s="1">
        <v>255</v>
      </c>
      <c r="B256" s="1" t="s">
        <v>4</v>
      </c>
      <c r="C256" s="1">
        <v>3.2496334666819999</v>
      </c>
      <c r="G256">
        <v>3.7740628900000002</v>
      </c>
    </row>
    <row r="257" spans="1:7">
      <c r="A257" s="1">
        <v>256</v>
      </c>
      <c r="B257" s="1" t="s">
        <v>4</v>
      </c>
      <c r="C257" s="1">
        <v>3.47837945499673</v>
      </c>
      <c r="G257">
        <v>3.0283134340000002</v>
      </c>
    </row>
    <row r="258" spans="1:7">
      <c r="A258" s="1">
        <v>257</v>
      </c>
      <c r="B258" s="1" t="s">
        <v>4</v>
      </c>
      <c r="C258" s="1">
        <v>3.6681045817392799</v>
      </c>
      <c r="G258">
        <v>3.767217885</v>
      </c>
    </row>
    <row r="259" spans="1:7">
      <c r="A259" s="1">
        <v>258</v>
      </c>
      <c r="B259" s="1" t="s">
        <v>4</v>
      </c>
      <c r="C259" s="1">
        <v>3.61820442439616</v>
      </c>
      <c r="G259">
        <v>3.5455936760000002</v>
      </c>
    </row>
    <row r="260" spans="1:7">
      <c r="A260" s="1">
        <v>259</v>
      </c>
      <c r="B260" s="1" t="s">
        <v>4</v>
      </c>
      <c r="C260" s="1">
        <v>3.5823328408486601</v>
      </c>
      <c r="G260">
        <v>3.5656241679999998</v>
      </c>
    </row>
    <row r="261" spans="1:7">
      <c r="A261" s="1">
        <v>260</v>
      </c>
      <c r="B261" s="1" t="s">
        <v>4</v>
      </c>
      <c r="C261" s="1">
        <v>3.6301828115887602</v>
      </c>
      <c r="G261">
        <v>3.7247578450000001</v>
      </c>
    </row>
    <row r="262" spans="1:7">
      <c r="A262" s="1">
        <v>261</v>
      </c>
      <c r="B262" s="1" t="s">
        <v>180</v>
      </c>
      <c r="C262" s="1">
        <v>3.4140343957586898</v>
      </c>
      <c r="G262">
        <v>3.4967696780000002</v>
      </c>
    </row>
    <row r="263" spans="1:7">
      <c r="A263" s="1">
        <v>262</v>
      </c>
      <c r="B263" s="1" t="s">
        <v>4</v>
      </c>
      <c r="C263" s="1">
        <v>3.7047661425901701</v>
      </c>
      <c r="G263">
        <v>2.4564648249999999</v>
      </c>
    </row>
    <row r="264" spans="1:7">
      <c r="A264" s="1">
        <v>263</v>
      </c>
      <c r="B264" s="1" t="s">
        <v>4</v>
      </c>
      <c r="C264" s="1">
        <v>2.6780668178921099</v>
      </c>
      <c r="G264">
        <v>2.971174317</v>
      </c>
    </row>
    <row r="265" spans="1:7">
      <c r="A265" s="1">
        <v>264</v>
      </c>
      <c r="B265" s="1" t="s">
        <v>4</v>
      </c>
      <c r="C265" s="1">
        <v>3.3258737287993498</v>
      </c>
      <c r="G265">
        <v>3.049154331</v>
      </c>
    </row>
    <row r="266" spans="1:7">
      <c r="A266" s="1">
        <v>265</v>
      </c>
      <c r="B266" s="1" t="s">
        <v>4</v>
      </c>
      <c r="C266" s="1">
        <v>3.5980779463750601</v>
      </c>
      <c r="G266">
        <v>2.8106357169999998</v>
      </c>
    </row>
    <row r="267" spans="1:7">
      <c r="A267" s="1">
        <v>266</v>
      </c>
      <c r="B267" s="1" t="s">
        <v>4</v>
      </c>
      <c r="C267" s="1">
        <v>3.73232236906999</v>
      </c>
      <c r="G267">
        <v>3.666165871</v>
      </c>
    </row>
    <row r="268" spans="1:7">
      <c r="A268" s="1">
        <v>267</v>
      </c>
      <c r="B268" s="1" t="s">
        <v>4</v>
      </c>
      <c r="C268" s="1">
        <v>3.7740628902231799</v>
      </c>
      <c r="G268">
        <v>3.565974953</v>
      </c>
    </row>
    <row r="269" spans="1:7">
      <c r="A269" s="1">
        <v>268</v>
      </c>
      <c r="B269" s="1" t="s">
        <v>4</v>
      </c>
      <c r="C269" s="1">
        <v>3.0283134342239002</v>
      </c>
      <c r="G269">
        <v>3.6825773220000002</v>
      </c>
    </row>
    <row r="270" spans="1:7">
      <c r="A270" s="1">
        <v>269</v>
      </c>
      <c r="B270" s="1" t="s">
        <v>4</v>
      </c>
      <c r="C270" s="1">
        <v>3.76721788549531</v>
      </c>
      <c r="G270">
        <v>3.8272372030000001</v>
      </c>
    </row>
    <row r="271" spans="1:7">
      <c r="A271" s="1">
        <v>270</v>
      </c>
      <c r="B271" s="1" t="s">
        <v>4</v>
      </c>
      <c r="C271" s="1">
        <v>3.5455936758878401</v>
      </c>
      <c r="G271">
        <v>3.7333876570000002</v>
      </c>
    </row>
    <row r="272" spans="1:7">
      <c r="A272" s="1">
        <v>271</v>
      </c>
      <c r="B272" s="1" t="s">
        <v>4</v>
      </c>
      <c r="C272" s="1">
        <v>3.5656241676053702</v>
      </c>
      <c r="G272">
        <v>3.3239656790000001</v>
      </c>
    </row>
    <row r="273" spans="1:7">
      <c r="A273" s="1">
        <v>272</v>
      </c>
      <c r="B273" s="1" t="s">
        <v>4</v>
      </c>
      <c r="C273" s="1">
        <v>3.7247578453302701</v>
      </c>
      <c r="G273">
        <v>3.707882782</v>
      </c>
    </row>
    <row r="274" spans="1:7">
      <c r="A274" s="1">
        <v>273</v>
      </c>
      <c r="B274" s="1" t="s">
        <v>4</v>
      </c>
      <c r="C274" s="1">
        <v>3.4967696783768201</v>
      </c>
      <c r="G274">
        <v>3.7258341420000001</v>
      </c>
    </row>
    <row r="275" spans="1:7">
      <c r="A275" s="1">
        <v>274</v>
      </c>
      <c r="B275" s="1" t="s">
        <v>4</v>
      </c>
      <c r="C275" s="1">
        <v>2.45646482451165</v>
      </c>
      <c r="G275">
        <v>3.0463170270000002</v>
      </c>
    </row>
    <row r="276" spans="1:7">
      <c r="A276" s="1">
        <v>275</v>
      </c>
      <c r="B276" s="1" t="s">
        <v>4</v>
      </c>
      <c r="C276" s="1">
        <v>2.9711743171588898</v>
      </c>
      <c r="G276">
        <v>3.4887118070000001</v>
      </c>
    </row>
    <row r="277" spans="1:7">
      <c r="A277" s="1">
        <v>276</v>
      </c>
      <c r="B277" s="1" t="s">
        <v>4</v>
      </c>
      <c r="C277" s="1">
        <v>3.0491543310731899</v>
      </c>
      <c r="G277">
        <v>3.4606329649999998</v>
      </c>
    </row>
    <row r="278" spans="1:7">
      <c r="A278" s="1">
        <v>277</v>
      </c>
      <c r="B278" s="1" t="s">
        <v>180</v>
      </c>
      <c r="C278" s="1">
        <v>3.7166000695768</v>
      </c>
      <c r="G278">
        <v>3.6446183209999998</v>
      </c>
    </row>
    <row r="279" spans="1:7">
      <c r="A279" s="1">
        <v>278</v>
      </c>
      <c r="B279" s="1" t="s">
        <v>4</v>
      </c>
      <c r="C279" s="1">
        <v>2.81063571668389</v>
      </c>
      <c r="G279">
        <v>3.3629150019999998</v>
      </c>
    </row>
    <row r="280" spans="1:7">
      <c r="A280" s="1">
        <v>279</v>
      </c>
      <c r="B280" s="1" t="s">
        <v>4</v>
      </c>
      <c r="C280" s="1">
        <v>3.6661658714937801</v>
      </c>
      <c r="G280">
        <v>3.5180691739999999</v>
      </c>
    </row>
    <row r="281" spans="1:7">
      <c r="A281" s="1">
        <v>280</v>
      </c>
      <c r="B281" s="1" t="s">
        <v>4</v>
      </c>
      <c r="C281" s="1">
        <v>3.5659749531312799</v>
      </c>
      <c r="G281">
        <v>3.6540328400000002</v>
      </c>
    </row>
    <row r="282" spans="1:7">
      <c r="A282" s="1">
        <v>281</v>
      </c>
      <c r="B282" s="1" t="s">
        <v>4</v>
      </c>
      <c r="C282" s="1">
        <v>3.6825773215527202</v>
      </c>
      <c r="G282">
        <v>3.629927956</v>
      </c>
    </row>
    <row r="283" spans="1:7">
      <c r="A283" s="1">
        <v>282</v>
      </c>
      <c r="B283" s="1" t="s">
        <v>180</v>
      </c>
      <c r="C283" s="1">
        <v>3.6486234448538002</v>
      </c>
      <c r="G283">
        <v>3.5837614819999999</v>
      </c>
    </row>
    <row r="284" spans="1:7">
      <c r="A284" s="1">
        <v>283</v>
      </c>
      <c r="B284" s="1" t="s">
        <v>4</v>
      </c>
      <c r="C284" s="1">
        <v>3.8272372026052999</v>
      </c>
      <c r="G284">
        <v>3.570581228</v>
      </c>
    </row>
    <row r="285" spans="1:7">
      <c r="A285" s="1">
        <v>284</v>
      </c>
      <c r="B285" s="1" t="s">
        <v>4</v>
      </c>
      <c r="C285" s="1">
        <v>3.7333876567008999</v>
      </c>
      <c r="G285">
        <v>3.4212178880000002</v>
      </c>
    </row>
    <row r="286" spans="1:7">
      <c r="A286" s="1">
        <v>285</v>
      </c>
      <c r="B286" s="1" t="s">
        <v>4</v>
      </c>
      <c r="C286" s="1">
        <v>3.3239656788868399</v>
      </c>
      <c r="G286">
        <v>3.8847763890000002</v>
      </c>
    </row>
    <row r="287" spans="1:7">
      <c r="A287" s="1">
        <v>286</v>
      </c>
      <c r="B287" s="1" t="s">
        <v>4</v>
      </c>
      <c r="C287" s="1">
        <v>3.7078827818573199</v>
      </c>
      <c r="G287">
        <v>3.583558993</v>
      </c>
    </row>
    <row r="288" spans="1:7">
      <c r="A288" s="1">
        <v>287</v>
      </c>
      <c r="B288" s="1" t="s">
        <v>4</v>
      </c>
      <c r="C288" s="1">
        <v>3.7258341418916299</v>
      </c>
      <c r="G288">
        <v>3.0288927019999998</v>
      </c>
    </row>
    <row r="289" spans="1:7">
      <c r="A289" s="1">
        <v>288</v>
      </c>
      <c r="B289" s="1" t="s">
        <v>180</v>
      </c>
      <c r="C289" s="1">
        <v>3.5348932426028998</v>
      </c>
      <c r="G289">
        <v>3.6871587739999998</v>
      </c>
    </row>
    <row r="290" spans="1:7">
      <c r="A290" s="1">
        <v>289</v>
      </c>
      <c r="B290" s="1" t="s">
        <v>4</v>
      </c>
      <c r="C290" s="1">
        <v>3.0463170272056801</v>
      </c>
      <c r="G290">
        <v>3.3993556699999998</v>
      </c>
    </row>
    <row r="291" spans="1:7">
      <c r="A291" s="1">
        <v>290</v>
      </c>
      <c r="B291" s="1" t="s">
        <v>4</v>
      </c>
      <c r="C291" s="1">
        <v>3.4887118070300298</v>
      </c>
      <c r="G291">
        <v>3.2282096710000001</v>
      </c>
    </row>
    <row r="292" spans="1:7">
      <c r="A292" s="1">
        <v>291</v>
      </c>
      <c r="B292" s="1" t="s">
        <v>4</v>
      </c>
      <c r="C292" s="1">
        <v>3.4606329648581799</v>
      </c>
      <c r="G292">
        <v>3.5874863910000001</v>
      </c>
    </row>
    <row r="293" spans="1:7">
      <c r="A293" s="1">
        <v>292</v>
      </c>
      <c r="B293" s="1" t="s">
        <v>4</v>
      </c>
      <c r="C293" s="1">
        <v>3.64461832099233</v>
      </c>
      <c r="G293">
        <v>3.483098172</v>
      </c>
    </row>
    <row r="294" spans="1:7">
      <c r="A294" s="1">
        <v>293</v>
      </c>
      <c r="B294" s="1" t="s">
        <v>4</v>
      </c>
      <c r="C294" s="1">
        <v>3.3629150018415301</v>
      </c>
      <c r="G294">
        <v>3.6747773559999999</v>
      </c>
    </row>
    <row r="295" spans="1:7">
      <c r="A295" s="1">
        <v>294</v>
      </c>
      <c r="B295" s="1" t="s">
        <v>180</v>
      </c>
      <c r="C295" s="1">
        <v>2.9435215039462101</v>
      </c>
      <c r="G295">
        <v>3.7798952560000001</v>
      </c>
    </row>
    <row r="296" spans="1:7">
      <c r="A296" s="1">
        <v>295</v>
      </c>
      <c r="B296" s="1" t="s">
        <v>4</v>
      </c>
      <c r="C296" s="1">
        <v>3.5180691738057801</v>
      </c>
      <c r="G296">
        <v>3.1830104810000002</v>
      </c>
    </row>
    <row r="297" spans="1:7">
      <c r="A297" s="1">
        <v>296</v>
      </c>
      <c r="B297" s="1" t="s">
        <v>4</v>
      </c>
      <c r="C297" s="1">
        <v>3.6540328395723298</v>
      </c>
      <c r="G297">
        <v>3.44300301</v>
      </c>
    </row>
    <row r="298" spans="1:7">
      <c r="A298" s="1">
        <v>297</v>
      </c>
      <c r="B298" s="1" t="s">
        <v>4</v>
      </c>
      <c r="C298" s="1">
        <v>3.6299279561372599</v>
      </c>
      <c r="G298">
        <v>2.7881925230000002</v>
      </c>
    </row>
    <row r="299" spans="1:7">
      <c r="A299" s="1">
        <v>298</v>
      </c>
      <c r="B299" s="1" t="s">
        <v>4</v>
      </c>
      <c r="C299" s="1">
        <v>3.5837614817700598</v>
      </c>
      <c r="G299">
        <v>2.300548053</v>
      </c>
    </row>
    <row r="300" spans="1:7">
      <c r="A300" s="1">
        <v>299</v>
      </c>
      <c r="B300" s="1" t="s">
        <v>4</v>
      </c>
      <c r="C300" s="1">
        <v>3.5705812283350902</v>
      </c>
      <c r="G300">
        <v>3.4027752279999999</v>
      </c>
    </row>
    <row r="301" spans="1:7">
      <c r="A301" s="1">
        <v>300</v>
      </c>
      <c r="B301" s="1" t="s">
        <v>4</v>
      </c>
      <c r="C301" s="1">
        <v>3.4212178877822899</v>
      </c>
      <c r="G301">
        <v>2.2830118380000002</v>
      </c>
    </row>
    <row r="302" spans="1:7">
      <c r="A302" s="1">
        <v>301</v>
      </c>
      <c r="B302" s="1" t="s">
        <v>4</v>
      </c>
      <c r="C302" s="1">
        <v>3.8847763891688198</v>
      </c>
      <c r="G302">
        <v>3.5778798250000001</v>
      </c>
    </row>
    <row r="303" spans="1:7">
      <c r="A303" s="1">
        <v>302</v>
      </c>
      <c r="B303" s="1" t="s">
        <v>4</v>
      </c>
      <c r="C303" s="1">
        <v>3.5835589933496501</v>
      </c>
      <c r="G303">
        <v>3.51180921</v>
      </c>
    </row>
    <row r="304" spans="1:7">
      <c r="A304" s="1">
        <v>303</v>
      </c>
      <c r="B304" s="1" t="s">
        <v>180</v>
      </c>
      <c r="C304" s="1">
        <v>3.3883737487747898</v>
      </c>
      <c r="G304">
        <v>3.3707405459999999</v>
      </c>
    </row>
    <row r="305" spans="1:7">
      <c r="A305" s="1">
        <v>304</v>
      </c>
      <c r="B305" s="1" t="s">
        <v>4</v>
      </c>
      <c r="C305" s="1">
        <v>3.0288927021964098</v>
      </c>
      <c r="G305">
        <v>3.291161743</v>
      </c>
    </row>
    <row r="306" spans="1:7">
      <c r="A306" s="1">
        <v>305</v>
      </c>
      <c r="B306" s="1" t="s">
        <v>4</v>
      </c>
      <c r="C306" s="1">
        <v>3.6871587739985898</v>
      </c>
      <c r="G306">
        <v>3.6982972250000001</v>
      </c>
    </row>
    <row r="307" spans="1:7">
      <c r="A307" s="1">
        <v>306</v>
      </c>
      <c r="B307" s="1" t="s">
        <v>4</v>
      </c>
      <c r="C307" s="1">
        <v>3.39935566970702</v>
      </c>
      <c r="G307">
        <v>3.8225120449999999</v>
      </c>
    </row>
    <row r="308" spans="1:7">
      <c r="A308" s="1">
        <v>307</v>
      </c>
      <c r="B308" s="1" t="s">
        <v>4</v>
      </c>
      <c r="C308" s="1">
        <v>3.22820967073184</v>
      </c>
      <c r="G308">
        <v>3.7090101899999999</v>
      </c>
    </row>
    <row r="309" spans="1:7">
      <c r="A309" s="1">
        <v>308</v>
      </c>
      <c r="B309" s="1" t="s">
        <v>4</v>
      </c>
      <c r="C309" s="1">
        <v>3.5874863908955699</v>
      </c>
      <c r="G309">
        <v>3.5751441740000001</v>
      </c>
    </row>
    <row r="310" spans="1:7">
      <c r="A310" s="1">
        <v>309</v>
      </c>
      <c r="B310" s="1" t="s">
        <v>4</v>
      </c>
      <c r="C310" s="1">
        <v>3.48309817166558</v>
      </c>
      <c r="G310">
        <v>3.5336762039999998</v>
      </c>
    </row>
    <row r="311" spans="1:7">
      <c r="A311" s="1">
        <v>310</v>
      </c>
      <c r="B311" s="1" t="s">
        <v>4</v>
      </c>
      <c r="C311" s="1">
        <v>3.6747773558591899</v>
      </c>
      <c r="G311">
        <v>3.6479441339999998</v>
      </c>
    </row>
    <row r="312" spans="1:7">
      <c r="A312" s="1">
        <v>311</v>
      </c>
      <c r="B312" s="1" t="s">
        <v>4</v>
      </c>
      <c r="C312" s="1">
        <v>3.77989525552817</v>
      </c>
      <c r="G312">
        <v>3.0901334980000001</v>
      </c>
    </row>
    <row r="313" spans="1:7">
      <c r="A313" s="1">
        <v>312</v>
      </c>
      <c r="B313" s="1" t="s">
        <v>4</v>
      </c>
      <c r="C313" s="1">
        <v>3.1830104806123698</v>
      </c>
      <c r="G313">
        <v>3.4339459109999999</v>
      </c>
    </row>
    <row r="314" spans="1:7">
      <c r="A314" s="1">
        <v>313</v>
      </c>
      <c r="B314" s="1" t="s">
        <v>4</v>
      </c>
      <c r="C314" s="1">
        <v>3.4430030099897699</v>
      </c>
      <c r="G314">
        <v>3.8352102619999999</v>
      </c>
    </row>
    <row r="315" spans="1:7">
      <c r="A315" s="1">
        <v>314</v>
      </c>
      <c r="B315" s="1" t="s">
        <v>4</v>
      </c>
      <c r="C315" s="1">
        <v>2.7881925230983402</v>
      </c>
      <c r="G315">
        <v>3.4211536640000002</v>
      </c>
    </row>
    <row r="316" spans="1:7">
      <c r="A316" s="1">
        <v>315</v>
      </c>
      <c r="B316" s="1" t="s">
        <v>4</v>
      </c>
      <c r="C316" s="1">
        <v>2.3005480530160298</v>
      </c>
      <c r="G316">
        <v>3.3092214069999999</v>
      </c>
    </row>
    <row r="317" spans="1:7">
      <c r="A317" s="1">
        <v>316</v>
      </c>
      <c r="B317" s="1" t="s">
        <v>4</v>
      </c>
      <c r="C317" s="1">
        <v>3.40277522759003</v>
      </c>
      <c r="G317">
        <v>3.6643049130000001</v>
      </c>
    </row>
    <row r="318" spans="1:7">
      <c r="A318" s="1">
        <v>317</v>
      </c>
      <c r="B318" s="1" t="s">
        <v>180</v>
      </c>
      <c r="C318" s="1">
        <v>3.27012845253148</v>
      </c>
      <c r="G318">
        <v>3.3193520419999998</v>
      </c>
    </row>
    <row r="319" spans="1:7">
      <c r="A319" s="1">
        <v>318</v>
      </c>
      <c r="B319" s="1" t="s">
        <v>4</v>
      </c>
      <c r="C319" s="1">
        <v>2.2830118379225302</v>
      </c>
      <c r="G319">
        <v>3.2124586590000002</v>
      </c>
    </row>
    <row r="320" spans="1:7">
      <c r="A320" s="1">
        <v>319</v>
      </c>
      <c r="B320" s="1" t="s">
        <v>4</v>
      </c>
      <c r="C320" s="1">
        <v>3.57787982526047</v>
      </c>
      <c r="G320">
        <v>3.6578482839999999</v>
      </c>
    </row>
    <row r="321" spans="1:7">
      <c r="A321" s="1">
        <v>320</v>
      </c>
      <c r="B321" s="1" t="s">
        <v>4</v>
      </c>
      <c r="C321" s="1">
        <v>3.5118092102038201</v>
      </c>
      <c r="G321">
        <v>3.334727102</v>
      </c>
    </row>
    <row r="322" spans="1:7">
      <c r="A322" s="1">
        <v>321</v>
      </c>
      <c r="B322" s="1" t="s">
        <v>4</v>
      </c>
      <c r="C322" s="1">
        <v>3.37074054554685</v>
      </c>
      <c r="G322">
        <v>3.3548308699999998</v>
      </c>
    </row>
    <row r="323" spans="1:7">
      <c r="A323" s="1">
        <v>322</v>
      </c>
      <c r="B323" s="1" t="s">
        <v>4</v>
      </c>
      <c r="C323" s="1">
        <v>3.2911617433611702</v>
      </c>
      <c r="G323">
        <v>3.8059117599999999</v>
      </c>
    </row>
    <row r="324" spans="1:7">
      <c r="A324" s="1">
        <v>323</v>
      </c>
      <c r="B324" s="1" t="s">
        <v>4</v>
      </c>
      <c r="C324" s="1">
        <v>3.6982972247540502</v>
      </c>
      <c r="G324">
        <v>2.225957739</v>
      </c>
    </row>
    <row r="325" spans="1:7">
      <c r="A325" s="1">
        <v>324</v>
      </c>
      <c r="B325" s="1" t="s">
        <v>4</v>
      </c>
      <c r="C325" s="1">
        <v>3.8225120451422101</v>
      </c>
      <c r="G325">
        <v>3.7001017169999999</v>
      </c>
    </row>
    <row r="326" spans="1:7">
      <c r="A326" s="1">
        <v>325</v>
      </c>
      <c r="B326" s="1" t="s">
        <v>4</v>
      </c>
      <c r="C326" s="1">
        <v>3.7090101902523598</v>
      </c>
      <c r="G326">
        <v>3.5626596589999999</v>
      </c>
    </row>
    <row r="327" spans="1:7">
      <c r="A327" s="1">
        <v>326</v>
      </c>
      <c r="B327" s="1" t="s">
        <v>4</v>
      </c>
      <c r="C327" s="1">
        <v>3.5751441740054899</v>
      </c>
      <c r="G327">
        <v>3.6920708229999999</v>
      </c>
    </row>
    <row r="328" spans="1:7">
      <c r="A328" s="1">
        <v>327</v>
      </c>
      <c r="B328" s="1" t="s">
        <v>4</v>
      </c>
      <c r="C328" s="1">
        <v>3.5336762042094398</v>
      </c>
      <c r="G328">
        <v>2.800247809</v>
      </c>
    </row>
    <row r="329" spans="1:7">
      <c r="A329" s="1">
        <v>328</v>
      </c>
      <c r="B329" s="1" t="s">
        <v>4</v>
      </c>
      <c r="C329" s="1">
        <v>3.64794413442125</v>
      </c>
      <c r="G329">
        <v>3.2832676520000001</v>
      </c>
    </row>
    <row r="330" spans="1:7">
      <c r="A330" s="1">
        <v>329</v>
      </c>
      <c r="B330" s="1" t="s">
        <v>4</v>
      </c>
      <c r="C330" s="1">
        <v>3.09013349818128</v>
      </c>
      <c r="G330">
        <v>3.734124628</v>
      </c>
    </row>
    <row r="331" spans="1:7">
      <c r="A331" s="1">
        <v>330</v>
      </c>
      <c r="B331" s="1" t="s">
        <v>4</v>
      </c>
      <c r="C331" s="1">
        <v>3.43394591118635</v>
      </c>
      <c r="G331">
        <v>3.5515780989999999</v>
      </c>
    </row>
    <row r="332" spans="1:7">
      <c r="A332" s="1">
        <v>331</v>
      </c>
      <c r="B332" s="1" t="s">
        <v>4</v>
      </c>
      <c r="C332" s="1">
        <v>3.83521026160735</v>
      </c>
      <c r="G332">
        <v>2.8156524140000001</v>
      </c>
    </row>
    <row r="333" spans="1:7">
      <c r="A333" s="1">
        <v>332</v>
      </c>
      <c r="B333" s="1" t="s">
        <v>4</v>
      </c>
      <c r="C333" s="1">
        <v>3.42115366402356</v>
      </c>
      <c r="G333">
        <v>2.9909010299999998</v>
      </c>
    </row>
    <row r="334" spans="1:7">
      <c r="A334" s="1">
        <v>333</v>
      </c>
      <c r="B334" s="1" t="s">
        <v>4</v>
      </c>
      <c r="C334" s="1">
        <v>3.3092214068178398</v>
      </c>
      <c r="G334">
        <v>3.3402339460000001</v>
      </c>
    </row>
    <row r="335" spans="1:7">
      <c r="A335" s="1">
        <v>334</v>
      </c>
      <c r="B335" s="1" t="s">
        <v>4</v>
      </c>
      <c r="C335" s="1">
        <v>3.66430491330813</v>
      </c>
      <c r="G335">
        <v>2.6095297940000002</v>
      </c>
    </row>
    <row r="336" spans="1:7">
      <c r="A336" s="1">
        <v>335</v>
      </c>
      <c r="B336" s="1" t="s">
        <v>4</v>
      </c>
      <c r="C336" s="1">
        <v>3.3193520417343301</v>
      </c>
      <c r="G336">
        <v>3.3890404599999999</v>
      </c>
    </row>
    <row r="337" spans="1:7">
      <c r="A337" s="1">
        <v>336</v>
      </c>
      <c r="B337" s="1" t="s">
        <v>4</v>
      </c>
      <c r="C337" s="1">
        <v>3.2124586585356298</v>
      </c>
      <c r="G337">
        <v>2.4792503959999999</v>
      </c>
    </row>
    <row r="338" spans="1:7">
      <c r="A338" s="1">
        <v>337</v>
      </c>
      <c r="B338" s="1" t="s">
        <v>4</v>
      </c>
      <c r="C338" s="1">
        <v>3.65784828443631</v>
      </c>
      <c r="G338">
        <v>3.525455043</v>
      </c>
    </row>
    <row r="339" spans="1:7">
      <c r="A339" s="1">
        <v>338</v>
      </c>
      <c r="B339" s="1" t="s">
        <v>4</v>
      </c>
      <c r="C339" s="1">
        <v>3.3347271019629199</v>
      </c>
      <c r="G339">
        <v>2.706511452</v>
      </c>
    </row>
    <row r="340" spans="1:7">
      <c r="A340" s="1">
        <v>339</v>
      </c>
      <c r="B340" s="1" t="s">
        <v>4</v>
      </c>
      <c r="C340" s="1">
        <v>3.3548308700228699</v>
      </c>
      <c r="G340">
        <v>3.7416091599999999</v>
      </c>
    </row>
    <row r="341" spans="1:7">
      <c r="A341" s="1">
        <v>340</v>
      </c>
      <c r="B341" s="1" t="s">
        <v>4</v>
      </c>
      <c r="C341" s="1">
        <v>3.8059117597463401</v>
      </c>
      <c r="G341">
        <v>2.776905717</v>
      </c>
    </row>
    <row r="342" spans="1:7">
      <c r="A342" s="1">
        <v>341</v>
      </c>
      <c r="B342" s="1" t="s">
        <v>4</v>
      </c>
      <c r="C342" s="1">
        <v>2.2259577391960801</v>
      </c>
      <c r="G342">
        <v>3.6142842690000001</v>
      </c>
    </row>
    <row r="343" spans="1:7">
      <c r="A343" s="1">
        <v>342</v>
      </c>
      <c r="B343" s="1" t="s">
        <v>4</v>
      </c>
      <c r="C343" s="1">
        <v>3.70010171727718</v>
      </c>
      <c r="G343">
        <v>3.6840005819999999</v>
      </c>
    </row>
    <row r="344" spans="1:7">
      <c r="A344" s="1">
        <v>343</v>
      </c>
      <c r="B344" s="1" t="s">
        <v>4</v>
      </c>
      <c r="C344" s="1">
        <v>3.5626596588361199</v>
      </c>
      <c r="G344">
        <v>3.4558770170000002</v>
      </c>
    </row>
    <row r="345" spans="1:7">
      <c r="A345" s="1">
        <v>344</v>
      </c>
      <c r="B345" s="1" t="s">
        <v>4</v>
      </c>
      <c r="C345" s="1">
        <v>3.6920708231230499</v>
      </c>
      <c r="G345">
        <v>2.8270826429999998</v>
      </c>
    </row>
    <row r="346" spans="1:7">
      <c r="A346" s="1">
        <v>345</v>
      </c>
      <c r="B346" s="1" t="s">
        <v>4</v>
      </c>
      <c r="C346" s="1">
        <v>2.8002478089060299</v>
      </c>
      <c r="G346">
        <v>3.5048678440000001</v>
      </c>
    </row>
    <row r="347" spans="1:7">
      <c r="A347" s="1">
        <v>346</v>
      </c>
      <c r="B347" s="1" t="s">
        <v>4</v>
      </c>
      <c r="C347" s="1">
        <v>3.2832676518278401</v>
      </c>
      <c r="G347">
        <v>3.2973136809999999</v>
      </c>
    </row>
    <row r="348" spans="1:7">
      <c r="A348" s="1">
        <v>347</v>
      </c>
      <c r="B348" s="1" t="s">
        <v>4</v>
      </c>
      <c r="C348" s="1">
        <v>3.7341246278982201</v>
      </c>
      <c r="G348">
        <v>3.1871507010000002</v>
      </c>
    </row>
    <row r="349" spans="1:7">
      <c r="A349" s="1">
        <v>348</v>
      </c>
      <c r="B349" s="1" t="s">
        <v>4</v>
      </c>
      <c r="C349" s="1">
        <v>3.5515780994661799</v>
      </c>
      <c r="G349">
        <v>3.2648681490000002</v>
      </c>
    </row>
    <row r="350" spans="1:7">
      <c r="A350" s="1">
        <v>349</v>
      </c>
      <c r="B350" s="1" t="s">
        <v>4</v>
      </c>
      <c r="C350" s="1">
        <v>2.8156524142312498</v>
      </c>
      <c r="G350">
        <v>3.3663656820000001</v>
      </c>
    </row>
    <row r="351" spans="1:7">
      <c r="A351" s="1">
        <v>350</v>
      </c>
      <c r="B351" s="1" t="s">
        <v>4</v>
      </c>
      <c r="C351" s="1">
        <v>2.9909010299701499</v>
      </c>
      <c r="G351">
        <v>3.0853256340000002</v>
      </c>
    </row>
    <row r="352" spans="1:7">
      <c r="A352" s="1">
        <v>351</v>
      </c>
      <c r="B352" s="1" t="s">
        <v>4</v>
      </c>
      <c r="C352" s="1">
        <v>3.3402339456128498</v>
      </c>
      <c r="G352">
        <v>3.0375006390000001</v>
      </c>
    </row>
    <row r="353" spans="1:7">
      <c r="A353" s="1">
        <v>352</v>
      </c>
      <c r="B353" s="1" t="s">
        <v>4</v>
      </c>
      <c r="C353" s="1">
        <v>2.6095297941108702</v>
      </c>
      <c r="G353">
        <v>3.5219758840000002</v>
      </c>
    </row>
    <row r="354" spans="1:7">
      <c r="A354" s="1">
        <v>353</v>
      </c>
      <c r="B354" s="1" t="s">
        <v>4</v>
      </c>
      <c r="C354" s="1">
        <v>3.3890404599208899</v>
      </c>
      <c r="G354">
        <v>3.6465095220000001</v>
      </c>
    </row>
    <row r="355" spans="1:7">
      <c r="A355" s="1">
        <v>354</v>
      </c>
      <c r="B355" s="1" t="s">
        <v>4</v>
      </c>
      <c r="C355" s="1">
        <v>2.4792503959410102</v>
      </c>
      <c r="G355">
        <v>3.8279602110000002</v>
      </c>
    </row>
    <row r="356" spans="1:7">
      <c r="A356" s="1">
        <v>355</v>
      </c>
      <c r="B356" s="1" t="s">
        <v>4</v>
      </c>
      <c r="C356" s="1">
        <v>3.5254550426906102</v>
      </c>
      <c r="G356">
        <v>3.4031813980000001</v>
      </c>
    </row>
    <row r="357" spans="1:7">
      <c r="A357" s="1">
        <v>356</v>
      </c>
      <c r="B357" s="1" t="s">
        <v>4</v>
      </c>
      <c r="C357" s="1">
        <v>2.7065114524854801</v>
      </c>
      <c r="G357">
        <v>3.4670182060000001</v>
      </c>
    </row>
    <row r="358" spans="1:7">
      <c r="A358" s="1">
        <v>357</v>
      </c>
      <c r="B358" s="1" t="s">
        <v>4</v>
      </c>
      <c r="C358" s="1">
        <v>3.7416091600189501</v>
      </c>
      <c r="G358">
        <v>3.3526955749999998</v>
      </c>
    </row>
    <row r="359" spans="1:7">
      <c r="A359" s="1">
        <v>358</v>
      </c>
      <c r="B359" s="1" t="s">
        <v>4</v>
      </c>
      <c r="C359" s="1">
        <v>2.7769057173687499</v>
      </c>
      <c r="G359">
        <v>2.131887125</v>
      </c>
    </row>
    <row r="360" spans="1:7">
      <c r="A360" s="1">
        <v>359</v>
      </c>
      <c r="B360" s="1" t="s">
        <v>4</v>
      </c>
      <c r="C360" s="1">
        <v>3.6142842694127801</v>
      </c>
      <c r="G360">
        <v>3.654196577</v>
      </c>
    </row>
    <row r="361" spans="1:7">
      <c r="A361" s="1">
        <v>360</v>
      </c>
      <c r="B361" s="1" t="s">
        <v>4</v>
      </c>
      <c r="C361" s="1">
        <v>3.6840005823286601</v>
      </c>
      <c r="G361">
        <v>2.7259937079999998</v>
      </c>
    </row>
    <row r="362" spans="1:7">
      <c r="A362" s="1">
        <v>361</v>
      </c>
      <c r="B362" s="1" t="s">
        <v>4</v>
      </c>
      <c r="C362" s="1">
        <v>3.4558770171502999</v>
      </c>
      <c r="G362">
        <v>3.0359070209999999</v>
      </c>
    </row>
    <row r="363" spans="1:7">
      <c r="A363" s="1">
        <v>362</v>
      </c>
      <c r="B363" s="1" t="s">
        <v>4</v>
      </c>
      <c r="C363" s="1">
        <v>2.8270826432745899</v>
      </c>
      <c r="G363">
        <v>3.2564412780000001</v>
      </c>
    </row>
    <row r="364" spans="1:7">
      <c r="A364" s="1">
        <v>363</v>
      </c>
      <c r="B364" s="1" t="s">
        <v>4</v>
      </c>
      <c r="C364" s="1">
        <v>3.5048678435530198</v>
      </c>
      <c r="G364">
        <v>3.3308623750000002</v>
      </c>
    </row>
    <row r="365" spans="1:7">
      <c r="A365" s="1">
        <v>364</v>
      </c>
      <c r="B365" s="1" t="s">
        <v>4</v>
      </c>
      <c r="C365" s="1">
        <v>3.2973136807607499</v>
      </c>
      <c r="G365">
        <v>3.3956882679999998</v>
      </c>
    </row>
    <row r="366" spans="1:7">
      <c r="A366" s="1">
        <v>365</v>
      </c>
      <c r="B366" s="1" t="s">
        <v>4</v>
      </c>
      <c r="C366" s="1">
        <v>3.1871507011547102</v>
      </c>
      <c r="G366">
        <v>3.606997566</v>
      </c>
    </row>
    <row r="367" spans="1:7">
      <c r="A367" s="1">
        <v>366</v>
      </c>
      <c r="B367" s="1" t="s">
        <v>4</v>
      </c>
      <c r="C367" s="1">
        <v>3.26486814908196</v>
      </c>
      <c r="G367">
        <v>3.4459085699999998</v>
      </c>
    </row>
    <row r="368" spans="1:7">
      <c r="A368" s="1">
        <v>367</v>
      </c>
      <c r="B368" s="1" t="s">
        <v>4</v>
      </c>
      <c r="C368" s="1">
        <v>3.36636568233373</v>
      </c>
      <c r="G368">
        <v>3.757433469</v>
      </c>
    </row>
    <row r="369" spans="1:7">
      <c r="A369" s="1">
        <v>368</v>
      </c>
      <c r="B369" s="1" t="s">
        <v>4</v>
      </c>
      <c r="C369" s="1">
        <v>3.0853256340909501</v>
      </c>
      <c r="G369">
        <v>3.513246439</v>
      </c>
    </row>
    <row r="370" spans="1:7">
      <c r="A370" s="1">
        <v>369</v>
      </c>
      <c r="B370" s="1" t="s">
        <v>4</v>
      </c>
      <c r="C370" s="1">
        <v>3.0375006386497501</v>
      </c>
      <c r="G370">
        <v>4.3369607700000001</v>
      </c>
    </row>
    <row r="371" spans="1:7">
      <c r="A371" s="1">
        <v>370</v>
      </c>
      <c r="B371" s="1" t="s">
        <v>4</v>
      </c>
      <c r="C371" s="1">
        <v>3.5219758844343598</v>
      </c>
      <c r="G371">
        <v>3.584276</v>
      </c>
    </row>
    <row r="372" spans="1:7">
      <c r="A372" s="1">
        <v>371</v>
      </c>
      <c r="B372" s="1" t="s">
        <v>4</v>
      </c>
      <c r="C372" s="1">
        <v>3.64650952183628</v>
      </c>
      <c r="G372">
        <v>3.0393481819999999</v>
      </c>
    </row>
    <row r="373" spans="1:7">
      <c r="A373" s="1">
        <v>372</v>
      </c>
      <c r="B373" s="1" t="s">
        <v>4</v>
      </c>
      <c r="C373" s="1">
        <v>3.82796021090493</v>
      </c>
      <c r="G373">
        <v>3.2000447159999998</v>
      </c>
    </row>
    <row r="374" spans="1:7">
      <c r="A374" s="1">
        <v>373</v>
      </c>
      <c r="B374" s="1" t="s">
        <v>4</v>
      </c>
      <c r="C374" s="1">
        <v>3.40318139840879</v>
      </c>
      <c r="G374">
        <v>2.1984657869999999</v>
      </c>
    </row>
    <row r="375" spans="1:7">
      <c r="A375" s="1">
        <v>374</v>
      </c>
      <c r="B375" s="1" t="s">
        <v>4</v>
      </c>
      <c r="C375" s="1">
        <v>3.4670182064274702</v>
      </c>
      <c r="G375">
        <v>3.5698684439999999</v>
      </c>
    </row>
    <row r="376" spans="1:7">
      <c r="A376" s="1">
        <v>375</v>
      </c>
      <c r="B376" s="1" t="s">
        <v>4</v>
      </c>
      <c r="C376" s="1">
        <v>3.3526955747492302</v>
      </c>
      <c r="G376">
        <v>3.768438191</v>
      </c>
    </row>
    <row r="377" spans="1:7">
      <c r="A377" s="1">
        <v>376</v>
      </c>
      <c r="B377" s="1" t="s">
        <v>4</v>
      </c>
      <c r="C377" s="1">
        <v>2.1318871248247602</v>
      </c>
      <c r="G377">
        <v>3.8410654059999998</v>
      </c>
    </row>
    <row r="378" spans="1:7">
      <c r="A378" s="1">
        <v>377</v>
      </c>
      <c r="B378" s="1" t="s">
        <v>4</v>
      </c>
      <c r="C378" s="1">
        <v>3.65419657736564</v>
      </c>
      <c r="G378">
        <v>3.4034289759999998</v>
      </c>
    </row>
    <row r="379" spans="1:7">
      <c r="A379" s="1">
        <v>378</v>
      </c>
      <c r="B379" s="1" t="s">
        <v>4</v>
      </c>
      <c r="C379" s="1">
        <v>2.7259937079411398</v>
      </c>
      <c r="G379">
        <v>3.422279724</v>
      </c>
    </row>
    <row r="380" spans="1:7">
      <c r="A380" s="1">
        <v>379</v>
      </c>
      <c r="B380" s="1" t="s">
        <v>4</v>
      </c>
      <c r="C380" s="1">
        <v>3.0359070209522301</v>
      </c>
      <c r="G380">
        <v>2.878349016</v>
      </c>
    </row>
    <row r="381" spans="1:7">
      <c r="A381" s="1">
        <v>380</v>
      </c>
      <c r="B381" s="1" t="s">
        <v>4</v>
      </c>
      <c r="C381" s="1">
        <v>3.2564412780699601</v>
      </c>
      <c r="G381">
        <v>3.3390699509999999</v>
      </c>
    </row>
    <row r="382" spans="1:7">
      <c r="A382" s="1">
        <v>381</v>
      </c>
      <c r="B382" s="1" t="s">
        <v>4</v>
      </c>
      <c r="C382" s="1">
        <v>3.3308623748138801</v>
      </c>
      <c r="G382">
        <v>3.375814256</v>
      </c>
    </row>
    <row r="383" spans="1:7">
      <c r="A383" s="1">
        <v>382</v>
      </c>
      <c r="B383" s="1" t="s">
        <v>4</v>
      </c>
      <c r="C383" s="1">
        <v>3.3956882677961899</v>
      </c>
      <c r="G383">
        <v>3.3862382750000002</v>
      </c>
    </row>
    <row r="384" spans="1:7">
      <c r="A384" s="1">
        <v>383</v>
      </c>
      <c r="B384" s="1" t="s">
        <v>180</v>
      </c>
      <c r="C384" s="1">
        <v>3.4673184131067498</v>
      </c>
      <c r="G384">
        <v>3.3045444160000002</v>
      </c>
    </row>
    <row r="385" spans="1:7">
      <c r="A385" s="1">
        <v>384</v>
      </c>
      <c r="B385" s="1" t="s">
        <v>4</v>
      </c>
      <c r="C385" s="1">
        <v>3.6069975657429501</v>
      </c>
      <c r="G385">
        <v>3.5528420629999999</v>
      </c>
    </row>
    <row r="386" spans="1:7">
      <c r="A386" s="1">
        <v>385</v>
      </c>
      <c r="B386" s="1" t="s">
        <v>180</v>
      </c>
      <c r="C386" s="1">
        <v>3.5525047049970402</v>
      </c>
      <c r="G386">
        <v>3.3510716089999999</v>
      </c>
    </row>
    <row r="387" spans="1:7">
      <c r="A387" s="1">
        <v>386</v>
      </c>
      <c r="B387" s="1" t="s">
        <v>4</v>
      </c>
      <c r="C387" s="1">
        <v>3.4459085704228301</v>
      </c>
      <c r="G387">
        <v>3.6769417259999999</v>
      </c>
    </row>
    <row r="388" spans="1:7">
      <c r="A388" s="1">
        <v>387</v>
      </c>
      <c r="B388" s="1" t="s">
        <v>4</v>
      </c>
      <c r="C388" s="1">
        <v>3.7574334689729101</v>
      </c>
      <c r="G388">
        <v>3.0936381540000002</v>
      </c>
    </row>
    <row r="389" spans="1:7">
      <c r="A389" s="1">
        <v>388</v>
      </c>
      <c r="B389" s="1" t="s">
        <v>4</v>
      </c>
      <c r="C389" s="1">
        <v>3.51324643882193</v>
      </c>
      <c r="G389">
        <v>3.3173813569999999</v>
      </c>
    </row>
    <row r="390" spans="1:7">
      <c r="A390" s="1">
        <v>389</v>
      </c>
      <c r="B390" s="1" t="s">
        <v>4</v>
      </c>
      <c r="C390" s="1">
        <v>4.3369607698493802</v>
      </c>
      <c r="G390">
        <v>2.5024807180000002</v>
      </c>
    </row>
    <row r="391" spans="1:7">
      <c r="A391" s="1">
        <v>390</v>
      </c>
      <c r="B391" s="1" t="s">
        <v>4</v>
      </c>
      <c r="C391" s="1">
        <v>3.5842759998703602</v>
      </c>
      <c r="G391">
        <v>3.2064622620000001</v>
      </c>
    </row>
    <row r="392" spans="1:7">
      <c r="A392" s="1">
        <v>391</v>
      </c>
      <c r="B392" s="1" t="s">
        <v>4</v>
      </c>
      <c r="C392" s="1">
        <v>3.0393481817177799</v>
      </c>
      <c r="G392">
        <v>3.40642354</v>
      </c>
    </row>
    <row r="393" spans="1:7">
      <c r="A393" s="1">
        <v>392</v>
      </c>
      <c r="B393" s="1" t="s">
        <v>4</v>
      </c>
      <c r="C393" s="1">
        <v>3.2000447161688501</v>
      </c>
      <c r="G393">
        <v>3.3859580500000002</v>
      </c>
    </row>
    <row r="394" spans="1:7">
      <c r="A394" s="1">
        <v>393</v>
      </c>
      <c r="B394" s="1" t="s">
        <v>4</v>
      </c>
      <c r="C394" s="1">
        <v>2.1984657868617399</v>
      </c>
      <c r="G394">
        <v>3.3544222100000001</v>
      </c>
    </row>
    <row r="395" spans="1:7">
      <c r="A395" s="1">
        <v>394</v>
      </c>
      <c r="B395" s="1" t="s">
        <v>4</v>
      </c>
      <c r="C395" s="1">
        <v>3.5698684436437298</v>
      </c>
      <c r="G395">
        <v>3.4638128080000001</v>
      </c>
    </row>
    <row r="396" spans="1:7">
      <c r="A396" s="1">
        <v>395</v>
      </c>
      <c r="B396" s="1" t="s">
        <v>4</v>
      </c>
      <c r="C396" s="1">
        <v>3.7684381908076299</v>
      </c>
      <c r="G396">
        <v>3.0022153679999999</v>
      </c>
    </row>
    <row r="397" spans="1:7">
      <c r="A397" s="1">
        <v>396</v>
      </c>
      <c r="B397" s="1" t="s">
        <v>4</v>
      </c>
      <c r="C397" s="1">
        <v>3.8410654064922198</v>
      </c>
      <c r="G397">
        <v>3.1761305169999998</v>
      </c>
    </row>
    <row r="398" spans="1:7">
      <c r="A398" s="1">
        <v>397</v>
      </c>
      <c r="B398" s="1" t="s">
        <v>4</v>
      </c>
      <c r="C398" s="1">
        <v>3.4034289758087</v>
      </c>
      <c r="G398">
        <v>2.9532472090000002</v>
      </c>
    </row>
    <row r="399" spans="1:7">
      <c r="A399" s="1">
        <v>398</v>
      </c>
      <c r="B399" s="1" t="s">
        <v>4</v>
      </c>
      <c r="C399" s="1">
        <v>3.4222797239063998</v>
      </c>
      <c r="G399">
        <v>3.5679262089999999</v>
      </c>
    </row>
    <row r="400" spans="1:7">
      <c r="A400" s="1">
        <v>399</v>
      </c>
      <c r="B400" s="1" t="s">
        <v>4</v>
      </c>
      <c r="C400" s="1">
        <v>2.8783490158977001</v>
      </c>
      <c r="G400">
        <v>3.5194571259999998</v>
      </c>
    </row>
    <row r="401" spans="1:7">
      <c r="A401" s="1">
        <v>400</v>
      </c>
      <c r="B401" s="1" t="s">
        <v>4</v>
      </c>
      <c r="C401" s="1">
        <v>3.3390699508952402</v>
      </c>
      <c r="G401">
        <v>2.5106731070000001</v>
      </c>
    </row>
    <row r="402" spans="1:7">
      <c r="A402" s="1">
        <v>401</v>
      </c>
      <c r="B402" s="1" t="s">
        <v>4</v>
      </c>
      <c r="C402" s="1">
        <v>3.3758142563244502</v>
      </c>
      <c r="G402">
        <v>2.8630073029999998</v>
      </c>
    </row>
    <row r="403" spans="1:7">
      <c r="A403" s="1">
        <v>402</v>
      </c>
      <c r="B403" s="1" t="s">
        <v>4</v>
      </c>
      <c r="C403" s="1">
        <v>3.38623827532227</v>
      </c>
      <c r="G403">
        <v>2.952996153</v>
      </c>
    </row>
    <row r="404" spans="1:7">
      <c r="A404" s="1">
        <v>403</v>
      </c>
      <c r="B404" s="1" t="s">
        <v>4</v>
      </c>
      <c r="C404" s="1">
        <v>3.30454441624072</v>
      </c>
      <c r="G404">
        <v>3.3559718790000002</v>
      </c>
    </row>
    <row r="405" spans="1:7">
      <c r="A405" s="1">
        <v>404</v>
      </c>
      <c r="B405" s="1" t="s">
        <v>4</v>
      </c>
      <c r="C405" s="1">
        <v>3.5528420632235398</v>
      </c>
      <c r="G405">
        <v>3.6036614729999998</v>
      </c>
    </row>
    <row r="406" spans="1:7">
      <c r="A406" s="1">
        <v>405</v>
      </c>
      <c r="B406" s="1" t="s">
        <v>4</v>
      </c>
      <c r="C406" s="1">
        <v>3.3510716094509698</v>
      </c>
      <c r="G406">
        <v>3.5223746870000001</v>
      </c>
    </row>
    <row r="407" spans="1:7">
      <c r="A407" s="1">
        <v>406</v>
      </c>
      <c r="B407" s="1" t="s">
        <v>4</v>
      </c>
      <c r="C407" s="1">
        <v>3.67694172563573</v>
      </c>
      <c r="G407">
        <v>3.7377738269999998</v>
      </c>
    </row>
    <row r="408" spans="1:7">
      <c r="A408" s="1">
        <v>407</v>
      </c>
      <c r="B408" s="1" t="s">
        <v>4</v>
      </c>
      <c r="C408" s="1">
        <v>3.0936381537213999</v>
      </c>
      <c r="G408">
        <v>3.697873446</v>
      </c>
    </row>
    <row r="409" spans="1:7">
      <c r="A409" s="1">
        <v>408</v>
      </c>
      <c r="B409" s="1" t="s">
        <v>4</v>
      </c>
      <c r="C409" s="1">
        <v>3.3173813566267398</v>
      </c>
      <c r="G409">
        <v>3.6518820019999998</v>
      </c>
    </row>
    <row r="410" spans="1:7">
      <c r="A410" s="1">
        <v>409</v>
      </c>
      <c r="B410" s="1" t="s">
        <v>4</v>
      </c>
      <c r="C410" s="1">
        <v>2.502480717778</v>
      </c>
      <c r="G410">
        <v>3.1267577580000001</v>
      </c>
    </row>
    <row r="411" spans="1:7">
      <c r="A411" s="1">
        <v>410</v>
      </c>
      <c r="B411" s="1" t="s">
        <v>180</v>
      </c>
      <c r="C411" s="1">
        <v>3.0321145138003001</v>
      </c>
      <c r="G411">
        <v>3.3564956010000002</v>
      </c>
    </row>
    <row r="412" spans="1:7">
      <c r="A412" s="1">
        <v>411</v>
      </c>
      <c r="B412" s="1" t="s">
        <v>180</v>
      </c>
      <c r="C412" s="1">
        <v>3.1185651932854301</v>
      </c>
      <c r="G412">
        <v>3.6347110709999999</v>
      </c>
    </row>
    <row r="413" spans="1:7">
      <c r="A413" s="1">
        <v>412</v>
      </c>
      <c r="B413" s="1" t="s">
        <v>4</v>
      </c>
      <c r="C413" s="1">
        <v>3.2064622623539698</v>
      </c>
      <c r="G413">
        <v>3.5337647759999999</v>
      </c>
    </row>
    <row r="414" spans="1:7">
      <c r="A414" s="1">
        <v>413</v>
      </c>
      <c r="B414" s="1" t="s">
        <v>4</v>
      </c>
      <c r="C414" s="1">
        <v>3.40642353975193</v>
      </c>
      <c r="G414">
        <v>2.830334122</v>
      </c>
    </row>
    <row r="415" spans="1:7">
      <c r="A415" s="1">
        <v>414</v>
      </c>
      <c r="B415" s="1" t="s">
        <v>4</v>
      </c>
      <c r="C415" s="1">
        <v>3.3859580496875301</v>
      </c>
      <c r="G415">
        <v>3.7212677329999999</v>
      </c>
    </row>
    <row r="416" spans="1:7">
      <c r="A416" s="1">
        <v>415</v>
      </c>
      <c r="B416" s="1" t="s">
        <v>180</v>
      </c>
      <c r="C416" s="1">
        <v>3.6968484197155398</v>
      </c>
      <c r="G416">
        <v>3.6708840779999998</v>
      </c>
    </row>
    <row r="417" spans="1:7">
      <c r="A417" s="1">
        <v>416</v>
      </c>
      <c r="B417" s="1" t="s">
        <v>4</v>
      </c>
      <c r="C417" s="1">
        <v>3.3544222098407999</v>
      </c>
      <c r="G417">
        <v>2.9319739739999999</v>
      </c>
    </row>
    <row r="418" spans="1:7">
      <c r="A418" s="1">
        <v>417</v>
      </c>
      <c r="B418" s="1" t="s">
        <v>4</v>
      </c>
      <c r="C418" s="1">
        <v>3.4638128077633001</v>
      </c>
      <c r="G418">
        <v>3.3282305019999998</v>
      </c>
    </row>
    <row r="419" spans="1:7">
      <c r="A419" s="1">
        <v>418</v>
      </c>
      <c r="B419" s="1" t="s">
        <v>4</v>
      </c>
      <c r="C419" s="1">
        <v>3.00221536761984</v>
      </c>
      <c r="G419">
        <v>3.5685220289999999</v>
      </c>
    </row>
    <row r="420" spans="1:7">
      <c r="A420" s="1">
        <v>419</v>
      </c>
      <c r="B420" s="1" t="s">
        <v>4</v>
      </c>
      <c r="C420" s="1">
        <v>3.1761305173504</v>
      </c>
      <c r="G420">
        <v>3.6602037699999999</v>
      </c>
    </row>
    <row r="421" spans="1:7">
      <c r="A421" s="1">
        <v>420</v>
      </c>
      <c r="B421" s="1" t="s">
        <v>4</v>
      </c>
      <c r="C421" s="1">
        <v>2.9532472094762499</v>
      </c>
      <c r="G421">
        <v>3.7867515649999999</v>
      </c>
    </row>
    <row r="422" spans="1:7">
      <c r="A422" s="1">
        <v>421</v>
      </c>
      <c r="B422" s="1" t="s">
        <v>4</v>
      </c>
      <c r="C422" s="1">
        <v>3.5679262090100101</v>
      </c>
      <c r="G422">
        <v>3.7030094980000001</v>
      </c>
    </row>
    <row r="423" spans="1:7">
      <c r="A423" s="1">
        <v>422</v>
      </c>
      <c r="B423" s="1" t="s">
        <v>4</v>
      </c>
      <c r="C423" s="1">
        <v>3.5194571259042302</v>
      </c>
      <c r="G423">
        <v>2.8408283490000001</v>
      </c>
    </row>
    <row r="424" spans="1:7">
      <c r="A424" s="1">
        <v>423</v>
      </c>
      <c r="B424" s="1" t="s">
        <v>4</v>
      </c>
      <c r="C424" s="1">
        <v>2.5106731067833401</v>
      </c>
      <c r="G424">
        <v>2.4438495279999999</v>
      </c>
    </row>
    <row r="425" spans="1:7">
      <c r="A425" s="1">
        <v>424</v>
      </c>
      <c r="B425" s="1" t="s">
        <v>4</v>
      </c>
      <c r="C425" s="1">
        <v>2.8630073029327301</v>
      </c>
      <c r="G425">
        <v>3.535401464</v>
      </c>
    </row>
    <row r="426" spans="1:7">
      <c r="A426" s="1">
        <v>425</v>
      </c>
      <c r="B426" s="1" t="s">
        <v>4</v>
      </c>
      <c r="C426" s="1">
        <v>2.9529961529562598</v>
      </c>
      <c r="G426">
        <v>3.8057732309999999</v>
      </c>
    </row>
    <row r="427" spans="1:7">
      <c r="A427" s="1">
        <v>426</v>
      </c>
      <c r="B427" s="1" t="s">
        <v>4</v>
      </c>
      <c r="C427" s="1">
        <v>3.3559718788189801</v>
      </c>
      <c r="G427">
        <v>3.6805815439999998</v>
      </c>
    </row>
    <row r="428" spans="1:7">
      <c r="A428" s="1">
        <v>427</v>
      </c>
      <c r="B428" s="1" t="s">
        <v>4</v>
      </c>
      <c r="C428" s="1">
        <v>3.6036614734510901</v>
      </c>
      <c r="G428">
        <v>3.60103828</v>
      </c>
    </row>
    <row r="429" spans="1:7">
      <c r="A429" s="1">
        <v>428</v>
      </c>
      <c r="B429" s="1" t="s">
        <v>4</v>
      </c>
      <c r="C429" s="1">
        <v>3.5223746873053901</v>
      </c>
      <c r="G429">
        <v>2.9011668049999999</v>
      </c>
    </row>
    <row r="430" spans="1:7">
      <c r="A430" s="1">
        <v>429</v>
      </c>
      <c r="B430" s="1" t="s">
        <v>4</v>
      </c>
      <c r="C430" s="1">
        <v>3.7377738271688998</v>
      </c>
      <c r="G430">
        <v>3.656665265</v>
      </c>
    </row>
    <row r="431" spans="1:7">
      <c r="A431" s="1">
        <v>430</v>
      </c>
      <c r="B431" s="1" t="s">
        <v>4</v>
      </c>
      <c r="C431" s="1">
        <v>3.69787344598755</v>
      </c>
      <c r="G431">
        <v>3.5274019230000002</v>
      </c>
    </row>
    <row r="432" spans="1:7">
      <c r="A432" s="1">
        <v>431</v>
      </c>
      <c r="B432" s="1" t="s">
        <v>4</v>
      </c>
      <c r="C432" s="1">
        <v>3.65188200248283</v>
      </c>
      <c r="G432">
        <v>3.8102066630000002</v>
      </c>
    </row>
    <row r="433" spans="1:7">
      <c r="A433" s="1">
        <v>432</v>
      </c>
      <c r="B433" s="1" t="s">
        <v>4</v>
      </c>
      <c r="C433" s="1">
        <v>3.1267577580340702</v>
      </c>
      <c r="G433">
        <v>3.4317578989999999</v>
      </c>
    </row>
    <row r="434" spans="1:7">
      <c r="A434" s="1">
        <v>433</v>
      </c>
      <c r="B434" s="1" t="s">
        <v>4</v>
      </c>
      <c r="C434" s="1">
        <v>3.3564956012266598</v>
      </c>
      <c r="G434">
        <v>3.554723804</v>
      </c>
    </row>
    <row r="435" spans="1:7">
      <c r="A435" s="1">
        <v>434</v>
      </c>
      <c r="B435" s="1" t="s">
        <v>4</v>
      </c>
      <c r="C435" s="1">
        <v>3.6347110709774499</v>
      </c>
      <c r="G435">
        <v>3.8065953690000001</v>
      </c>
    </row>
    <row r="436" spans="1:7">
      <c r="A436" s="1">
        <v>435</v>
      </c>
      <c r="B436" s="1" t="s">
        <v>4</v>
      </c>
      <c r="C436" s="1">
        <v>3.5337647755443302</v>
      </c>
      <c r="G436">
        <v>3.6535508390000002</v>
      </c>
    </row>
    <row r="437" spans="1:7">
      <c r="A437" s="1">
        <v>436</v>
      </c>
      <c r="B437" s="1" t="s">
        <v>4</v>
      </c>
      <c r="C437" s="1">
        <v>2.8303341224863701</v>
      </c>
      <c r="G437">
        <v>3.6914591699999999</v>
      </c>
    </row>
    <row r="438" spans="1:7">
      <c r="A438" s="1">
        <v>437</v>
      </c>
      <c r="B438" s="1" t="s">
        <v>4</v>
      </c>
      <c r="C438" s="1">
        <v>3.7212677332842299</v>
      </c>
      <c r="G438">
        <v>2.771389975</v>
      </c>
    </row>
    <row r="439" spans="1:7">
      <c r="A439" s="1">
        <v>438</v>
      </c>
      <c r="B439" s="1" t="s">
        <v>4</v>
      </c>
      <c r="C439" s="1">
        <v>3.6708840781558498</v>
      </c>
      <c r="G439">
        <v>3.3805427790000002</v>
      </c>
    </row>
    <row r="440" spans="1:7">
      <c r="A440" s="1">
        <v>439</v>
      </c>
      <c r="B440" s="1" t="s">
        <v>4</v>
      </c>
      <c r="C440" s="1">
        <v>2.93197397366044</v>
      </c>
      <c r="G440">
        <v>3.61331238</v>
      </c>
    </row>
    <row r="441" spans="1:7">
      <c r="A441" s="1">
        <v>440</v>
      </c>
      <c r="B441" s="1" t="s">
        <v>4</v>
      </c>
      <c r="C441" s="1">
        <v>3.3282305015943998</v>
      </c>
      <c r="G441">
        <v>2.4236360239999999</v>
      </c>
    </row>
    <row r="442" spans="1:7">
      <c r="A442" s="1">
        <v>441</v>
      </c>
      <c r="B442" s="1" t="s">
        <v>4</v>
      </c>
      <c r="C442" s="1">
        <v>3.5685220294411901</v>
      </c>
      <c r="G442">
        <v>3.729553686</v>
      </c>
    </row>
    <row r="443" spans="1:7">
      <c r="A443" s="1">
        <v>442</v>
      </c>
      <c r="B443" s="1" t="s">
        <v>4</v>
      </c>
      <c r="C443" s="1">
        <v>3.6602037700067598</v>
      </c>
      <c r="G443">
        <v>3.4309938789999999</v>
      </c>
    </row>
    <row r="444" spans="1:7">
      <c r="A444" s="1">
        <v>443</v>
      </c>
      <c r="B444" s="1" t="s">
        <v>4</v>
      </c>
      <c r="C444" s="1">
        <v>3.7867515646810102</v>
      </c>
      <c r="G444">
        <v>3.7690910770000001</v>
      </c>
    </row>
    <row r="445" spans="1:7">
      <c r="A445" s="1">
        <v>444</v>
      </c>
      <c r="B445" s="1" t="s">
        <v>4</v>
      </c>
      <c r="C445" s="1">
        <v>3.7030094981737198</v>
      </c>
      <c r="G445">
        <v>3.3838169530000002</v>
      </c>
    </row>
    <row r="446" spans="1:7">
      <c r="A446" s="1">
        <v>445</v>
      </c>
      <c r="B446" s="1" t="s">
        <v>4</v>
      </c>
      <c r="C446" s="1">
        <v>2.84082834942462</v>
      </c>
      <c r="G446">
        <v>2.8403775699999998</v>
      </c>
    </row>
    <row r="447" spans="1:7">
      <c r="A447" s="1">
        <v>446</v>
      </c>
      <c r="B447" s="1" t="s">
        <v>4</v>
      </c>
      <c r="C447" s="1">
        <v>2.44384952771096</v>
      </c>
      <c r="G447">
        <v>3.7563761050000002</v>
      </c>
    </row>
    <row r="448" spans="1:7">
      <c r="A448" s="1">
        <v>447</v>
      </c>
      <c r="B448" s="1" t="s">
        <v>4</v>
      </c>
      <c r="C448" s="1">
        <v>3.53540146401751</v>
      </c>
      <c r="G448">
        <v>3.6108926669999999</v>
      </c>
    </row>
    <row r="449" spans="1:7">
      <c r="A449" s="1">
        <v>448</v>
      </c>
      <c r="B449" s="1" t="s">
        <v>4</v>
      </c>
      <c r="C449" s="1">
        <v>3.8057732309160999</v>
      </c>
      <c r="G449">
        <v>3.328960817</v>
      </c>
    </row>
    <row r="450" spans="1:7">
      <c r="A450" s="1">
        <v>449</v>
      </c>
      <c r="B450" s="1" t="s">
        <v>4</v>
      </c>
      <c r="C450" s="1">
        <v>3.6805815435397</v>
      </c>
      <c r="G450">
        <v>3.5312563959999999</v>
      </c>
    </row>
    <row r="451" spans="1:7">
      <c r="A451" s="1">
        <v>450</v>
      </c>
      <c r="B451" s="1" t="s">
        <v>4</v>
      </c>
      <c r="C451" s="1">
        <v>3.6010382802820402</v>
      </c>
      <c r="G451">
        <v>3.6693971329999999</v>
      </c>
    </row>
    <row r="452" spans="1:7">
      <c r="A452" s="1">
        <v>451</v>
      </c>
      <c r="B452" s="1" t="s">
        <v>4</v>
      </c>
      <c r="C452" s="1">
        <v>2.9011668049135699</v>
      </c>
      <c r="G452">
        <v>3.6049085779999999</v>
      </c>
    </row>
    <row r="453" spans="1:7">
      <c r="A453" s="1">
        <v>452</v>
      </c>
      <c r="B453" s="1" t="s">
        <v>180</v>
      </c>
      <c r="C453" s="1">
        <v>3.4329421967521898</v>
      </c>
      <c r="G453">
        <v>3.6251233269999998</v>
      </c>
    </row>
    <row r="454" spans="1:7">
      <c r="A454" s="1">
        <v>453</v>
      </c>
      <c r="B454" s="1" t="s">
        <v>4</v>
      </c>
      <c r="C454" s="1">
        <v>3.65666526523166</v>
      </c>
      <c r="G454">
        <v>2.28152467</v>
      </c>
    </row>
    <row r="455" spans="1:7">
      <c r="A455" s="1">
        <v>454</v>
      </c>
      <c r="B455" s="1" t="s">
        <v>4</v>
      </c>
      <c r="C455" s="1">
        <v>3.5274019225791302</v>
      </c>
      <c r="G455">
        <v>3.639763646</v>
      </c>
    </row>
    <row r="456" spans="1:7">
      <c r="A456" s="1">
        <v>455</v>
      </c>
      <c r="B456" s="1" t="s">
        <v>4</v>
      </c>
      <c r="C456" s="1">
        <v>3.8102066631934202</v>
      </c>
      <c r="G456">
        <v>3.3539138070000001</v>
      </c>
    </row>
    <row r="457" spans="1:7">
      <c r="A457" s="1">
        <v>456</v>
      </c>
      <c r="B457" s="1" t="s">
        <v>4</v>
      </c>
      <c r="C457" s="1">
        <v>3.4317578988838999</v>
      </c>
      <c r="G457">
        <v>3.2475235370000002</v>
      </c>
    </row>
    <row r="458" spans="1:7">
      <c r="A458" s="1">
        <v>457</v>
      </c>
      <c r="B458" s="1" t="s">
        <v>4</v>
      </c>
      <c r="C458" s="1">
        <v>3.5547238040003299</v>
      </c>
      <c r="G458">
        <v>3.457873051</v>
      </c>
    </row>
    <row r="459" spans="1:7">
      <c r="A459" s="1">
        <v>458</v>
      </c>
      <c r="B459" s="1" t="s">
        <v>180</v>
      </c>
      <c r="C459" s="1">
        <v>2.98326377276749</v>
      </c>
      <c r="G459">
        <v>3.5183859800000001</v>
      </c>
    </row>
    <row r="460" spans="1:7">
      <c r="A460" s="1">
        <v>459</v>
      </c>
      <c r="B460" s="1" t="s">
        <v>4</v>
      </c>
      <c r="C460" s="1">
        <v>3.8065953690843002</v>
      </c>
      <c r="G460">
        <v>3.5921566899999999</v>
      </c>
    </row>
    <row r="461" spans="1:7">
      <c r="A461" s="1">
        <v>460</v>
      </c>
      <c r="B461" s="1" t="s">
        <v>4</v>
      </c>
      <c r="C461" s="1">
        <v>3.65355083852804</v>
      </c>
      <c r="G461">
        <v>3.4879415819999999</v>
      </c>
    </row>
    <row r="462" spans="1:7">
      <c r="A462" s="1">
        <v>461</v>
      </c>
      <c r="B462" s="1" t="s">
        <v>4</v>
      </c>
      <c r="C462" s="1">
        <v>3.6914591703934101</v>
      </c>
      <c r="G462">
        <v>3.1474245079999998</v>
      </c>
    </row>
    <row r="463" spans="1:7">
      <c r="A463" s="1">
        <v>462</v>
      </c>
      <c r="B463" s="1" t="s">
        <v>4</v>
      </c>
      <c r="C463" s="1">
        <v>2.7713899745280499</v>
      </c>
      <c r="G463">
        <v>2.6026581389999999</v>
      </c>
    </row>
    <row r="464" spans="1:7">
      <c r="A464" s="1">
        <v>463</v>
      </c>
      <c r="B464" s="1" t="s">
        <v>4</v>
      </c>
      <c r="C464" s="1">
        <v>3.3805427794976399</v>
      </c>
      <c r="G464">
        <v>3.6273346860000002</v>
      </c>
    </row>
    <row r="465" spans="1:7">
      <c r="A465" s="1">
        <v>464</v>
      </c>
      <c r="B465" s="1" t="s">
        <v>4</v>
      </c>
      <c r="C465" s="1">
        <v>3.6133123804891998</v>
      </c>
      <c r="G465">
        <v>3.5060296869999998</v>
      </c>
    </row>
    <row r="466" spans="1:7">
      <c r="A466" s="1">
        <v>465</v>
      </c>
      <c r="B466" s="1" t="s">
        <v>4</v>
      </c>
      <c r="C466" s="1">
        <v>2.4236360235155798</v>
      </c>
      <c r="G466">
        <v>2.5234571360000002</v>
      </c>
    </row>
    <row r="467" spans="1:7">
      <c r="A467" s="1">
        <v>466</v>
      </c>
      <c r="B467" s="1" t="s">
        <v>4</v>
      </c>
      <c r="C467" s="1">
        <v>3.7295536864312901</v>
      </c>
      <c r="G467">
        <v>3.381654127</v>
      </c>
    </row>
    <row r="468" spans="1:7">
      <c r="A468" s="1">
        <v>467</v>
      </c>
      <c r="B468" s="1" t="s">
        <v>4</v>
      </c>
      <c r="C468" s="1">
        <v>3.4309938788203498</v>
      </c>
      <c r="G468">
        <v>3.2012850450000001</v>
      </c>
    </row>
    <row r="469" spans="1:7">
      <c r="A469" s="1">
        <v>468</v>
      </c>
      <c r="B469" s="1" t="s">
        <v>4</v>
      </c>
      <c r="C469" s="1">
        <v>3.7690910771298101</v>
      </c>
      <c r="G469">
        <v>3.626203045</v>
      </c>
    </row>
    <row r="470" spans="1:7">
      <c r="A470" s="1">
        <v>469</v>
      </c>
      <c r="B470" s="1" t="s">
        <v>4</v>
      </c>
      <c r="C470" s="1">
        <v>3.3838169527144601</v>
      </c>
      <c r="G470">
        <v>3.3766729660000001</v>
      </c>
    </row>
    <row r="471" spans="1:7">
      <c r="A471" s="1">
        <v>470</v>
      </c>
      <c r="B471" s="1" t="s">
        <v>4</v>
      </c>
      <c r="C471" s="1">
        <v>2.8403775703009302</v>
      </c>
      <c r="G471">
        <v>3.469617859</v>
      </c>
    </row>
    <row r="472" spans="1:7">
      <c r="A472" s="1">
        <v>471</v>
      </c>
      <c r="B472" s="1" t="s">
        <v>4</v>
      </c>
      <c r="C472" s="1">
        <v>3.7563761046205801</v>
      </c>
      <c r="G472">
        <v>2.3655480130000002</v>
      </c>
    </row>
    <row r="473" spans="1:7">
      <c r="A473" s="1">
        <v>472</v>
      </c>
      <c r="B473" s="1" t="s">
        <v>4</v>
      </c>
      <c r="C473" s="1">
        <v>3.61089266704013</v>
      </c>
      <c r="G473">
        <v>3.301994541</v>
      </c>
    </row>
    <row r="474" spans="1:7">
      <c r="A474" s="1">
        <v>473</v>
      </c>
      <c r="B474" s="1" t="s">
        <v>4</v>
      </c>
      <c r="C474" s="1">
        <v>3.3289608165139</v>
      </c>
      <c r="G474">
        <v>3.2599318259999999</v>
      </c>
    </row>
    <row r="475" spans="1:7">
      <c r="A475" s="1">
        <v>474</v>
      </c>
      <c r="B475" s="1" t="s">
        <v>4</v>
      </c>
      <c r="C475" s="1">
        <v>3.5312563959259502</v>
      </c>
      <c r="G475">
        <v>3.6585421550000001</v>
      </c>
    </row>
    <row r="476" spans="1:7">
      <c r="A476" s="1">
        <v>475</v>
      </c>
      <c r="B476" s="1" t="s">
        <v>4</v>
      </c>
      <c r="C476" s="1">
        <v>3.6693971333454498</v>
      </c>
      <c r="G476">
        <v>3.2437959369999998</v>
      </c>
    </row>
    <row r="477" spans="1:7">
      <c r="A477" s="1">
        <v>476</v>
      </c>
      <c r="B477" s="1" t="s">
        <v>4</v>
      </c>
      <c r="C477" s="1">
        <v>3.6049085782303099</v>
      </c>
      <c r="G477">
        <v>3.0754456989999999</v>
      </c>
    </row>
    <row r="478" spans="1:7">
      <c r="A478" s="1">
        <v>477</v>
      </c>
      <c r="B478" s="1" t="s">
        <v>4</v>
      </c>
      <c r="C478" s="1">
        <v>3.6251233269973899</v>
      </c>
      <c r="G478">
        <v>3.1464115979999998</v>
      </c>
    </row>
    <row r="479" spans="1:7">
      <c r="A479" s="1">
        <v>478</v>
      </c>
      <c r="B479" s="1" t="s">
        <v>4</v>
      </c>
      <c r="C479" s="1">
        <v>2.2815246695340901</v>
      </c>
      <c r="G479">
        <v>3.0296771250000001</v>
      </c>
    </row>
    <row r="480" spans="1:7">
      <c r="A480" s="1">
        <v>479</v>
      </c>
      <c r="B480" s="1" t="s">
        <v>4</v>
      </c>
      <c r="C480" s="1">
        <v>3.6397636459042402</v>
      </c>
      <c r="G480">
        <v>3.0626960900000002</v>
      </c>
    </row>
    <row r="481" spans="1:7">
      <c r="A481" s="1">
        <v>480</v>
      </c>
      <c r="B481" s="1" t="s">
        <v>4</v>
      </c>
      <c r="C481" s="1">
        <v>3.35391380693338</v>
      </c>
      <c r="G481">
        <v>3.0359957780000002</v>
      </c>
    </row>
    <row r="482" spans="1:7">
      <c r="A482" s="1">
        <v>481</v>
      </c>
      <c r="B482" s="1" t="s">
        <v>4</v>
      </c>
      <c r="C482" s="1">
        <v>3.2475235374858</v>
      </c>
      <c r="G482">
        <v>3.4385153019999999</v>
      </c>
    </row>
    <row r="483" spans="1:7">
      <c r="A483" s="1">
        <v>482</v>
      </c>
      <c r="B483" s="1" t="s">
        <v>4</v>
      </c>
      <c r="C483" s="1">
        <v>3.4578730506971902</v>
      </c>
      <c r="G483">
        <v>3.5162420459999999</v>
      </c>
    </row>
    <row r="484" spans="1:7">
      <c r="A484" s="1">
        <v>483</v>
      </c>
      <c r="B484" s="1" t="s">
        <v>180</v>
      </c>
      <c r="C484" s="1">
        <v>2.6127489482434001</v>
      </c>
      <c r="G484">
        <v>3.3480102079999998</v>
      </c>
    </row>
    <row r="485" spans="1:7">
      <c r="A485" s="1">
        <v>484</v>
      </c>
      <c r="B485" s="1" t="s">
        <v>4</v>
      </c>
      <c r="C485" s="1">
        <v>3.51838598029045</v>
      </c>
      <c r="G485">
        <v>3.5658422650000001</v>
      </c>
    </row>
    <row r="486" spans="1:7">
      <c r="A486" s="1">
        <v>485</v>
      </c>
      <c r="B486" s="1" t="s">
        <v>4</v>
      </c>
      <c r="C486" s="1">
        <v>3.5921566898892099</v>
      </c>
      <c r="G486">
        <v>2.6786955950000002</v>
      </c>
    </row>
    <row r="487" spans="1:7">
      <c r="A487" s="1">
        <v>486</v>
      </c>
      <c r="B487" s="1" t="s">
        <v>4</v>
      </c>
      <c r="C487" s="1">
        <v>3.4879415817323398</v>
      </c>
      <c r="G487">
        <v>3.0612069960000001</v>
      </c>
    </row>
    <row r="488" spans="1:7">
      <c r="A488" s="1">
        <v>487</v>
      </c>
      <c r="B488" s="1" t="s">
        <v>4</v>
      </c>
      <c r="C488" s="1">
        <v>3.1474245075912699</v>
      </c>
      <c r="G488">
        <v>3.3764400970000001</v>
      </c>
    </row>
    <row r="489" spans="1:7">
      <c r="A489" s="1">
        <v>488</v>
      </c>
      <c r="B489" s="1" t="s">
        <v>4</v>
      </c>
      <c r="C489" s="1">
        <v>2.6026581392228398</v>
      </c>
      <c r="G489">
        <v>2.378378385</v>
      </c>
    </row>
    <row r="490" spans="1:7">
      <c r="A490" s="1">
        <v>489</v>
      </c>
      <c r="B490" s="1" t="s">
        <v>4</v>
      </c>
      <c r="C490" s="1">
        <v>3.6273346856938899</v>
      </c>
      <c r="G490">
        <v>2.9977488960000001</v>
      </c>
    </row>
    <row r="491" spans="1:7">
      <c r="A491" s="1">
        <v>490</v>
      </c>
      <c r="B491" s="1" t="s">
        <v>4</v>
      </c>
      <c r="C491" s="1">
        <v>3.5060296866279499</v>
      </c>
      <c r="G491">
        <v>3.3786135069999998</v>
      </c>
    </row>
    <row r="492" spans="1:7">
      <c r="A492" s="1">
        <v>491</v>
      </c>
      <c r="B492" s="1" t="s">
        <v>4</v>
      </c>
      <c r="C492" s="1">
        <v>2.5234571361527198</v>
      </c>
      <c r="G492">
        <v>3.4164995039999999</v>
      </c>
    </row>
    <row r="493" spans="1:7">
      <c r="A493" s="1">
        <v>492</v>
      </c>
      <c r="B493" s="1" t="s">
        <v>4</v>
      </c>
      <c r="C493" s="1">
        <v>3.3816541271258802</v>
      </c>
      <c r="G493">
        <v>3.41574417</v>
      </c>
    </row>
    <row r="494" spans="1:7">
      <c r="A494" s="1">
        <v>493</v>
      </c>
      <c r="B494" s="1" t="s">
        <v>180</v>
      </c>
      <c r="C494" s="1">
        <v>3.6911862761912002</v>
      </c>
      <c r="G494">
        <v>2.7939215279999998</v>
      </c>
    </row>
    <row r="495" spans="1:7">
      <c r="A495" s="1">
        <v>494</v>
      </c>
      <c r="B495" s="1" t="s">
        <v>4</v>
      </c>
      <c r="C495" s="1">
        <v>3.2012850454109301</v>
      </c>
      <c r="G495">
        <v>3.0119766299999999</v>
      </c>
    </row>
    <row r="496" spans="1:7">
      <c r="A496" s="1">
        <v>495</v>
      </c>
      <c r="B496" s="1" t="s">
        <v>4</v>
      </c>
      <c r="C496" s="1">
        <v>3.6262030453043499</v>
      </c>
      <c r="G496">
        <v>3.0270829250000002</v>
      </c>
    </row>
    <row r="497" spans="1:7">
      <c r="A497" s="1">
        <v>496</v>
      </c>
      <c r="B497" s="1" t="s">
        <v>4</v>
      </c>
      <c r="C497" s="1">
        <v>3.3766729657881198</v>
      </c>
      <c r="G497">
        <v>2.7792956599999998</v>
      </c>
    </row>
    <row r="498" spans="1:7">
      <c r="A498" s="1">
        <v>497</v>
      </c>
      <c r="B498" s="1" t="s">
        <v>4</v>
      </c>
      <c r="C498" s="1">
        <v>3.4696178589909201</v>
      </c>
      <c r="G498">
        <v>3.0563481860000001</v>
      </c>
    </row>
    <row r="499" spans="1:7">
      <c r="A499" s="1">
        <v>498</v>
      </c>
      <c r="B499" s="1" t="s">
        <v>180</v>
      </c>
      <c r="C499" s="1">
        <v>2.8691704655139501</v>
      </c>
      <c r="G499">
        <v>3.716910639</v>
      </c>
    </row>
    <row r="500" spans="1:7">
      <c r="A500" s="1">
        <v>499</v>
      </c>
      <c r="B500" s="1" t="s">
        <v>4</v>
      </c>
      <c r="C500" s="1">
        <v>2.36554801338858</v>
      </c>
      <c r="G500">
        <v>3.7073581519999999</v>
      </c>
    </row>
    <row r="501" spans="1:7">
      <c r="A501" s="1">
        <v>500</v>
      </c>
      <c r="B501" s="1" t="s">
        <v>4</v>
      </c>
      <c r="C501" s="1">
        <v>3.3019945407527098</v>
      </c>
      <c r="G501">
        <v>3.2849537230000001</v>
      </c>
    </row>
    <row r="502" spans="1:7">
      <c r="A502" s="1">
        <v>501</v>
      </c>
      <c r="B502" s="1" t="s">
        <v>4</v>
      </c>
      <c r="C502" s="1">
        <v>3.2599318259253298</v>
      </c>
      <c r="G502">
        <v>3.528011877</v>
      </c>
    </row>
    <row r="503" spans="1:7">
      <c r="A503" s="1">
        <v>502</v>
      </c>
      <c r="B503" s="1" t="s">
        <v>4</v>
      </c>
      <c r="C503" s="1">
        <v>3.65854215463456</v>
      </c>
      <c r="G503">
        <v>2.3716451169999999</v>
      </c>
    </row>
    <row r="504" spans="1:7">
      <c r="A504" s="1">
        <v>503</v>
      </c>
      <c r="B504" s="1" t="s">
        <v>4</v>
      </c>
      <c r="C504" s="1">
        <v>3.2437959372981102</v>
      </c>
      <c r="G504">
        <v>2.7945419999999999</v>
      </c>
    </row>
    <row r="505" spans="1:7">
      <c r="A505" s="1">
        <v>504</v>
      </c>
      <c r="B505" s="1" t="s">
        <v>180</v>
      </c>
      <c r="C505" s="1">
        <v>3.68005235968924</v>
      </c>
      <c r="G505">
        <v>3.4543539129999998</v>
      </c>
    </row>
    <row r="506" spans="1:7">
      <c r="A506" s="1">
        <v>505</v>
      </c>
      <c r="B506" s="1" t="s">
        <v>4</v>
      </c>
      <c r="C506" s="1">
        <v>3.0754456990191499</v>
      </c>
      <c r="G506">
        <v>3.7694769799999999</v>
      </c>
    </row>
    <row r="507" spans="1:7">
      <c r="A507" s="1">
        <v>506</v>
      </c>
      <c r="B507" s="1" t="s">
        <v>180</v>
      </c>
      <c r="C507" s="1">
        <v>3.7134378795202401</v>
      </c>
      <c r="G507">
        <v>3.6507001479999999</v>
      </c>
    </row>
    <row r="508" spans="1:7">
      <c r="A508" s="1">
        <v>507</v>
      </c>
      <c r="B508" s="1" t="s">
        <v>180</v>
      </c>
      <c r="C508" s="1">
        <v>3.28700745296074</v>
      </c>
      <c r="G508">
        <v>3.1610068770000002</v>
      </c>
    </row>
    <row r="509" spans="1:7">
      <c r="A509" s="1">
        <v>508</v>
      </c>
      <c r="B509" s="1" t="s">
        <v>4</v>
      </c>
      <c r="C509" s="1">
        <v>3.1464115981091698</v>
      </c>
      <c r="G509">
        <v>3.146197924</v>
      </c>
    </row>
    <row r="510" spans="1:7">
      <c r="A510" s="1">
        <v>509</v>
      </c>
      <c r="B510" s="1" t="s">
        <v>4</v>
      </c>
      <c r="C510" s="1">
        <v>3.02967712508178</v>
      </c>
      <c r="G510">
        <v>2.3664347170000002</v>
      </c>
    </row>
    <row r="511" spans="1:7">
      <c r="A511" s="1">
        <v>510</v>
      </c>
      <c r="B511" s="1" t="s">
        <v>4</v>
      </c>
      <c r="C511" s="1">
        <v>3.0626960900625102</v>
      </c>
      <c r="G511">
        <v>3.1017418289999998</v>
      </c>
    </row>
    <row r="512" spans="1:7">
      <c r="A512" s="1">
        <v>511</v>
      </c>
      <c r="B512" s="1" t="s">
        <v>4</v>
      </c>
      <c r="C512" s="1">
        <v>3.0359957781051201</v>
      </c>
      <c r="G512">
        <v>3.2319493819999998</v>
      </c>
    </row>
    <row r="513" spans="1:7">
      <c r="A513" s="1">
        <v>512</v>
      </c>
      <c r="B513" s="1" t="s">
        <v>180</v>
      </c>
      <c r="C513" s="1">
        <v>3.5304482345607502</v>
      </c>
      <c r="G513">
        <v>3.6781115500000001</v>
      </c>
    </row>
    <row r="514" spans="1:7">
      <c r="A514" s="1">
        <v>513</v>
      </c>
      <c r="B514" s="1" t="s">
        <v>4</v>
      </c>
      <c r="C514" s="1">
        <v>3.4385153016569099</v>
      </c>
      <c r="G514">
        <v>3.6938871940000002</v>
      </c>
    </row>
    <row r="515" spans="1:7">
      <c r="A515" s="1">
        <v>514</v>
      </c>
      <c r="B515" s="1" t="s">
        <v>4</v>
      </c>
      <c r="C515" s="1">
        <v>3.51624204627623</v>
      </c>
      <c r="G515">
        <v>3.6444164209999999</v>
      </c>
    </row>
    <row r="516" spans="1:7">
      <c r="A516" s="1">
        <v>515</v>
      </c>
      <c r="B516" s="1" t="s">
        <v>180</v>
      </c>
      <c r="C516" s="1">
        <v>3.5204222947731099</v>
      </c>
      <c r="G516">
        <v>3.1770048649999998</v>
      </c>
    </row>
    <row r="517" spans="1:7">
      <c r="A517" s="1">
        <v>516</v>
      </c>
      <c r="B517" s="1" t="s">
        <v>4</v>
      </c>
      <c r="C517" s="1">
        <v>3.3480102083349799</v>
      </c>
      <c r="G517">
        <v>3.326332302</v>
      </c>
    </row>
    <row r="518" spans="1:7">
      <c r="A518" s="1">
        <v>517</v>
      </c>
      <c r="B518" s="1" t="s">
        <v>4</v>
      </c>
      <c r="C518" s="1">
        <v>3.5658422654822499</v>
      </c>
      <c r="G518">
        <v>3.478261206</v>
      </c>
    </row>
    <row r="519" spans="1:7">
      <c r="A519" s="1">
        <v>518</v>
      </c>
      <c r="B519" s="1" t="s">
        <v>4</v>
      </c>
      <c r="C519" s="1">
        <v>2.6786955949132998</v>
      </c>
      <c r="G519">
        <v>3.6206401920000002</v>
      </c>
    </row>
    <row r="520" spans="1:7">
      <c r="A520" s="1">
        <v>519</v>
      </c>
      <c r="B520" s="1" t="s">
        <v>4</v>
      </c>
      <c r="C520" s="1">
        <v>3.06120699623829</v>
      </c>
      <c r="G520">
        <v>2.8919512090000001</v>
      </c>
    </row>
    <row r="521" spans="1:7">
      <c r="A521" s="1">
        <v>520</v>
      </c>
      <c r="B521" s="1" t="s">
        <v>4</v>
      </c>
      <c r="C521" s="1">
        <v>3.3764400969427899</v>
      </c>
      <c r="G521">
        <v>2.5046514279999998</v>
      </c>
    </row>
    <row r="522" spans="1:7">
      <c r="A522" s="1">
        <v>521</v>
      </c>
      <c r="B522" s="1" t="s">
        <v>4</v>
      </c>
      <c r="C522" s="1">
        <v>2.3783783845819699</v>
      </c>
      <c r="G522">
        <v>3.371594038</v>
      </c>
    </row>
    <row r="523" spans="1:7">
      <c r="A523" s="1">
        <v>522</v>
      </c>
      <c r="B523" s="1" t="s">
        <v>180</v>
      </c>
      <c r="C523" s="1">
        <v>3.44738749365998</v>
      </c>
      <c r="G523">
        <v>2.8033733879999998</v>
      </c>
    </row>
    <row r="524" spans="1:7">
      <c r="A524" s="1">
        <v>523</v>
      </c>
      <c r="B524" s="1" t="s">
        <v>4</v>
      </c>
      <c r="C524" s="1">
        <v>2.9977488955491198</v>
      </c>
      <c r="G524">
        <v>3.289766497</v>
      </c>
    </row>
    <row r="525" spans="1:7">
      <c r="A525" s="1">
        <v>524</v>
      </c>
      <c r="B525" s="1" t="s">
        <v>4</v>
      </c>
      <c r="C525" s="1">
        <v>3.37861350736787</v>
      </c>
      <c r="G525">
        <v>3.286305407</v>
      </c>
    </row>
    <row r="526" spans="1:7">
      <c r="A526" s="1">
        <v>525</v>
      </c>
      <c r="B526" s="1" t="s">
        <v>180</v>
      </c>
      <c r="C526" s="1">
        <v>3.7123945707844301</v>
      </c>
      <c r="G526">
        <v>3.5400277450000002</v>
      </c>
    </row>
    <row r="527" spans="1:7">
      <c r="A527" s="1">
        <v>526</v>
      </c>
      <c r="B527" s="1" t="s">
        <v>4</v>
      </c>
      <c r="C527" s="1">
        <v>3.4164995038188199</v>
      </c>
      <c r="G527">
        <v>2.127378851</v>
      </c>
    </row>
    <row r="528" spans="1:7">
      <c r="A528" s="1">
        <v>527</v>
      </c>
      <c r="B528" s="1" t="s">
        <v>4</v>
      </c>
      <c r="C528" s="1">
        <v>3.4157441695830499</v>
      </c>
      <c r="G528">
        <v>3.5449774139999999</v>
      </c>
    </row>
    <row r="529" spans="1:7">
      <c r="A529" s="1">
        <v>528</v>
      </c>
      <c r="B529" s="1" t="s">
        <v>4</v>
      </c>
      <c r="C529" s="1">
        <v>2.7939215284220702</v>
      </c>
      <c r="G529">
        <v>3.3986400849999998</v>
      </c>
    </row>
    <row r="530" spans="1:7">
      <c r="A530" s="1">
        <v>529</v>
      </c>
      <c r="B530" s="1" t="s">
        <v>4</v>
      </c>
      <c r="C530" s="1">
        <v>3.01197662992496</v>
      </c>
      <c r="G530">
        <v>3.534030327</v>
      </c>
    </row>
    <row r="531" spans="1:7">
      <c r="A531" s="1">
        <v>530</v>
      </c>
      <c r="B531" s="1" t="s">
        <v>4</v>
      </c>
      <c r="C531" s="1">
        <v>3.0270829245366899</v>
      </c>
      <c r="G531">
        <v>3.442897919</v>
      </c>
    </row>
    <row r="532" spans="1:7">
      <c r="A532" s="1">
        <v>531</v>
      </c>
      <c r="B532" s="1" t="s">
        <v>180</v>
      </c>
      <c r="C532" s="1">
        <v>3.6339826223374199</v>
      </c>
      <c r="G532">
        <v>3.7666223670000001</v>
      </c>
    </row>
    <row r="533" spans="1:7">
      <c r="A533" s="1">
        <v>532</v>
      </c>
      <c r="B533" s="1" t="s">
        <v>4</v>
      </c>
      <c r="C533" s="1">
        <v>2.7792956601789101</v>
      </c>
      <c r="G533">
        <v>3.2782356620000002</v>
      </c>
    </row>
    <row r="534" spans="1:7">
      <c r="A534" s="1">
        <v>533</v>
      </c>
      <c r="B534" s="1" t="s">
        <v>4</v>
      </c>
      <c r="C534" s="1">
        <v>3.0563481856141999</v>
      </c>
      <c r="G534">
        <v>3.1028650450000002</v>
      </c>
    </row>
    <row r="535" spans="1:7">
      <c r="A535" s="1">
        <v>534</v>
      </c>
      <c r="B535" s="1" t="s">
        <v>4</v>
      </c>
      <c r="C535" s="1">
        <v>3.7169106393231801</v>
      </c>
      <c r="G535">
        <v>3.212180306</v>
      </c>
    </row>
    <row r="536" spans="1:7">
      <c r="A536" s="1">
        <v>535</v>
      </c>
      <c r="B536" s="1" t="s">
        <v>180</v>
      </c>
      <c r="C536" s="1">
        <v>3.8665684128983902</v>
      </c>
      <c r="G536">
        <v>2.5242186100000001</v>
      </c>
    </row>
    <row r="537" spans="1:7">
      <c r="A537" s="1">
        <v>536</v>
      </c>
      <c r="B537" s="1" t="s">
        <v>180</v>
      </c>
      <c r="C537" s="1">
        <v>3.4302567151415801</v>
      </c>
      <c r="G537">
        <v>2.8500984809999999</v>
      </c>
    </row>
    <row r="538" spans="1:7">
      <c r="A538" s="1">
        <v>537</v>
      </c>
      <c r="B538" s="1" t="s">
        <v>4</v>
      </c>
      <c r="C538" s="1">
        <v>3.7073581517876901</v>
      </c>
      <c r="G538">
        <v>2.1464173199999999</v>
      </c>
    </row>
    <row r="539" spans="1:7">
      <c r="A539" s="1">
        <v>538</v>
      </c>
      <c r="B539" s="1" t="s">
        <v>4</v>
      </c>
      <c r="C539" s="1">
        <v>3.28495372290149</v>
      </c>
      <c r="G539">
        <v>3.2587533560000002</v>
      </c>
    </row>
    <row r="540" spans="1:7">
      <c r="A540" s="1">
        <v>539</v>
      </c>
      <c r="B540" s="1" t="s">
        <v>4</v>
      </c>
      <c r="C540" s="1">
        <v>3.5280118766081698</v>
      </c>
      <c r="G540">
        <v>3.585867023</v>
      </c>
    </row>
    <row r="541" spans="1:7">
      <c r="A541" s="1">
        <v>540</v>
      </c>
      <c r="B541" s="1" t="s">
        <v>4</v>
      </c>
      <c r="C541" s="1">
        <v>2.3716451171035802</v>
      </c>
      <c r="G541">
        <v>1.981496557</v>
      </c>
    </row>
    <row r="542" spans="1:7">
      <c r="A542" s="1">
        <v>541</v>
      </c>
      <c r="B542" s="1" t="s">
        <v>4</v>
      </c>
      <c r="C542" s="1">
        <v>2.7945420001378798</v>
      </c>
      <c r="G542">
        <v>3.3528336479999998</v>
      </c>
    </row>
    <row r="543" spans="1:7">
      <c r="A543" s="1">
        <v>542</v>
      </c>
      <c r="B543" s="1" t="s">
        <v>4</v>
      </c>
      <c r="C543" s="1">
        <v>3.4543539128727199</v>
      </c>
      <c r="G543">
        <v>3.4264590529999999</v>
      </c>
    </row>
    <row r="544" spans="1:7">
      <c r="A544" s="1">
        <v>543</v>
      </c>
      <c r="B544" s="1" t="s">
        <v>4</v>
      </c>
      <c r="C544" s="1">
        <v>3.7694769802631201</v>
      </c>
      <c r="G544">
        <v>3.1394465149999999</v>
      </c>
    </row>
    <row r="545" spans="1:7">
      <c r="A545" s="1">
        <v>544</v>
      </c>
      <c r="B545" s="1" t="s">
        <v>4</v>
      </c>
      <c r="C545" s="1">
        <v>3.6507001476216798</v>
      </c>
      <c r="G545">
        <v>3.5282185749999999</v>
      </c>
    </row>
    <row r="546" spans="1:7">
      <c r="A546" s="1">
        <v>545</v>
      </c>
      <c r="B546" s="1" t="s">
        <v>180</v>
      </c>
      <c r="C546" s="1">
        <v>3.4556063228455498</v>
      </c>
      <c r="G546">
        <v>3.1922148269999999</v>
      </c>
    </row>
    <row r="547" spans="1:7">
      <c r="A547" s="1">
        <v>546</v>
      </c>
      <c r="B547" s="1" t="s">
        <v>180</v>
      </c>
      <c r="C547" s="1">
        <v>3.4394762878737399</v>
      </c>
      <c r="G547">
        <v>3.11476021</v>
      </c>
    </row>
    <row r="548" spans="1:7">
      <c r="A548" s="1">
        <v>547</v>
      </c>
      <c r="B548" s="1" t="s">
        <v>180</v>
      </c>
      <c r="C548" s="1">
        <v>2.5753243175125702</v>
      </c>
      <c r="G548">
        <v>3.5920828880000002</v>
      </c>
    </row>
    <row r="549" spans="1:7">
      <c r="A549" s="1">
        <v>548</v>
      </c>
      <c r="B549" s="1" t="s">
        <v>4</v>
      </c>
      <c r="C549" s="1">
        <v>3.1610068772500899</v>
      </c>
      <c r="G549">
        <v>2.9983017219999999</v>
      </c>
    </row>
    <row r="550" spans="1:7">
      <c r="A550" s="1">
        <v>549</v>
      </c>
      <c r="B550" s="1" t="s">
        <v>4</v>
      </c>
      <c r="C550" s="1">
        <v>3.1461979244068501</v>
      </c>
      <c r="G550">
        <v>3.3021324519999999</v>
      </c>
    </row>
    <row r="551" spans="1:7">
      <c r="A551" s="1">
        <v>550</v>
      </c>
      <c r="B551" s="1" t="s">
        <v>4</v>
      </c>
      <c r="C551" s="1">
        <v>2.3664347168148701</v>
      </c>
      <c r="G551">
        <v>3.6935234750000001</v>
      </c>
    </row>
    <row r="552" spans="1:7">
      <c r="A552" s="1">
        <v>551</v>
      </c>
      <c r="B552" s="1" t="s">
        <v>4</v>
      </c>
      <c r="C552" s="1">
        <v>3.1017418287840499</v>
      </c>
      <c r="G552">
        <v>3.3218409840000001</v>
      </c>
    </row>
    <row r="553" spans="1:7">
      <c r="A553" s="1">
        <v>552</v>
      </c>
      <c r="B553" s="1" t="s">
        <v>180</v>
      </c>
      <c r="C553" s="1">
        <v>3.3527322036704299</v>
      </c>
      <c r="G553">
        <v>3.6013179700000002</v>
      </c>
    </row>
    <row r="554" spans="1:7">
      <c r="A554" s="1">
        <v>553</v>
      </c>
      <c r="B554" s="1" t="s">
        <v>4</v>
      </c>
      <c r="C554" s="1">
        <v>3.2319493816468898</v>
      </c>
      <c r="G554">
        <v>3.3573789270000001</v>
      </c>
    </row>
    <row r="555" spans="1:7">
      <c r="A555" s="1">
        <v>554</v>
      </c>
      <c r="B555" s="1" t="s">
        <v>4</v>
      </c>
      <c r="C555" s="1">
        <v>3.6781115503549602</v>
      </c>
      <c r="G555">
        <v>3.5711576620000001</v>
      </c>
    </row>
    <row r="556" spans="1:7">
      <c r="A556" s="1">
        <v>555</v>
      </c>
      <c r="B556" s="1" t="s">
        <v>4</v>
      </c>
      <c r="C556" s="1">
        <v>3.6938871944828402</v>
      </c>
      <c r="G556">
        <v>3.6872114640000002</v>
      </c>
    </row>
    <row r="557" spans="1:7">
      <c r="A557" s="1">
        <v>556</v>
      </c>
      <c r="B557" s="1" t="s">
        <v>4</v>
      </c>
      <c r="C557" s="1">
        <v>3.6444164207384002</v>
      </c>
      <c r="G557">
        <v>2.4562322590000001</v>
      </c>
    </row>
    <row r="558" spans="1:7">
      <c r="A558" s="1">
        <v>557</v>
      </c>
      <c r="B558" s="1" t="s">
        <v>4</v>
      </c>
      <c r="C558" s="1">
        <v>3.17700486491225</v>
      </c>
      <c r="G558">
        <v>3.4923404370000002</v>
      </c>
    </row>
    <row r="559" spans="1:7">
      <c r="A559" s="1">
        <v>558</v>
      </c>
      <c r="B559" s="1" t="s">
        <v>4</v>
      </c>
      <c r="C559" s="1">
        <v>3.3263323018686801</v>
      </c>
      <c r="G559">
        <v>2.6851356019999999</v>
      </c>
    </row>
    <row r="560" spans="1:7">
      <c r="A560" s="1">
        <v>559</v>
      </c>
      <c r="B560" s="1" t="s">
        <v>4</v>
      </c>
      <c r="C560" s="1">
        <v>3.47826120620471</v>
      </c>
      <c r="G560">
        <v>3.3627967600000002</v>
      </c>
    </row>
    <row r="561" spans="1:7">
      <c r="A561" s="1">
        <v>560</v>
      </c>
      <c r="B561" s="1" t="s">
        <v>180</v>
      </c>
      <c r="C561" s="1">
        <v>3.5774092436283502</v>
      </c>
      <c r="G561">
        <v>3.4111505549999999</v>
      </c>
    </row>
    <row r="562" spans="1:7">
      <c r="A562" s="1">
        <v>561</v>
      </c>
      <c r="B562" s="1" t="s">
        <v>4</v>
      </c>
      <c r="C562" s="1">
        <v>3.6206401917736302</v>
      </c>
      <c r="G562">
        <v>2.7267253829999998</v>
      </c>
    </row>
    <row r="563" spans="1:7">
      <c r="A563" s="1">
        <v>562</v>
      </c>
      <c r="B563" s="1" t="s">
        <v>180</v>
      </c>
      <c r="C563" s="1">
        <v>3.63387584775661</v>
      </c>
      <c r="G563">
        <v>3.33474059</v>
      </c>
    </row>
    <row r="564" spans="1:7">
      <c r="A564" s="1">
        <v>563</v>
      </c>
      <c r="B564" s="1" t="s">
        <v>180</v>
      </c>
      <c r="C564" s="1">
        <v>3.63429101807868</v>
      </c>
      <c r="G564">
        <v>3.6595175129999999</v>
      </c>
    </row>
    <row r="565" spans="1:7">
      <c r="A565" s="1">
        <v>564</v>
      </c>
      <c r="B565" s="1" t="s">
        <v>4</v>
      </c>
      <c r="C565" s="1">
        <v>2.8919512090825501</v>
      </c>
      <c r="G565">
        <v>3.2810942120000002</v>
      </c>
    </row>
    <row r="566" spans="1:7">
      <c r="A566" s="1">
        <v>565</v>
      </c>
      <c r="B566" s="1" t="s">
        <v>4</v>
      </c>
      <c r="C566" s="1">
        <v>2.5046514276882199</v>
      </c>
      <c r="G566">
        <v>3.3817494410000002</v>
      </c>
    </row>
    <row r="567" spans="1:7">
      <c r="A567" s="1">
        <v>566</v>
      </c>
      <c r="B567" s="1" t="s">
        <v>4</v>
      </c>
      <c r="C567" s="1">
        <v>3.3715940379795502</v>
      </c>
      <c r="G567">
        <v>3.3084733389999998</v>
      </c>
    </row>
    <row r="568" spans="1:7">
      <c r="A568" s="1">
        <v>567</v>
      </c>
      <c r="B568" s="1" t="s">
        <v>180</v>
      </c>
      <c r="C568" s="1">
        <v>3.69090318591932</v>
      </c>
      <c r="G568">
        <v>2.2742006560000001</v>
      </c>
    </row>
    <row r="569" spans="1:7">
      <c r="A569" s="1">
        <v>568</v>
      </c>
      <c r="B569" s="1" t="s">
        <v>4</v>
      </c>
      <c r="C569" s="1">
        <v>2.8033733884287999</v>
      </c>
      <c r="G569">
        <v>2.9814421019999999</v>
      </c>
    </row>
    <row r="570" spans="1:7">
      <c r="A570" s="1">
        <v>569</v>
      </c>
      <c r="B570" s="1" t="s">
        <v>4</v>
      </c>
      <c r="C570" s="1">
        <v>3.2897664973304401</v>
      </c>
      <c r="G570">
        <v>3.6817312549999999</v>
      </c>
    </row>
    <row r="571" spans="1:7">
      <c r="A571" s="1">
        <v>570</v>
      </c>
      <c r="B571" s="1" t="s">
        <v>4</v>
      </c>
      <c r="C571" s="1">
        <v>3.2863054074962399</v>
      </c>
      <c r="G571">
        <v>3.7739726870000001</v>
      </c>
    </row>
    <row r="572" spans="1:7">
      <c r="A572" s="1">
        <v>571</v>
      </c>
      <c r="B572" s="1" t="s">
        <v>4</v>
      </c>
      <c r="C572" s="1">
        <v>3.5400277449547999</v>
      </c>
      <c r="G572">
        <v>3.1965837960000001</v>
      </c>
    </row>
    <row r="573" spans="1:7">
      <c r="A573" s="1">
        <v>572</v>
      </c>
      <c r="B573" s="1" t="s">
        <v>4</v>
      </c>
      <c r="C573" s="1">
        <v>2.1273788510777698</v>
      </c>
      <c r="G573">
        <v>3.1235287</v>
      </c>
    </row>
    <row r="574" spans="1:7">
      <c r="A574" s="1">
        <v>573</v>
      </c>
      <c r="B574" s="1" t="s">
        <v>4</v>
      </c>
      <c r="C574" s="1">
        <v>3.5449774142975898</v>
      </c>
      <c r="G574">
        <v>2.472442187</v>
      </c>
    </row>
    <row r="575" spans="1:7">
      <c r="A575" s="1">
        <v>574</v>
      </c>
      <c r="B575" s="1" t="s">
        <v>4</v>
      </c>
      <c r="C575" s="1">
        <v>3.3986400849760798</v>
      </c>
      <c r="G575">
        <v>3.5728898359999999</v>
      </c>
    </row>
    <row r="576" spans="1:7">
      <c r="A576" s="1">
        <v>575</v>
      </c>
      <c r="B576" s="1" t="s">
        <v>180</v>
      </c>
      <c r="C576" s="1">
        <v>3.6223004070949498</v>
      </c>
      <c r="G576">
        <v>2.4172046009999999</v>
      </c>
    </row>
    <row r="577" spans="1:7">
      <c r="A577" s="1">
        <v>576</v>
      </c>
      <c r="B577" s="1" t="s">
        <v>180</v>
      </c>
      <c r="C577" s="1">
        <v>3.6833567516166901</v>
      </c>
      <c r="G577">
        <v>3.4479264079999998</v>
      </c>
    </row>
    <row r="578" spans="1:7">
      <c r="A578" s="1">
        <v>577</v>
      </c>
      <c r="B578" s="1" t="s">
        <v>4</v>
      </c>
      <c r="C578" s="1">
        <v>3.5340303269073998</v>
      </c>
      <c r="G578">
        <v>2.855978876</v>
      </c>
    </row>
    <row r="579" spans="1:7">
      <c r="A579" s="1">
        <v>578</v>
      </c>
      <c r="B579" s="1" t="s">
        <v>4</v>
      </c>
      <c r="C579" s="1">
        <v>3.44289791873859</v>
      </c>
      <c r="G579">
        <v>3.3812988850000001</v>
      </c>
    </row>
    <row r="580" spans="1:7">
      <c r="A580" s="1">
        <v>579</v>
      </c>
      <c r="B580" s="1" t="s">
        <v>4</v>
      </c>
      <c r="C580" s="1">
        <v>3.7666223667640399</v>
      </c>
      <c r="G580">
        <v>3.3852465989999998</v>
      </c>
    </row>
    <row r="581" spans="1:7">
      <c r="A581" s="1">
        <v>580</v>
      </c>
      <c r="B581" s="1" t="s">
        <v>4</v>
      </c>
      <c r="C581" s="1">
        <v>3.2782356616535901</v>
      </c>
      <c r="G581">
        <v>3.340989773</v>
      </c>
    </row>
    <row r="582" spans="1:7">
      <c r="A582" s="1">
        <v>581</v>
      </c>
      <c r="B582" s="1" t="s">
        <v>4</v>
      </c>
      <c r="C582" s="1">
        <v>3.1028650453092199</v>
      </c>
      <c r="G582">
        <v>2.4081259209999999</v>
      </c>
    </row>
    <row r="583" spans="1:7">
      <c r="A583" s="1">
        <v>582</v>
      </c>
      <c r="B583" s="1" t="s">
        <v>180</v>
      </c>
      <c r="C583" s="1">
        <v>3.3931089220983099</v>
      </c>
      <c r="G583">
        <v>2.7875086279999999</v>
      </c>
    </row>
    <row r="584" spans="1:7">
      <c r="A584" s="1">
        <v>583</v>
      </c>
      <c r="B584" s="1" t="s">
        <v>180</v>
      </c>
      <c r="C584" s="1">
        <v>3.0959147161418699</v>
      </c>
      <c r="G584">
        <v>2.9982957699999999</v>
      </c>
    </row>
    <row r="585" spans="1:7">
      <c r="A585" s="1">
        <v>584</v>
      </c>
      <c r="B585" s="1" t="s">
        <v>4</v>
      </c>
      <c r="C585" s="1">
        <v>3.2121803057329199</v>
      </c>
      <c r="G585">
        <v>3.2442735690000002</v>
      </c>
    </row>
    <row r="586" spans="1:7">
      <c r="A586" s="1">
        <v>585</v>
      </c>
      <c r="B586" s="1" t="s">
        <v>180</v>
      </c>
      <c r="C586" s="1">
        <v>3.6561035492539302</v>
      </c>
      <c r="G586">
        <v>3.4071027570000001</v>
      </c>
    </row>
    <row r="587" spans="1:7">
      <c r="A587" s="1">
        <v>586</v>
      </c>
      <c r="B587" s="1" t="s">
        <v>180</v>
      </c>
      <c r="C587" s="1">
        <v>3.4192380261002899</v>
      </c>
      <c r="G587">
        <v>3.575315389</v>
      </c>
    </row>
    <row r="588" spans="1:7">
      <c r="A588" s="1">
        <v>587</v>
      </c>
      <c r="B588" s="1" t="s">
        <v>4</v>
      </c>
      <c r="C588" s="1">
        <v>2.52421860955925</v>
      </c>
      <c r="G588">
        <v>3.2318585010000001</v>
      </c>
    </row>
    <row r="589" spans="1:7">
      <c r="A589" s="1">
        <v>588</v>
      </c>
      <c r="B589" s="1" t="s">
        <v>180</v>
      </c>
      <c r="C589" s="1">
        <v>3.8265511777146699</v>
      </c>
      <c r="G589">
        <v>3.0414170920000001</v>
      </c>
    </row>
    <row r="590" spans="1:7">
      <c r="A590" s="1">
        <v>589</v>
      </c>
      <c r="B590" s="1" t="s">
        <v>4</v>
      </c>
      <c r="C590" s="1">
        <v>2.8500984814028798</v>
      </c>
      <c r="G590">
        <v>3.5925016589999998</v>
      </c>
    </row>
    <row r="591" spans="1:7">
      <c r="A591" s="1">
        <v>590</v>
      </c>
      <c r="B591" s="1" t="s">
        <v>4</v>
      </c>
      <c r="C591" s="1">
        <v>2.1464173200800101</v>
      </c>
      <c r="G591">
        <v>3.1692136070000001</v>
      </c>
    </row>
    <row r="592" spans="1:7">
      <c r="A592" s="1">
        <v>591</v>
      </c>
      <c r="B592" s="1" t="s">
        <v>180</v>
      </c>
      <c r="C592" s="1">
        <v>3.65826771691746</v>
      </c>
      <c r="G592">
        <v>2.8280027529999998</v>
      </c>
    </row>
    <row r="593" spans="1:7">
      <c r="A593" s="1">
        <v>592</v>
      </c>
      <c r="B593" s="1" t="s">
        <v>4</v>
      </c>
      <c r="C593" s="1">
        <v>3.25875335589153</v>
      </c>
      <c r="G593">
        <v>2.6083817300000001</v>
      </c>
    </row>
    <row r="594" spans="1:7">
      <c r="A594" s="1">
        <v>593</v>
      </c>
      <c r="B594" s="1" t="s">
        <v>4</v>
      </c>
      <c r="C594" s="1">
        <v>3.5858670232763599</v>
      </c>
      <c r="G594">
        <v>3.5483741530000001</v>
      </c>
    </row>
    <row r="595" spans="1:7">
      <c r="A595" s="1">
        <v>594</v>
      </c>
      <c r="B595" s="1" t="s">
        <v>4</v>
      </c>
      <c r="C595" s="1">
        <v>1.98149655688756</v>
      </c>
      <c r="G595">
        <v>3.3048561140000001</v>
      </c>
    </row>
    <row r="596" spans="1:7">
      <c r="A596" s="1">
        <v>595</v>
      </c>
      <c r="B596" s="1" t="s">
        <v>4</v>
      </c>
      <c r="C596" s="1">
        <v>3.35283364847951</v>
      </c>
      <c r="G596">
        <v>2.6721146579999999</v>
      </c>
    </row>
    <row r="597" spans="1:7">
      <c r="A597" s="1">
        <v>596</v>
      </c>
      <c r="B597" s="1" t="s">
        <v>4</v>
      </c>
      <c r="C597" s="1">
        <v>3.4264590530213601</v>
      </c>
      <c r="G597">
        <v>3.37391066</v>
      </c>
    </row>
    <row r="598" spans="1:7">
      <c r="A598" s="1">
        <v>597</v>
      </c>
      <c r="B598" s="1" t="s">
        <v>180</v>
      </c>
      <c r="C598" s="1">
        <v>3.5701076348103098</v>
      </c>
      <c r="G598">
        <v>3.527354426</v>
      </c>
    </row>
    <row r="599" spans="1:7">
      <c r="A599" s="1">
        <v>598</v>
      </c>
      <c r="B599" s="1" t="s">
        <v>4</v>
      </c>
      <c r="C599" s="1">
        <v>3.1394465148028301</v>
      </c>
      <c r="G599">
        <v>3.361644139</v>
      </c>
    </row>
    <row r="600" spans="1:7">
      <c r="A600" s="1">
        <v>599</v>
      </c>
      <c r="B600" s="1" t="s">
        <v>180</v>
      </c>
      <c r="C600" s="1">
        <v>3.7028991653941401</v>
      </c>
      <c r="G600">
        <v>3.9942547259999999</v>
      </c>
    </row>
    <row r="601" spans="1:7">
      <c r="A601" s="1">
        <v>600</v>
      </c>
      <c r="B601" s="1" t="s">
        <v>4</v>
      </c>
      <c r="C601" s="1">
        <v>3.5282185750456501</v>
      </c>
      <c r="G601">
        <v>3.4917088289999998</v>
      </c>
    </row>
    <row r="602" spans="1:7">
      <c r="A602" s="1">
        <v>601</v>
      </c>
      <c r="B602" s="1" t="s">
        <v>4</v>
      </c>
      <c r="C602" s="1">
        <v>3.1922148274497801</v>
      </c>
      <c r="G602">
        <v>3.266830911</v>
      </c>
    </row>
    <row r="603" spans="1:7">
      <c r="A603" s="1">
        <v>602</v>
      </c>
      <c r="B603" s="1" t="s">
        <v>4</v>
      </c>
      <c r="C603" s="1">
        <v>3.1147602101455401</v>
      </c>
      <c r="G603">
        <v>2.6740749259999999</v>
      </c>
    </row>
    <row r="604" spans="1:7">
      <c r="A604" s="1">
        <v>603</v>
      </c>
      <c r="B604" s="1" t="s">
        <v>180</v>
      </c>
      <c r="C604" s="1">
        <v>3.87612943783332</v>
      </c>
      <c r="G604">
        <v>3.4932947190000001</v>
      </c>
    </row>
    <row r="605" spans="1:7">
      <c r="A605" s="1">
        <v>604</v>
      </c>
      <c r="B605" s="1" t="s">
        <v>180</v>
      </c>
      <c r="C605" s="1">
        <v>3.3958565539887502</v>
      </c>
      <c r="G605">
        <v>3.6666140490000001</v>
      </c>
    </row>
    <row r="606" spans="1:7">
      <c r="A606" s="1">
        <v>605</v>
      </c>
      <c r="B606" s="1" t="s">
        <v>4</v>
      </c>
      <c r="C606" s="1">
        <v>3.5920828878514</v>
      </c>
      <c r="G606">
        <v>3.4687340149999999</v>
      </c>
    </row>
    <row r="607" spans="1:7">
      <c r="A607" s="1">
        <v>606</v>
      </c>
      <c r="B607" s="1" t="s">
        <v>180</v>
      </c>
      <c r="C607" s="1">
        <v>3.6309816228261398</v>
      </c>
      <c r="G607">
        <v>3.3118032020000001</v>
      </c>
    </row>
    <row r="608" spans="1:7">
      <c r="A608" s="1">
        <v>607</v>
      </c>
      <c r="B608" s="1" t="s">
        <v>180</v>
      </c>
      <c r="C608" s="1">
        <v>3.1595100274710299</v>
      </c>
      <c r="G608">
        <v>3.0643527480000001</v>
      </c>
    </row>
    <row r="609" spans="1:7">
      <c r="A609" s="1">
        <v>608</v>
      </c>
      <c r="B609" s="1" t="s">
        <v>4</v>
      </c>
      <c r="C609" s="1">
        <v>2.9983017223523198</v>
      </c>
      <c r="G609">
        <v>2.4902583069999999</v>
      </c>
    </row>
    <row r="610" spans="1:7">
      <c r="A610" s="1">
        <v>609</v>
      </c>
      <c r="B610" s="1" t="s">
        <v>4</v>
      </c>
      <c r="C610" s="1">
        <v>3.3021324517257402</v>
      </c>
      <c r="G610">
        <v>3.3749107129999998</v>
      </c>
    </row>
    <row r="611" spans="1:7">
      <c r="A611" s="1">
        <v>610</v>
      </c>
      <c r="B611" s="1" t="s">
        <v>180</v>
      </c>
      <c r="C611" s="1">
        <v>3.6179912552322202</v>
      </c>
      <c r="G611">
        <v>3.7675946890000001</v>
      </c>
    </row>
    <row r="612" spans="1:7">
      <c r="A612" s="1">
        <v>611</v>
      </c>
      <c r="B612" s="1" t="s">
        <v>4</v>
      </c>
      <c r="C612" s="1">
        <v>3.6935234747344898</v>
      </c>
      <c r="G612">
        <v>3.4591274190000001</v>
      </c>
    </row>
    <row r="613" spans="1:7">
      <c r="A613" s="1">
        <v>612</v>
      </c>
      <c r="B613" s="1" t="s">
        <v>4</v>
      </c>
      <c r="C613" s="1">
        <v>3.32184098369143</v>
      </c>
      <c r="G613">
        <v>3.1643622840000001</v>
      </c>
    </row>
    <row r="614" spans="1:7">
      <c r="A614" s="1">
        <v>613</v>
      </c>
      <c r="B614" s="1" t="s">
        <v>180</v>
      </c>
      <c r="C614" s="1">
        <v>3.5367053981034799</v>
      </c>
      <c r="G614">
        <v>3.6358293389999998</v>
      </c>
    </row>
    <row r="615" spans="1:7">
      <c r="A615" s="1">
        <v>614</v>
      </c>
      <c r="B615" s="1" t="s">
        <v>4</v>
      </c>
      <c r="C615" s="1">
        <v>3.6013179697067401</v>
      </c>
      <c r="G615">
        <v>3.4690469799999999</v>
      </c>
    </row>
    <row r="616" spans="1:7">
      <c r="A616" s="1">
        <v>615</v>
      </c>
      <c r="B616" s="1" t="s">
        <v>4</v>
      </c>
      <c r="C616" s="1">
        <v>3.3573789271241599</v>
      </c>
      <c r="G616">
        <v>2.7200039399999998</v>
      </c>
    </row>
    <row r="617" spans="1:7">
      <c r="A617" s="1">
        <v>616</v>
      </c>
      <c r="B617" s="1" t="s">
        <v>180</v>
      </c>
      <c r="C617" s="1">
        <v>3.45136181034565</v>
      </c>
      <c r="G617">
        <v>3.5653648040000001</v>
      </c>
    </row>
    <row r="618" spans="1:7">
      <c r="A618" s="1">
        <v>617</v>
      </c>
      <c r="B618" s="1" t="s">
        <v>4</v>
      </c>
      <c r="C618" s="1">
        <v>3.5711576615031499</v>
      </c>
      <c r="G618">
        <v>3.3481148740000002</v>
      </c>
    </row>
    <row r="619" spans="1:7">
      <c r="A619" s="1">
        <v>618</v>
      </c>
      <c r="B619" s="1" t="s">
        <v>4</v>
      </c>
      <c r="C619" s="1">
        <v>3.6872114641650402</v>
      </c>
      <c r="G619">
        <v>2.794435853</v>
      </c>
    </row>
    <row r="620" spans="1:7">
      <c r="A620" s="1">
        <v>619</v>
      </c>
      <c r="B620" s="1" t="s">
        <v>4</v>
      </c>
      <c r="C620" s="1">
        <v>2.4562322588458501</v>
      </c>
      <c r="G620">
        <v>3.0836963869999998</v>
      </c>
    </row>
    <row r="621" spans="1:7">
      <c r="A621" s="1">
        <v>620</v>
      </c>
      <c r="B621" s="1" t="s">
        <v>4</v>
      </c>
      <c r="C621" s="1">
        <v>3.4923404371501401</v>
      </c>
      <c r="G621">
        <v>2.9281772419999998</v>
      </c>
    </row>
    <row r="622" spans="1:7">
      <c r="A622" s="1">
        <v>621</v>
      </c>
      <c r="B622" s="1" t="s">
        <v>180</v>
      </c>
      <c r="C622" s="1">
        <v>3.43279249786751</v>
      </c>
      <c r="G622">
        <v>3.1882582089999998</v>
      </c>
    </row>
    <row r="623" spans="1:7">
      <c r="A623" s="1">
        <v>622</v>
      </c>
      <c r="B623" s="1" t="s">
        <v>4</v>
      </c>
      <c r="C623" s="1">
        <v>2.68513560237826</v>
      </c>
      <c r="G623">
        <v>3.3736154310000002</v>
      </c>
    </row>
    <row r="624" spans="1:7">
      <c r="A624" s="1">
        <v>623</v>
      </c>
      <c r="B624" s="1" t="s">
        <v>4</v>
      </c>
      <c r="C624" s="1">
        <v>3.36279676028835</v>
      </c>
      <c r="G624">
        <v>3.4419039549999999</v>
      </c>
    </row>
    <row r="625" spans="1:7">
      <c r="A625" s="1">
        <v>624</v>
      </c>
      <c r="B625" s="1" t="s">
        <v>180</v>
      </c>
      <c r="C625" s="1">
        <v>3.5333257480116198</v>
      </c>
      <c r="G625">
        <v>3.2897445040000002</v>
      </c>
    </row>
    <row r="626" spans="1:7">
      <c r="A626" s="1">
        <v>625</v>
      </c>
      <c r="B626" s="1" t="s">
        <v>4</v>
      </c>
      <c r="C626" s="1">
        <v>3.4111505552880401</v>
      </c>
      <c r="G626">
        <v>3.2197558810000002</v>
      </c>
    </row>
    <row r="627" spans="1:7">
      <c r="A627" s="1">
        <v>626</v>
      </c>
      <c r="B627" s="1" t="s">
        <v>4</v>
      </c>
      <c r="C627" s="1">
        <v>2.7267253830703799</v>
      </c>
      <c r="G627">
        <v>3.4344197849999998</v>
      </c>
    </row>
    <row r="628" spans="1:7">
      <c r="A628" s="1">
        <v>627</v>
      </c>
      <c r="B628" s="1" t="s">
        <v>4</v>
      </c>
      <c r="C628" s="1">
        <v>3.3347405895650799</v>
      </c>
      <c r="G628">
        <v>3.2880974699999999</v>
      </c>
    </row>
    <row r="629" spans="1:7">
      <c r="A629" s="1">
        <v>628</v>
      </c>
      <c r="B629" s="1" t="s">
        <v>4</v>
      </c>
      <c r="C629" s="1">
        <v>3.6595175130396198</v>
      </c>
      <c r="G629">
        <v>3.0302196729999999</v>
      </c>
    </row>
    <row r="630" spans="1:7">
      <c r="A630" s="1">
        <v>629</v>
      </c>
      <c r="B630" s="1" t="s">
        <v>4</v>
      </c>
      <c r="C630" s="1">
        <v>3.28109421182352</v>
      </c>
      <c r="G630">
        <v>3.2160883120000001</v>
      </c>
    </row>
    <row r="631" spans="1:7">
      <c r="A631" s="1">
        <v>630</v>
      </c>
      <c r="B631" s="1" t="s">
        <v>4</v>
      </c>
      <c r="C631" s="1">
        <v>3.3817494409284099</v>
      </c>
      <c r="G631">
        <v>3.3471662750000002</v>
      </c>
    </row>
    <row r="632" spans="1:7">
      <c r="A632" s="1">
        <v>631</v>
      </c>
      <c r="B632" s="1" t="s">
        <v>4</v>
      </c>
      <c r="C632" s="1">
        <v>3.3084733391759902</v>
      </c>
      <c r="G632">
        <v>2.5072463420000002</v>
      </c>
    </row>
    <row r="633" spans="1:7">
      <c r="A633" s="1">
        <v>632</v>
      </c>
      <c r="B633" s="1" t="s">
        <v>4</v>
      </c>
      <c r="C633" s="1">
        <v>2.2742006563201498</v>
      </c>
      <c r="G633">
        <v>3.4452899860000001</v>
      </c>
    </row>
    <row r="634" spans="1:7">
      <c r="A634" s="1">
        <v>633</v>
      </c>
      <c r="B634" s="1" t="s">
        <v>4</v>
      </c>
      <c r="C634" s="1">
        <v>2.9814421016867798</v>
      </c>
      <c r="G634">
        <v>3.181058653</v>
      </c>
    </row>
    <row r="635" spans="1:7">
      <c r="A635" s="1">
        <v>634</v>
      </c>
      <c r="B635" s="1" t="s">
        <v>4</v>
      </c>
      <c r="C635" s="1">
        <v>3.6817312545987502</v>
      </c>
      <c r="G635">
        <v>3.2431691439999999</v>
      </c>
    </row>
    <row r="636" spans="1:7">
      <c r="A636" s="1">
        <v>635</v>
      </c>
      <c r="B636" s="1" t="s">
        <v>180</v>
      </c>
      <c r="C636" s="1">
        <v>3.8306583144303401</v>
      </c>
      <c r="G636">
        <v>3.3598520280000002</v>
      </c>
    </row>
    <row r="637" spans="1:7">
      <c r="A637" s="1">
        <v>636</v>
      </c>
      <c r="B637" s="1" t="s">
        <v>4</v>
      </c>
      <c r="C637" s="1">
        <v>3.7739726874442598</v>
      </c>
      <c r="G637">
        <v>3.5714770950000001</v>
      </c>
    </row>
    <row r="638" spans="1:7">
      <c r="A638" s="1">
        <v>637</v>
      </c>
      <c r="B638" s="1" t="s">
        <v>4</v>
      </c>
      <c r="C638" s="1">
        <v>3.1965837957163301</v>
      </c>
      <c r="G638">
        <v>3.2701413619999999</v>
      </c>
    </row>
    <row r="639" spans="1:7">
      <c r="A639" s="1">
        <v>638</v>
      </c>
      <c r="B639" s="1" t="s">
        <v>4</v>
      </c>
      <c r="C639" s="1">
        <v>3.1235287003035199</v>
      </c>
      <c r="G639">
        <v>3.5083199459999999</v>
      </c>
    </row>
    <row r="640" spans="1:7">
      <c r="A640" s="1">
        <v>639</v>
      </c>
      <c r="B640" s="1" t="s">
        <v>4</v>
      </c>
      <c r="C640" s="1">
        <v>2.4724421872590199</v>
      </c>
      <c r="G640">
        <v>3.436776853</v>
      </c>
    </row>
    <row r="641" spans="1:7">
      <c r="A641" s="1">
        <v>640</v>
      </c>
      <c r="B641" s="1" t="s">
        <v>4</v>
      </c>
      <c r="C641" s="1">
        <v>3.5728898362748098</v>
      </c>
      <c r="G641">
        <v>3.7448408820000001</v>
      </c>
    </row>
    <row r="642" spans="1:7">
      <c r="A642" s="1">
        <v>641</v>
      </c>
      <c r="B642" s="1" t="s">
        <v>180</v>
      </c>
      <c r="C642" s="1">
        <v>3.2453587542353799</v>
      </c>
      <c r="G642">
        <v>3.3218650599999999</v>
      </c>
    </row>
    <row r="643" spans="1:7">
      <c r="A643" s="1">
        <v>642</v>
      </c>
      <c r="B643" s="1" t="s">
        <v>4</v>
      </c>
      <c r="C643" s="1">
        <v>2.4172046013394799</v>
      </c>
      <c r="G643">
        <v>3.2969685389999999</v>
      </c>
    </row>
    <row r="644" spans="1:7">
      <c r="A644" s="1">
        <v>643</v>
      </c>
      <c r="B644" s="1" t="s">
        <v>4</v>
      </c>
      <c r="C644" s="1">
        <v>3.4479264077039802</v>
      </c>
      <c r="G644">
        <v>3.5522388930000002</v>
      </c>
    </row>
    <row r="645" spans="1:7">
      <c r="A645" s="1">
        <v>644</v>
      </c>
      <c r="B645" s="1" t="s">
        <v>4</v>
      </c>
      <c r="C645" s="1">
        <v>2.8559788756578901</v>
      </c>
      <c r="G645">
        <v>3.4693420879999999</v>
      </c>
    </row>
    <row r="646" spans="1:7">
      <c r="A646" s="1">
        <v>645</v>
      </c>
      <c r="B646" s="1" t="s">
        <v>4</v>
      </c>
      <c r="C646" s="1">
        <v>3.3812988846530301</v>
      </c>
      <c r="G646">
        <v>2.6670866690000001</v>
      </c>
    </row>
    <row r="647" spans="1:7">
      <c r="A647" s="1">
        <v>646</v>
      </c>
      <c r="B647" s="1" t="s">
        <v>4</v>
      </c>
      <c r="C647" s="1">
        <v>3.3852465992273899</v>
      </c>
      <c r="G647">
        <v>3.746755024</v>
      </c>
    </row>
    <row r="648" spans="1:7">
      <c r="A648" s="1">
        <v>647</v>
      </c>
      <c r="B648" s="1" t="s">
        <v>4</v>
      </c>
      <c r="C648" s="1">
        <v>3.34098977271243</v>
      </c>
      <c r="G648">
        <v>2.7020669499999999</v>
      </c>
    </row>
    <row r="649" spans="1:7">
      <c r="A649" s="1">
        <v>648</v>
      </c>
      <c r="B649" s="1" t="s">
        <v>4</v>
      </c>
      <c r="C649" s="1">
        <v>2.4081259205239198</v>
      </c>
      <c r="G649">
        <v>3.753916158</v>
      </c>
    </row>
    <row r="650" spans="1:7">
      <c r="A650" s="1">
        <v>649</v>
      </c>
      <c r="B650" s="1" t="s">
        <v>4</v>
      </c>
      <c r="C650" s="1">
        <v>2.7875086284181698</v>
      </c>
      <c r="G650">
        <v>3.2978906640000001</v>
      </c>
    </row>
    <row r="651" spans="1:7">
      <c r="A651" s="1">
        <v>650</v>
      </c>
      <c r="B651" s="1" t="s">
        <v>4</v>
      </c>
      <c r="C651" s="1">
        <v>2.9982957704011901</v>
      </c>
      <c r="G651">
        <v>2.8193673939999999</v>
      </c>
    </row>
    <row r="652" spans="1:7">
      <c r="A652" s="1">
        <v>651</v>
      </c>
      <c r="B652" s="1" t="s">
        <v>4</v>
      </c>
      <c r="C652" s="1">
        <v>3.2442735690500202</v>
      </c>
      <c r="G652">
        <v>2.6352320499999999</v>
      </c>
    </row>
    <row r="653" spans="1:7">
      <c r="A653" s="1">
        <v>652</v>
      </c>
      <c r="B653" s="1" t="s">
        <v>4</v>
      </c>
      <c r="C653" s="1">
        <v>3.4071027570214998</v>
      </c>
      <c r="G653">
        <v>2.7722258119999998</v>
      </c>
    </row>
    <row r="654" spans="1:7">
      <c r="A654" s="1">
        <v>653</v>
      </c>
      <c r="B654" s="1" t="s">
        <v>4</v>
      </c>
      <c r="C654" s="1">
        <v>3.5753153888465898</v>
      </c>
      <c r="G654">
        <v>3.1072724759999999</v>
      </c>
    </row>
    <row r="655" spans="1:7">
      <c r="A655" s="1">
        <v>654</v>
      </c>
      <c r="B655" s="1" t="s">
        <v>4</v>
      </c>
      <c r="C655" s="1">
        <v>3.2318585011271699</v>
      </c>
      <c r="G655">
        <v>3.7033907990000001</v>
      </c>
    </row>
    <row r="656" spans="1:7">
      <c r="A656" s="1">
        <v>655</v>
      </c>
      <c r="B656" s="1" t="s">
        <v>4</v>
      </c>
      <c r="C656" s="1">
        <v>3.0414170924634898</v>
      </c>
      <c r="G656">
        <v>2.8376216470000002</v>
      </c>
    </row>
    <row r="657" spans="1:7">
      <c r="A657" s="1">
        <v>656</v>
      </c>
      <c r="B657" s="1" t="s">
        <v>4</v>
      </c>
      <c r="C657" s="1">
        <v>3.5925016592491601</v>
      </c>
      <c r="G657">
        <v>3.1902156800000001</v>
      </c>
    </row>
    <row r="658" spans="1:7">
      <c r="A658" s="1">
        <v>657</v>
      </c>
      <c r="B658" s="1" t="s">
        <v>4</v>
      </c>
      <c r="C658" s="1">
        <v>3.16921360748958</v>
      </c>
      <c r="G658">
        <v>3.2656080830000001</v>
      </c>
    </row>
    <row r="659" spans="1:7">
      <c r="A659" s="1">
        <v>658</v>
      </c>
      <c r="B659" s="1" t="s">
        <v>180</v>
      </c>
      <c r="C659" s="1">
        <v>3.8539338900403401</v>
      </c>
      <c r="G659">
        <v>3.692697978</v>
      </c>
    </row>
    <row r="660" spans="1:7">
      <c r="A660" s="1">
        <v>659</v>
      </c>
      <c r="B660" s="1" t="s">
        <v>4</v>
      </c>
      <c r="C660" s="1">
        <v>2.8280027531698799</v>
      </c>
      <c r="G660">
        <v>2.470731523</v>
      </c>
    </row>
    <row r="661" spans="1:7">
      <c r="A661" s="1">
        <v>660</v>
      </c>
      <c r="B661" s="1" t="s">
        <v>4</v>
      </c>
      <c r="C661" s="1">
        <v>2.60838172957722</v>
      </c>
      <c r="G661">
        <v>3.5167916629999998</v>
      </c>
    </row>
    <row r="662" spans="1:7">
      <c r="A662" s="1">
        <v>661</v>
      </c>
      <c r="B662" s="1" t="s">
        <v>4</v>
      </c>
      <c r="C662" s="1">
        <v>3.5483741529953998</v>
      </c>
      <c r="G662">
        <v>2.653836294</v>
      </c>
    </row>
    <row r="663" spans="1:7">
      <c r="A663" s="1">
        <v>662</v>
      </c>
      <c r="B663" s="1" t="s">
        <v>180</v>
      </c>
      <c r="C663" s="1">
        <v>3.42016355045312</v>
      </c>
      <c r="G663">
        <v>3.2864795789999999</v>
      </c>
    </row>
    <row r="664" spans="1:7">
      <c r="A664" s="1">
        <v>663</v>
      </c>
      <c r="B664" s="1" t="s">
        <v>4</v>
      </c>
      <c r="C664" s="1">
        <v>3.30485611444047</v>
      </c>
      <c r="G664">
        <v>2.1987461189999999</v>
      </c>
    </row>
    <row r="665" spans="1:7">
      <c r="A665" s="1">
        <v>664</v>
      </c>
      <c r="B665" s="1" t="s">
        <v>180</v>
      </c>
      <c r="C665" s="1">
        <v>3.0150816265679401</v>
      </c>
      <c r="G665">
        <v>3.2721602070000002</v>
      </c>
    </row>
    <row r="666" spans="1:7">
      <c r="A666" s="1">
        <v>665</v>
      </c>
      <c r="B666" s="1" t="s">
        <v>4</v>
      </c>
      <c r="C666" s="1">
        <v>2.6721146576572101</v>
      </c>
      <c r="G666">
        <v>3.4121705819999999</v>
      </c>
    </row>
    <row r="667" spans="1:7">
      <c r="A667" s="1">
        <v>666</v>
      </c>
      <c r="B667" s="1" t="s">
        <v>4</v>
      </c>
      <c r="C667" s="1">
        <v>3.37391066016695</v>
      </c>
      <c r="G667">
        <v>2.138199985</v>
      </c>
    </row>
    <row r="668" spans="1:7">
      <c r="A668" s="1">
        <v>667</v>
      </c>
      <c r="B668" s="1" t="s">
        <v>4</v>
      </c>
      <c r="C668" s="1">
        <v>3.5273544262584</v>
      </c>
      <c r="G668">
        <v>3.4231887680000002</v>
      </c>
    </row>
    <row r="669" spans="1:7">
      <c r="A669" s="1">
        <v>668</v>
      </c>
      <c r="B669" s="1" t="s">
        <v>180</v>
      </c>
      <c r="C669" s="1">
        <v>2.9109747215830399</v>
      </c>
      <c r="G669">
        <v>3.4825676410000002</v>
      </c>
    </row>
    <row r="670" spans="1:7">
      <c r="A670" s="1">
        <v>669</v>
      </c>
      <c r="B670" s="1" t="s">
        <v>4</v>
      </c>
      <c r="C670" s="1">
        <v>3.36164413871164</v>
      </c>
      <c r="G670">
        <v>3.6474943620000002</v>
      </c>
    </row>
    <row r="671" spans="1:7">
      <c r="A671" s="1">
        <v>670</v>
      </c>
      <c r="B671" s="1" t="s">
        <v>4</v>
      </c>
      <c r="C671" s="1">
        <v>3.99425472552648</v>
      </c>
      <c r="G671">
        <v>3.3721548860000001</v>
      </c>
    </row>
    <row r="672" spans="1:7">
      <c r="A672" s="1">
        <v>671</v>
      </c>
      <c r="B672" s="1" t="s">
        <v>4</v>
      </c>
      <c r="C672" s="1">
        <v>3.4917088285494899</v>
      </c>
      <c r="G672">
        <v>3.3146665199999998</v>
      </c>
    </row>
    <row r="673" spans="1:7">
      <c r="A673" s="1">
        <v>672</v>
      </c>
      <c r="B673" s="1" t="s">
        <v>180</v>
      </c>
      <c r="C673" s="1">
        <v>3.7668524865633</v>
      </c>
      <c r="G673">
        <v>3.3762658920000002</v>
      </c>
    </row>
    <row r="674" spans="1:7">
      <c r="A674" s="1">
        <v>673</v>
      </c>
      <c r="B674" s="1" t="s">
        <v>4</v>
      </c>
      <c r="C674" s="1">
        <v>3.26683091115276</v>
      </c>
      <c r="G674">
        <v>3.283711018</v>
      </c>
    </row>
    <row r="675" spans="1:7">
      <c r="A675" s="1">
        <v>674</v>
      </c>
      <c r="B675" s="1" t="s">
        <v>180</v>
      </c>
      <c r="C675" s="1">
        <v>3.8160384141439798</v>
      </c>
      <c r="G675">
        <v>3.5654011689999998</v>
      </c>
    </row>
    <row r="676" spans="1:7">
      <c r="A676" s="1">
        <v>675</v>
      </c>
      <c r="B676" s="1" t="s">
        <v>180</v>
      </c>
      <c r="C676" s="1">
        <v>3.5177694376474902</v>
      </c>
      <c r="G676">
        <v>2.6356428510000001</v>
      </c>
    </row>
    <row r="677" spans="1:7">
      <c r="A677" s="1">
        <v>676</v>
      </c>
      <c r="B677" s="1" t="s">
        <v>4</v>
      </c>
      <c r="C677" s="1">
        <v>2.6740749258213499</v>
      </c>
      <c r="G677">
        <v>3.1233419019999999</v>
      </c>
    </row>
    <row r="678" spans="1:7">
      <c r="A678" s="1">
        <v>677</v>
      </c>
      <c r="B678" s="1" t="s">
        <v>4</v>
      </c>
      <c r="C678" s="1">
        <v>3.4932947188397701</v>
      </c>
      <c r="G678">
        <v>3.54772797</v>
      </c>
    </row>
    <row r="679" spans="1:7">
      <c r="A679" s="1">
        <v>678</v>
      </c>
      <c r="B679" s="1" t="s">
        <v>180</v>
      </c>
      <c r="C679" s="1">
        <v>3.58682829560883</v>
      </c>
      <c r="G679">
        <v>2.9059612960000001</v>
      </c>
    </row>
    <row r="680" spans="1:7">
      <c r="A680" s="1">
        <v>679</v>
      </c>
      <c r="B680" s="1" t="s">
        <v>4</v>
      </c>
      <c r="C680" s="1">
        <v>3.66661404916014</v>
      </c>
      <c r="G680">
        <v>2.796521319</v>
      </c>
    </row>
    <row r="681" spans="1:7">
      <c r="A681" s="1">
        <v>680</v>
      </c>
      <c r="B681" s="1" t="s">
        <v>4</v>
      </c>
      <c r="C681" s="1">
        <v>3.4687340149831098</v>
      </c>
      <c r="G681">
        <v>3.2059221230000001</v>
      </c>
    </row>
    <row r="682" spans="1:7">
      <c r="A682" s="1">
        <v>681</v>
      </c>
      <c r="B682" s="1" t="s">
        <v>4</v>
      </c>
      <c r="C682" s="1">
        <v>3.3118032024089499</v>
      </c>
      <c r="G682">
        <v>3.1144839430000002</v>
      </c>
    </row>
    <row r="683" spans="1:7">
      <c r="A683" s="1">
        <v>682</v>
      </c>
      <c r="B683" s="1" t="s">
        <v>4</v>
      </c>
      <c r="C683" s="1">
        <v>3.0643527478171699</v>
      </c>
      <c r="G683">
        <v>2.572247317</v>
      </c>
    </row>
    <row r="684" spans="1:7">
      <c r="A684" s="1">
        <v>683</v>
      </c>
      <c r="B684" s="1" t="s">
        <v>4</v>
      </c>
      <c r="C684" s="1">
        <v>2.4902583071000901</v>
      </c>
      <c r="G684">
        <v>3.7726916859999999</v>
      </c>
    </row>
    <row r="685" spans="1:7">
      <c r="A685" s="1">
        <v>684</v>
      </c>
      <c r="B685" s="1" t="s">
        <v>180</v>
      </c>
      <c r="C685" s="1">
        <v>3.70128012726533</v>
      </c>
      <c r="G685">
        <v>3.5849907070000002</v>
      </c>
    </row>
    <row r="686" spans="1:7">
      <c r="A686" s="1">
        <v>685</v>
      </c>
      <c r="B686" s="1" t="s">
        <v>4</v>
      </c>
      <c r="C686" s="1">
        <v>3.3749107132051601</v>
      </c>
      <c r="G686">
        <v>3.6239384879999998</v>
      </c>
    </row>
    <row r="687" spans="1:7">
      <c r="A687" s="1">
        <v>686</v>
      </c>
      <c r="B687" s="1" t="s">
        <v>180</v>
      </c>
      <c r="C687" s="1">
        <v>2.07516955293862</v>
      </c>
      <c r="G687">
        <v>3.3425272709999998</v>
      </c>
    </row>
    <row r="688" spans="1:7">
      <c r="A688" s="1">
        <v>687</v>
      </c>
      <c r="B688" s="1" t="s">
        <v>4</v>
      </c>
      <c r="C688" s="1">
        <v>3.7675946891342802</v>
      </c>
      <c r="G688">
        <v>3.468163653</v>
      </c>
    </row>
    <row r="689" spans="1:7">
      <c r="A689" s="1">
        <v>688</v>
      </c>
      <c r="B689" s="1" t="s">
        <v>180</v>
      </c>
      <c r="C689" s="1">
        <v>3.7443709260162201</v>
      </c>
      <c r="G689">
        <v>2.3732192840000002</v>
      </c>
    </row>
    <row r="690" spans="1:7">
      <c r="A690" s="1">
        <v>689</v>
      </c>
      <c r="B690" s="1" t="s">
        <v>4</v>
      </c>
      <c r="C690" s="1">
        <v>3.4591274192761801</v>
      </c>
      <c r="G690">
        <v>3.5389357970000002</v>
      </c>
    </row>
    <row r="691" spans="1:7">
      <c r="A691" s="1">
        <v>690</v>
      </c>
      <c r="B691" s="1" t="s">
        <v>4</v>
      </c>
      <c r="C691" s="1">
        <v>3.1643622840347798</v>
      </c>
      <c r="G691">
        <v>3.4567745419999998</v>
      </c>
    </row>
    <row r="692" spans="1:7">
      <c r="A692" s="1">
        <v>691</v>
      </c>
      <c r="B692" s="1" t="s">
        <v>4</v>
      </c>
      <c r="C692" s="1">
        <v>3.6358293394382701</v>
      </c>
      <c r="G692">
        <v>3.2590130359999998</v>
      </c>
    </row>
    <row r="693" spans="1:7">
      <c r="A693" s="1">
        <v>692</v>
      </c>
      <c r="B693" s="1" t="s">
        <v>180</v>
      </c>
      <c r="C693" s="1">
        <v>3.6821266209686998</v>
      </c>
      <c r="G693">
        <v>3.4037184690000002</v>
      </c>
    </row>
    <row r="694" spans="1:7">
      <c r="A694" s="1">
        <v>693</v>
      </c>
      <c r="B694" s="1" t="s">
        <v>180</v>
      </c>
      <c r="C694" s="1">
        <v>3.5984096773308401</v>
      </c>
      <c r="G694">
        <v>2.2424366039999999</v>
      </c>
    </row>
    <row r="695" spans="1:7">
      <c r="A695" s="1">
        <v>694</v>
      </c>
      <c r="B695" s="1" t="s">
        <v>4</v>
      </c>
      <c r="C695" s="1">
        <v>3.4690469798491401</v>
      </c>
      <c r="G695">
        <v>2.6136251650000002</v>
      </c>
    </row>
    <row r="696" spans="1:7">
      <c r="A696" s="1">
        <v>695</v>
      </c>
      <c r="B696" s="1" t="s">
        <v>180</v>
      </c>
      <c r="C696" s="1">
        <v>3.2065801410499799</v>
      </c>
      <c r="G696">
        <v>2.4496359139999999</v>
      </c>
    </row>
    <row r="697" spans="1:7">
      <c r="A697" s="1">
        <v>696</v>
      </c>
      <c r="B697" s="1" t="s">
        <v>4</v>
      </c>
      <c r="C697" s="1">
        <v>2.7200039400207698</v>
      </c>
      <c r="G697">
        <v>3.3633222549999999</v>
      </c>
    </row>
    <row r="698" spans="1:7">
      <c r="A698" s="1">
        <v>697</v>
      </c>
      <c r="B698" s="1" t="s">
        <v>4</v>
      </c>
      <c r="C698" s="1">
        <v>3.5653648041946102</v>
      </c>
      <c r="G698">
        <v>2.7424047630000001</v>
      </c>
    </row>
    <row r="699" spans="1:7">
      <c r="A699" s="1">
        <v>698</v>
      </c>
      <c r="B699" s="1" t="s">
        <v>4</v>
      </c>
      <c r="C699" s="1">
        <v>3.3481148744706499</v>
      </c>
      <c r="G699">
        <v>2.7697564899999998</v>
      </c>
    </row>
    <row r="700" spans="1:7">
      <c r="A700" s="1">
        <v>699</v>
      </c>
      <c r="B700" s="1" t="s">
        <v>4</v>
      </c>
      <c r="C700" s="1">
        <v>2.7944358525232298</v>
      </c>
      <c r="G700">
        <v>3.4780031010000001</v>
      </c>
    </row>
    <row r="701" spans="1:7">
      <c r="A701" s="1">
        <v>700</v>
      </c>
      <c r="B701" s="1" t="s">
        <v>180</v>
      </c>
      <c r="C701" s="1">
        <v>3.5970656293513499</v>
      </c>
      <c r="G701">
        <v>3.6745010159999998</v>
      </c>
    </row>
    <row r="702" spans="1:7">
      <c r="A702" s="1">
        <v>701</v>
      </c>
      <c r="B702" s="1" t="s">
        <v>4</v>
      </c>
      <c r="C702" s="1">
        <v>3.0836963867659799</v>
      </c>
      <c r="G702">
        <v>3.5703650499999999</v>
      </c>
    </row>
    <row r="703" spans="1:7">
      <c r="A703" s="1">
        <v>702</v>
      </c>
      <c r="B703" s="1" t="s">
        <v>180</v>
      </c>
      <c r="C703" s="1">
        <v>3.3947980037359899</v>
      </c>
      <c r="G703">
        <v>3.5085207839999999</v>
      </c>
    </row>
    <row r="704" spans="1:7">
      <c r="A704" s="1">
        <v>703</v>
      </c>
      <c r="B704" s="1" t="s">
        <v>4</v>
      </c>
      <c r="C704" s="1">
        <v>2.9281772421096499</v>
      </c>
      <c r="G704">
        <v>2.7361290880000002</v>
      </c>
    </row>
    <row r="705" spans="1:7">
      <c r="A705" s="1">
        <v>704</v>
      </c>
      <c r="B705" s="1" t="s">
        <v>180</v>
      </c>
      <c r="C705" s="1">
        <v>3.7513893239988101</v>
      </c>
      <c r="G705">
        <v>3.5399550089999998</v>
      </c>
    </row>
    <row r="706" spans="1:7">
      <c r="A706" s="1">
        <v>705</v>
      </c>
      <c r="B706" s="1" t="s">
        <v>4</v>
      </c>
      <c r="C706" s="1">
        <v>3.1882582090485299</v>
      </c>
      <c r="G706">
        <v>3.7297543329999998</v>
      </c>
    </row>
    <row r="707" spans="1:7">
      <c r="A707" s="1">
        <v>706</v>
      </c>
      <c r="B707" s="1" t="s">
        <v>4</v>
      </c>
      <c r="C707" s="1">
        <v>3.3736154314989002</v>
      </c>
      <c r="G707">
        <v>3.526766909</v>
      </c>
    </row>
    <row r="708" spans="1:7">
      <c r="A708" s="1">
        <v>707</v>
      </c>
      <c r="B708" s="1" t="s">
        <v>4</v>
      </c>
      <c r="C708" s="1">
        <v>3.4419039553039701</v>
      </c>
      <c r="G708">
        <v>2.6341261409999999</v>
      </c>
    </row>
    <row r="709" spans="1:7">
      <c r="A709" s="1">
        <v>708</v>
      </c>
      <c r="B709" s="1" t="s">
        <v>4</v>
      </c>
      <c r="C709" s="1">
        <v>3.2897445040007902</v>
      </c>
      <c r="G709">
        <v>2.984956773</v>
      </c>
    </row>
    <row r="710" spans="1:7">
      <c r="A710" s="1">
        <v>709</v>
      </c>
      <c r="B710" s="1" t="s">
        <v>4</v>
      </c>
      <c r="C710" s="1">
        <v>3.21975588054858</v>
      </c>
      <c r="G710">
        <v>3.694741482</v>
      </c>
    </row>
    <row r="711" spans="1:7">
      <c r="A711" s="1">
        <v>710</v>
      </c>
      <c r="B711" s="1" t="s">
        <v>4</v>
      </c>
      <c r="C711" s="1">
        <v>3.4344197847735201</v>
      </c>
      <c r="G711">
        <v>3.8440849140000002</v>
      </c>
    </row>
    <row r="712" spans="1:7">
      <c r="A712" s="1">
        <v>711</v>
      </c>
      <c r="B712" s="1" t="s">
        <v>4</v>
      </c>
      <c r="C712" s="1">
        <v>3.2880974701192298</v>
      </c>
      <c r="G712">
        <v>3.0688727490000001</v>
      </c>
    </row>
    <row r="713" spans="1:7">
      <c r="A713" s="1">
        <v>712</v>
      </c>
      <c r="B713" s="1" t="s">
        <v>4</v>
      </c>
      <c r="C713" s="1">
        <v>3.0302196725591499</v>
      </c>
      <c r="G713">
        <v>3.4473268020000001</v>
      </c>
    </row>
    <row r="714" spans="1:7">
      <c r="A714" s="1">
        <v>713</v>
      </c>
      <c r="B714" s="1" t="s">
        <v>180</v>
      </c>
      <c r="C714" s="1">
        <v>3.4314368562547801</v>
      </c>
      <c r="G714">
        <v>3.5284677750000002</v>
      </c>
    </row>
    <row r="715" spans="1:7">
      <c r="A715" s="1">
        <v>714</v>
      </c>
      <c r="B715" s="1" t="s">
        <v>180</v>
      </c>
      <c r="C715" s="1">
        <v>3.5434353729280299</v>
      </c>
      <c r="G715">
        <v>2.542513477</v>
      </c>
    </row>
    <row r="716" spans="1:7">
      <c r="A716" s="1">
        <v>715</v>
      </c>
      <c r="B716" s="1" t="s">
        <v>4</v>
      </c>
      <c r="C716" s="1">
        <v>3.2160883119527099</v>
      </c>
      <c r="G716">
        <v>3.0105587690000002</v>
      </c>
    </row>
    <row r="717" spans="1:7">
      <c r="A717" s="1">
        <v>716</v>
      </c>
      <c r="B717" s="1" t="s">
        <v>4</v>
      </c>
      <c r="C717" s="1">
        <v>3.3471662749581599</v>
      </c>
      <c r="G717">
        <v>3.3274340910000002</v>
      </c>
    </row>
    <row r="718" spans="1:7">
      <c r="A718" s="1">
        <v>717</v>
      </c>
      <c r="B718" s="1" t="s">
        <v>180</v>
      </c>
      <c r="C718" s="1">
        <v>3.41485628883478</v>
      </c>
      <c r="G718">
        <v>2.2772698259999999</v>
      </c>
    </row>
    <row r="719" spans="1:7">
      <c r="A719" s="1">
        <v>718</v>
      </c>
      <c r="B719" s="1" t="s">
        <v>180</v>
      </c>
      <c r="C719" s="1">
        <v>3.7570067004687799</v>
      </c>
      <c r="G719">
        <v>3.0762027569999999</v>
      </c>
    </row>
    <row r="720" spans="1:7">
      <c r="A720" s="1">
        <v>719</v>
      </c>
      <c r="B720" s="1" t="s">
        <v>180</v>
      </c>
      <c r="C720" s="1">
        <v>2.8319275603613501</v>
      </c>
      <c r="G720">
        <v>3.2778330320000002</v>
      </c>
    </row>
    <row r="721" spans="1:7">
      <c r="A721" s="1">
        <v>720</v>
      </c>
      <c r="B721" s="1" t="s">
        <v>4</v>
      </c>
      <c r="C721" s="1">
        <v>2.5072463422317099</v>
      </c>
      <c r="G721">
        <v>3.420354326</v>
      </c>
    </row>
    <row r="722" spans="1:7">
      <c r="A722" s="1">
        <v>721</v>
      </c>
      <c r="B722" s="1" t="s">
        <v>4</v>
      </c>
      <c r="C722" s="1">
        <v>3.4452899859083699</v>
      </c>
    </row>
    <row r="723" spans="1:7">
      <c r="A723" s="1">
        <v>722</v>
      </c>
      <c r="B723" s="1" t="s">
        <v>4</v>
      </c>
      <c r="C723" s="1">
        <v>3.18105865333141</v>
      </c>
    </row>
    <row r="724" spans="1:7">
      <c r="A724" s="1">
        <v>723</v>
      </c>
      <c r="B724" s="1" t="s">
        <v>4</v>
      </c>
      <c r="C724" s="1">
        <v>3.24316914393563</v>
      </c>
    </row>
    <row r="725" spans="1:7">
      <c r="A725" s="1">
        <v>724</v>
      </c>
      <c r="B725" s="1" t="s">
        <v>180</v>
      </c>
      <c r="C725" s="1">
        <v>3.73891486899194</v>
      </c>
    </row>
    <row r="726" spans="1:7">
      <c r="A726" s="1">
        <v>725</v>
      </c>
      <c r="B726" s="1" t="s">
        <v>180</v>
      </c>
      <c r="C726" s="1">
        <v>2.2699703520997199</v>
      </c>
    </row>
    <row r="727" spans="1:7">
      <c r="A727" s="1">
        <v>726</v>
      </c>
      <c r="B727" s="1" t="s">
        <v>4</v>
      </c>
      <c r="C727" s="1">
        <v>3.3598520277616002</v>
      </c>
    </row>
    <row r="728" spans="1:7">
      <c r="A728" s="1">
        <v>727</v>
      </c>
      <c r="B728" s="1" t="s">
        <v>4</v>
      </c>
      <c r="C728" s="1">
        <v>3.5714770954484201</v>
      </c>
    </row>
    <row r="729" spans="1:7">
      <c r="A729" s="1">
        <v>728</v>
      </c>
      <c r="B729" s="1" t="s">
        <v>4</v>
      </c>
      <c r="C729" s="1">
        <v>3.27014136233048</v>
      </c>
    </row>
    <row r="730" spans="1:7">
      <c r="A730" s="1">
        <v>729</v>
      </c>
      <c r="B730" s="1" t="s">
        <v>4</v>
      </c>
      <c r="C730" s="1">
        <v>3.5083199463017798</v>
      </c>
    </row>
    <row r="731" spans="1:7">
      <c r="A731" s="1">
        <v>730</v>
      </c>
      <c r="B731" s="1" t="s">
        <v>4</v>
      </c>
      <c r="C731" s="1">
        <v>3.4367768531555898</v>
      </c>
    </row>
    <row r="732" spans="1:7">
      <c r="A732" s="1">
        <v>731</v>
      </c>
      <c r="B732" s="1" t="s">
        <v>4</v>
      </c>
      <c r="C732" s="1">
        <v>3.74484088203867</v>
      </c>
    </row>
    <row r="733" spans="1:7">
      <c r="A733" s="1">
        <v>732</v>
      </c>
      <c r="B733" s="1" t="s">
        <v>4</v>
      </c>
      <c r="C733" s="1">
        <v>3.32186505970598</v>
      </c>
    </row>
    <row r="734" spans="1:7">
      <c r="A734" s="1">
        <v>733</v>
      </c>
      <c r="B734" s="1" t="s">
        <v>180</v>
      </c>
      <c r="C734" s="1">
        <v>3.4140101170771699</v>
      </c>
    </row>
    <row r="735" spans="1:7">
      <c r="A735" s="1">
        <v>734</v>
      </c>
      <c r="B735" s="1" t="s">
        <v>4</v>
      </c>
      <c r="C735" s="1">
        <v>3.2969685385410599</v>
      </c>
    </row>
    <row r="736" spans="1:7">
      <c r="A736" s="1">
        <v>735</v>
      </c>
      <c r="B736" s="1" t="s">
        <v>4</v>
      </c>
      <c r="C736" s="1">
        <v>3.5522388926211499</v>
      </c>
    </row>
    <row r="737" spans="1:3">
      <c r="A737" s="1">
        <v>736</v>
      </c>
      <c r="B737" s="1" t="s">
        <v>4</v>
      </c>
      <c r="C737" s="1">
        <v>3.4693420882893999</v>
      </c>
    </row>
    <row r="738" spans="1:3">
      <c r="A738" s="1">
        <v>737</v>
      </c>
      <c r="B738" s="1" t="s">
        <v>4</v>
      </c>
      <c r="C738" s="1">
        <v>2.6670866687743602</v>
      </c>
    </row>
    <row r="739" spans="1:3">
      <c r="A739" s="1">
        <v>738</v>
      </c>
      <c r="B739" s="1" t="s">
        <v>180</v>
      </c>
      <c r="C739" s="1">
        <v>3.6071608734581302</v>
      </c>
    </row>
    <row r="740" spans="1:3">
      <c r="A740" s="1">
        <v>739</v>
      </c>
      <c r="B740" s="1" t="s">
        <v>4</v>
      </c>
      <c r="C740" s="1">
        <v>3.7467550236253699</v>
      </c>
    </row>
    <row r="741" spans="1:3">
      <c r="A741" s="1">
        <v>740</v>
      </c>
      <c r="B741" s="1" t="s">
        <v>4</v>
      </c>
      <c r="C741" s="1">
        <v>2.7020669495266501</v>
      </c>
    </row>
    <row r="742" spans="1:3">
      <c r="A742" s="1">
        <v>741</v>
      </c>
      <c r="B742" s="1" t="s">
        <v>4</v>
      </c>
      <c r="C742" s="1">
        <v>3.7539161576664299</v>
      </c>
    </row>
    <row r="743" spans="1:3">
      <c r="A743" s="1">
        <v>742</v>
      </c>
      <c r="B743" s="1" t="s">
        <v>180</v>
      </c>
      <c r="C743" s="1">
        <v>2.84635329493016</v>
      </c>
    </row>
    <row r="744" spans="1:3">
      <c r="A744" s="1">
        <v>743</v>
      </c>
      <c r="B744" s="1" t="s">
        <v>4</v>
      </c>
      <c r="C744" s="1">
        <v>3.2978906640815602</v>
      </c>
    </row>
    <row r="745" spans="1:3">
      <c r="A745" s="1">
        <v>744</v>
      </c>
      <c r="B745" s="1" t="s">
        <v>4</v>
      </c>
      <c r="C745" s="1">
        <v>2.81936739425994</v>
      </c>
    </row>
    <row r="746" spans="1:3">
      <c r="A746" s="1">
        <v>745</v>
      </c>
      <c r="B746" s="1" t="s">
        <v>4</v>
      </c>
      <c r="C746" s="1">
        <v>2.63523205006108</v>
      </c>
    </row>
    <row r="747" spans="1:3">
      <c r="A747" s="1">
        <v>746</v>
      </c>
      <c r="B747" s="1" t="s">
        <v>180</v>
      </c>
      <c r="C747" s="1">
        <v>3.99543552891932</v>
      </c>
    </row>
    <row r="748" spans="1:3">
      <c r="A748" s="1">
        <v>747</v>
      </c>
      <c r="B748" s="1" t="s">
        <v>4</v>
      </c>
      <c r="C748" s="1">
        <v>2.77222581157279</v>
      </c>
    </row>
    <row r="749" spans="1:3">
      <c r="A749" s="1">
        <v>748</v>
      </c>
      <c r="B749" s="1" t="s">
        <v>4</v>
      </c>
      <c r="C749" s="1">
        <v>3.10727247640791</v>
      </c>
    </row>
    <row r="750" spans="1:3">
      <c r="A750" s="1">
        <v>749</v>
      </c>
      <c r="B750" s="1" t="s">
        <v>4</v>
      </c>
      <c r="C750" s="1">
        <v>3.7033907991388002</v>
      </c>
    </row>
    <row r="751" spans="1:3">
      <c r="A751" s="1">
        <v>750</v>
      </c>
      <c r="B751" s="1" t="s">
        <v>4</v>
      </c>
      <c r="C751" s="1">
        <v>2.8376216468106601</v>
      </c>
    </row>
    <row r="752" spans="1:3">
      <c r="A752" s="1">
        <v>751</v>
      </c>
      <c r="B752" s="1" t="s">
        <v>4</v>
      </c>
      <c r="C752" s="1">
        <v>3.1902156802836799</v>
      </c>
    </row>
    <row r="753" spans="1:3">
      <c r="A753" s="1">
        <v>752</v>
      </c>
      <c r="B753" s="1" t="s">
        <v>4</v>
      </c>
      <c r="C753" s="1">
        <v>3.2656080827484399</v>
      </c>
    </row>
    <row r="754" spans="1:3">
      <c r="A754" s="1">
        <v>753</v>
      </c>
      <c r="B754" s="1" t="s">
        <v>4</v>
      </c>
      <c r="C754" s="1">
        <v>3.6926979776195998</v>
      </c>
    </row>
    <row r="755" spans="1:3">
      <c r="A755" s="1">
        <v>754</v>
      </c>
      <c r="B755" s="1" t="s">
        <v>4</v>
      </c>
      <c r="C755" s="1">
        <v>2.4707315227322799</v>
      </c>
    </row>
    <row r="756" spans="1:3">
      <c r="A756" s="1">
        <v>755</v>
      </c>
      <c r="B756" s="1" t="s">
        <v>4</v>
      </c>
      <c r="C756" s="1">
        <v>3.5167916630685099</v>
      </c>
    </row>
    <row r="757" spans="1:3">
      <c r="A757" s="1">
        <v>756</v>
      </c>
      <c r="B757" s="1" t="s">
        <v>4</v>
      </c>
      <c r="C757" s="1">
        <v>2.6538362943118501</v>
      </c>
    </row>
    <row r="758" spans="1:3">
      <c r="A758" s="1">
        <v>757</v>
      </c>
      <c r="B758" s="1" t="s">
        <v>4</v>
      </c>
      <c r="C758" s="1">
        <v>3.28647957898285</v>
      </c>
    </row>
    <row r="759" spans="1:3">
      <c r="A759" s="1">
        <v>758</v>
      </c>
      <c r="B759" s="1" t="s">
        <v>4</v>
      </c>
      <c r="C759" s="1">
        <v>2.1987461192715099</v>
      </c>
    </row>
    <row r="760" spans="1:3">
      <c r="A760" s="1">
        <v>759</v>
      </c>
      <c r="B760" s="1" t="s">
        <v>4</v>
      </c>
      <c r="C760" s="1">
        <v>3.2721602074324898</v>
      </c>
    </row>
    <row r="761" spans="1:3">
      <c r="A761" s="1">
        <v>760</v>
      </c>
      <c r="B761" s="1" t="s">
        <v>4</v>
      </c>
      <c r="C761" s="1">
        <v>3.41217058160312</v>
      </c>
    </row>
    <row r="762" spans="1:3">
      <c r="A762" s="1">
        <v>761</v>
      </c>
      <c r="B762" s="1" t="s">
        <v>4</v>
      </c>
      <c r="C762" s="1">
        <v>2.1381999845678301</v>
      </c>
    </row>
    <row r="763" spans="1:3">
      <c r="A763" s="1">
        <v>762</v>
      </c>
      <c r="B763" s="1" t="s">
        <v>180</v>
      </c>
      <c r="C763" s="1">
        <v>3.6275666915889202</v>
      </c>
    </row>
    <row r="764" spans="1:3">
      <c r="A764" s="1">
        <v>763</v>
      </c>
      <c r="B764" s="1" t="s">
        <v>4</v>
      </c>
      <c r="C764" s="1">
        <v>3.4231887679245498</v>
      </c>
    </row>
    <row r="765" spans="1:3">
      <c r="A765" s="1">
        <v>764</v>
      </c>
      <c r="B765" s="1" t="s">
        <v>180</v>
      </c>
      <c r="C765" s="1">
        <v>3.3752847003782498</v>
      </c>
    </row>
    <row r="766" spans="1:3">
      <c r="A766" s="1">
        <v>765</v>
      </c>
      <c r="B766" s="1" t="s">
        <v>4</v>
      </c>
      <c r="C766" s="1">
        <v>3.4825676407717001</v>
      </c>
    </row>
    <row r="767" spans="1:3">
      <c r="A767" s="1">
        <v>766</v>
      </c>
      <c r="B767" s="1" t="s">
        <v>180</v>
      </c>
      <c r="C767" s="1">
        <v>3.6940867222508298</v>
      </c>
    </row>
    <row r="768" spans="1:3">
      <c r="A768" s="1">
        <v>767</v>
      </c>
      <c r="B768" s="1" t="s">
        <v>4</v>
      </c>
      <c r="C768" s="1">
        <v>3.6474943620295002</v>
      </c>
    </row>
    <row r="769" spans="1:3">
      <c r="A769" s="1">
        <v>768</v>
      </c>
      <c r="B769" s="1" t="s">
        <v>180</v>
      </c>
      <c r="C769" s="1">
        <v>3.5953476803433002</v>
      </c>
    </row>
    <row r="770" spans="1:3">
      <c r="A770" s="1">
        <v>769</v>
      </c>
      <c r="B770" s="1" t="s">
        <v>180</v>
      </c>
      <c r="C770" s="1">
        <v>3.19297029882931</v>
      </c>
    </row>
    <row r="771" spans="1:3">
      <c r="A771" s="1">
        <v>770</v>
      </c>
      <c r="B771" s="1" t="s">
        <v>4</v>
      </c>
      <c r="C771" s="1">
        <v>3.3721548861563702</v>
      </c>
    </row>
    <row r="772" spans="1:3">
      <c r="A772" s="1">
        <v>771</v>
      </c>
      <c r="B772" s="1" t="s">
        <v>4</v>
      </c>
      <c r="C772" s="1">
        <v>3.3146665202819499</v>
      </c>
    </row>
    <row r="773" spans="1:3">
      <c r="A773" s="1">
        <v>772</v>
      </c>
      <c r="B773" s="1" t="s">
        <v>4</v>
      </c>
      <c r="C773" s="1">
        <v>3.3762658920717201</v>
      </c>
    </row>
    <row r="774" spans="1:3">
      <c r="A774" s="1">
        <v>773</v>
      </c>
      <c r="B774" s="1" t="s">
        <v>180</v>
      </c>
      <c r="C774" s="1">
        <v>3.88809255680111</v>
      </c>
    </row>
    <row r="775" spans="1:3">
      <c r="A775" s="1">
        <v>774</v>
      </c>
      <c r="B775" s="1" t="s">
        <v>180</v>
      </c>
      <c r="C775" s="1">
        <v>3.7131251792980402</v>
      </c>
    </row>
    <row r="776" spans="1:3">
      <c r="A776" s="1">
        <v>775</v>
      </c>
      <c r="B776" s="1" t="s">
        <v>180</v>
      </c>
      <c r="C776" s="1">
        <v>3.1014643642735198</v>
      </c>
    </row>
    <row r="777" spans="1:3">
      <c r="A777" s="1">
        <v>776</v>
      </c>
      <c r="B777" s="1" t="s">
        <v>180</v>
      </c>
      <c r="C777" s="1">
        <v>2.8075890705033602</v>
      </c>
    </row>
    <row r="778" spans="1:3">
      <c r="A778" s="1">
        <v>777</v>
      </c>
      <c r="B778" s="1" t="s">
        <v>4</v>
      </c>
      <c r="C778" s="1">
        <v>3.2837110183979901</v>
      </c>
    </row>
    <row r="779" spans="1:3">
      <c r="A779" s="1">
        <v>778</v>
      </c>
      <c r="B779" s="1" t="s">
        <v>180</v>
      </c>
      <c r="C779" s="1">
        <v>3.5351551886072201</v>
      </c>
    </row>
    <row r="780" spans="1:3">
      <c r="A780" s="1">
        <v>779</v>
      </c>
      <c r="B780" s="1" t="s">
        <v>4</v>
      </c>
      <c r="C780" s="1">
        <v>3.5654011694494998</v>
      </c>
    </row>
    <row r="781" spans="1:3">
      <c r="A781" s="1">
        <v>780</v>
      </c>
      <c r="B781" s="1" t="s">
        <v>180</v>
      </c>
      <c r="C781" s="1">
        <v>3.3816692649444202</v>
      </c>
    </row>
    <row r="782" spans="1:3">
      <c r="A782" s="1">
        <v>781</v>
      </c>
      <c r="B782" s="1" t="s">
        <v>4</v>
      </c>
      <c r="C782" s="1">
        <v>2.6356428511880301</v>
      </c>
    </row>
    <row r="783" spans="1:3">
      <c r="A783" s="1">
        <v>782</v>
      </c>
      <c r="B783" s="1" t="s">
        <v>4</v>
      </c>
      <c r="C783" s="1">
        <v>3.1233419016512598</v>
      </c>
    </row>
    <row r="784" spans="1:3">
      <c r="A784" s="1">
        <v>783</v>
      </c>
      <c r="B784" s="1" t="s">
        <v>4</v>
      </c>
      <c r="C784" s="1">
        <v>3.5477279696244799</v>
      </c>
    </row>
    <row r="785" spans="1:3">
      <c r="A785" s="1">
        <v>784</v>
      </c>
      <c r="B785" s="1" t="s">
        <v>180</v>
      </c>
      <c r="C785" s="1">
        <v>3.3649373954172099</v>
      </c>
    </row>
    <row r="786" spans="1:3">
      <c r="A786" s="1">
        <v>785</v>
      </c>
      <c r="B786" s="1" t="s">
        <v>4</v>
      </c>
      <c r="C786" s="1">
        <v>2.9059612960468999</v>
      </c>
    </row>
    <row r="787" spans="1:3">
      <c r="A787" s="1">
        <v>786</v>
      </c>
      <c r="B787" s="1" t="s">
        <v>4</v>
      </c>
      <c r="C787" s="1">
        <v>2.79652131902471</v>
      </c>
    </row>
    <row r="788" spans="1:3">
      <c r="A788" s="1">
        <v>787</v>
      </c>
      <c r="B788" s="1" t="s">
        <v>4</v>
      </c>
      <c r="C788" s="1">
        <v>3.2059221230633899</v>
      </c>
    </row>
    <row r="789" spans="1:3">
      <c r="A789" s="1">
        <v>788</v>
      </c>
      <c r="B789" s="1" t="s">
        <v>180</v>
      </c>
      <c r="C789" s="1">
        <v>3.6320762258285</v>
      </c>
    </row>
    <row r="790" spans="1:3">
      <c r="A790" s="1">
        <v>789</v>
      </c>
      <c r="B790" s="1" t="s">
        <v>180</v>
      </c>
      <c r="C790" s="1">
        <v>3.5117658269144698</v>
      </c>
    </row>
    <row r="791" spans="1:3">
      <c r="A791" s="1">
        <v>790</v>
      </c>
      <c r="B791" s="1" t="s">
        <v>180</v>
      </c>
      <c r="C791" s="1">
        <v>3.1228380306936199</v>
      </c>
    </row>
    <row r="792" spans="1:3">
      <c r="A792" s="1">
        <v>791</v>
      </c>
      <c r="B792" s="1" t="s">
        <v>4</v>
      </c>
      <c r="C792" s="1">
        <v>3.11448394346897</v>
      </c>
    </row>
    <row r="793" spans="1:3">
      <c r="A793" s="1">
        <v>792</v>
      </c>
      <c r="B793" s="1" t="s">
        <v>180</v>
      </c>
      <c r="C793" s="1">
        <v>3.4476223070151502</v>
      </c>
    </row>
    <row r="794" spans="1:3">
      <c r="A794" s="1">
        <v>793</v>
      </c>
      <c r="B794" s="1" t="s">
        <v>4</v>
      </c>
      <c r="C794" s="1">
        <v>2.5722473169968301</v>
      </c>
    </row>
    <row r="795" spans="1:3">
      <c r="A795" s="1">
        <v>794</v>
      </c>
      <c r="B795" s="1" t="s">
        <v>4</v>
      </c>
      <c r="C795" s="1">
        <v>3.77269168633048</v>
      </c>
    </row>
    <row r="796" spans="1:3">
      <c r="A796" s="1">
        <v>795</v>
      </c>
      <c r="B796" s="1" t="s">
        <v>180</v>
      </c>
      <c r="C796" s="1">
        <v>2.06294872633773</v>
      </c>
    </row>
    <row r="797" spans="1:3">
      <c r="A797" s="1">
        <v>796</v>
      </c>
      <c r="B797" s="1" t="s">
        <v>4</v>
      </c>
      <c r="C797" s="1">
        <v>3.5849907070415701</v>
      </c>
    </row>
    <row r="798" spans="1:3">
      <c r="A798" s="1">
        <v>797</v>
      </c>
      <c r="B798" s="1" t="s">
        <v>4</v>
      </c>
      <c r="C798" s="1">
        <v>3.6239384883927901</v>
      </c>
    </row>
    <row r="799" spans="1:3">
      <c r="A799" s="1">
        <v>798</v>
      </c>
      <c r="B799" s="1" t="s">
        <v>4</v>
      </c>
      <c r="C799" s="1">
        <v>3.34252727137706</v>
      </c>
    </row>
    <row r="800" spans="1:3">
      <c r="A800" s="1">
        <v>799</v>
      </c>
      <c r="B800" s="1" t="s">
        <v>4</v>
      </c>
      <c r="C800" s="1">
        <v>3.46816365252828</v>
      </c>
    </row>
    <row r="801" spans="1:3">
      <c r="A801" s="1">
        <v>800</v>
      </c>
      <c r="B801" s="1" t="s">
        <v>4</v>
      </c>
      <c r="C801" s="1">
        <v>2.3732192838942199</v>
      </c>
    </row>
    <row r="802" spans="1:3">
      <c r="A802" s="1">
        <v>801</v>
      </c>
      <c r="B802" s="1" t="s">
        <v>180</v>
      </c>
      <c r="C802" s="1">
        <v>3.59741691380176</v>
      </c>
    </row>
    <row r="803" spans="1:3">
      <c r="A803" s="1">
        <v>802</v>
      </c>
      <c r="B803" s="1" t="s">
        <v>180</v>
      </c>
      <c r="C803" s="1">
        <v>3.7351478763660801</v>
      </c>
    </row>
    <row r="804" spans="1:3">
      <c r="A804" s="1">
        <v>803</v>
      </c>
      <c r="B804" s="1" t="s">
        <v>180</v>
      </c>
      <c r="C804" s="1">
        <v>2.4007382862539699</v>
      </c>
    </row>
    <row r="805" spans="1:3">
      <c r="A805" s="1">
        <v>804</v>
      </c>
      <c r="B805" s="1" t="s">
        <v>4</v>
      </c>
      <c r="C805" s="1">
        <v>3.5389357966657902</v>
      </c>
    </row>
    <row r="806" spans="1:3">
      <c r="A806" s="1">
        <v>805</v>
      </c>
      <c r="B806" s="1" t="s">
        <v>180</v>
      </c>
      <c r="C806" s="1">
        <v>3.6766817675450798</v>
      </c>
    </row>
    <row r="807" spans="1:3">
      <c r="A807" s="1">
        <v>806</v>
      </c>
      <c r="B807" s="1" t="s">
        <v>180</v>
      </c>
      <c r="C807" s="1">
        <v>3.7280580745937901</v>
      </c>
    </row>
    <row r="808" spans="1:3">
      <c r="A808" s="1">
        <v>807</v>
      </c>
      <c r="B808" s="1" t="s">
        <v>4</v>
      </c>
      <c r="C808" s="1">
        <v>3.45677454175327</v>
      </c>
    </row>
    <row r="809" spans="1:3">
      <c r="A809" s="1">
        <v>808</v>
      </c>
      <c r="B809" s="1" t="s">
        <v>4</v>
      </c>
      <c r="C809" s="1">
        <v>3.2590130363450101</v>
      </c>
    </row>
    <row r="810" spans="1:3">
      <c r="A810" s="1">
        <v>809</v>
      </c>
      <c r="B810" s="1" t="s">
        <v>4</v>
      </c>
      <c r="C810" s="1">
        <v>3.40371846873524</v>
      </c>
    </row>
    <row r="811" spans="1:3">
      <c r="A811" s="1">
        <v>810</v>
      </c>
      <c r="B811" s="1" t="s">
        <v>4</v>
      </c>
      <c r="C811" s="1">
        <v>2.2424366041080201</v>
      </c>
    </row>
    <row r="812" spans="1:3">
      <c r="A812" s="1">
        <v>811</v>
      </c>
      <c r="B812" s="1" t="s">
        <v>180</v>
      </c>
      <c r="C812" s="1">
        <v>3.74577710037059</v>
      </c>
    </row>
    <row r="813" spans="1:3">
      <c r="A813" s="1">
        <v>812</v>
      </c>
      <c r="B813" s="1" t="s">
        <v>180</v>
      </c>
      <c r="C813" s="1">
        <v>3.7616439445438199</v>
      </c>
    </row>
    <row r="814" spans="1:3">
      <c r="A814" s="1">
        <v>813</v>
      </c>
      <c r="B814" s="1" t="s">
        <v>4</v>
      </c>
      <c r="C814" s="1">
        <v>2.6136251650143998</v>
      </c>
    </row>
    <row r="815" spans="1:3">
      <c r="A815" s="1">
        <v>814</v>
      </c>
      <c r="B815" s="1" t="s">
        <v>180</v>
      </c>
      <c r="C815" s="1">
        <v>3.7124724520330501</v>
      </c>
    </row>
    <row r="816" spans="1:3">
      <c r="A816" s="1">
        <v>815</v>
      </c>
      <c r="B816" s="1" t="s">
        <v>4</v>
      </c>
      <c r="C816" s="1">
        <v>2.4496359143353299</v>
      </c>
    </row>
    <row r="817" spans="1:3">
      <c r="A817" s="1">
        <v>816</v>
      </c>
      <c r="B817" s="1" t="s">
        <v>180</v>
      </c>
      <c r="C817" s="1">
        <v>3.37319724495502</v>
      </c>
    </row>
    <row r="818" spans="1:3">
      <c r="A818" s="1">
        <v>817</v>
      </c>
      <c r="B818" s="1" t="s">
        <v>4</v>
      </c>
      <c r="C818" s="1">
        <v>3.3633222553824398</v>
      </c>
    </row>
    <row r="819" spans="1:3">
      <c r="A819" s="1">
        <v>818</v>
      </c>
      <c r="B819" s="1" t="s">
        <v>180</v>
      </c>
      <c r="C819" s="1">
        <v>2.52729110468771</v>
      </c>
    </row>
    <row r="820" spans="1:3">
      <c r="A820" s="1">
        <v>819</v>
      </c>
      <c r="B820" s="1" t="s">
        <v>4</v>
      </c>
      <c r="C820" s="1">
        <v>2.7424047633219</v>
      </c>
    </row>
    <row r="821" spans="1:3">
      <c r="A821" s="1">
        <v>820</v>
      </c>
      <c r="B821" s="1" t="s">
        <v>4</v>
      </c>
      <c r="C821" s="1">
        <v>2.7697564902032101</v>
      </c>
    </row>
    <row r="822" spans="1:3">
      <c r="A822" s="1">
        <v>821</v>
      </c>
      <c r="B822" s="1" t="s">
        <v>4</v>
      </c>
      <c r="C822" s="1">
        <v>3.4780031012726802</v>
      </c>
    </row>
    <row r="823" spans="1:3">
      <c r="A823" s="1">
        <v>822</v>
      </c>
      <c r="B823" s="1" t="s">
        <v>4</v>
      </c>
      <c r="C823" s="1">
        <v>3.6745010155398701</v>
      </c>
    </row>
    <row r="824" spans="1:3">
      <c r="A824" s="1">
        <v>823</v>
      </c>
      <c r="B824" s="1" t="s">
        <v>4</v>
      </c>
      <c r="C824" s="1">
        <v>3.5703650501879398</v>
      </c>
    </row>
    <row r="825" spans="1:3">
      <c r="A825" s="1">
        <v>824</v>
      </c>
      <c r="B825" s="1" t="s">
        <v>4</v>
      </c>
      <c r="C825" s="1">
        <v>3.5085207841715</v>
      </c>
    </row>
    <row r="826" spans="1:3">
      <c r="A826" s="1">
        <v>825</v>
      </c>
      <c r="B826" s="1" t="s">
        <v>4</v>
      </c>
      <c r="C826" s="1">
        <v>2.7361290881939802</v>
      </c>
    </row>
    <row r="827" spans="1:3">
      <c r="A827" s="1">
        <v>826</v>
      </c>
      <c r="B827" s="1" t="s">
        <v>180</v>
      </c>
      <c r="C827" s="1">
        <v>4.0153546192133698</v>
      </c>
    </row>
    <row r="828" spans="1:3">
      <c r="A828" s="1">
        <v>827</v>
      </c>
      <c r="B828" s="1" t="s">
        <v>4</v>
      </c>
      <c r="C828" s="1">
        <v>3.5399550085956402</v>
      </c>
    </row>
    <row r="829" spans="1:3">
      <c r="A829" s="1">
        <v>828</v>
      </c>
      <c r="B829" s="1" t="s">
        <v>4</v>
      </c>
      <c r="C829" s="1">
        <v>3.7297543334530801</v>
      </c>
    </row>
    <row r="830" spans="1:3">
      <c r="A830" s="1">
        <v>829</v>
      </c>
      <c r="B830" s="1" t="s">
        <v>4</v>
      </c>
      <c r="C830" s="1">
        <v>3.5267669088137601</v>
      </c>
    </row>
    <row r="831" spans="1:3">
      <c r="A831" s="1">
        <v>830</v>
      </c>
      <c r="B831" s="1" t="s">
        <v>4</v>
      </c>
      <c r="C831" s="1">
        <v>2.63412614148121</v>
      </c>
    </row>
    <row r="832" spans="1:3">
      <c r="A832" s="1">
        <v>831</v>
      </c>
      <c r="B832" s="1" t="s">
        <v>180</v>
      </c>
      <c r="C832" s="1">
        <v>3.4298015564028601</v>
      </c>
    </row>
    <row r="833" spans="1:3">
      <c r="A833" s="1">
        <v>832</v>
      </c>
      <c r="B833" s="1" t="s">
        <v>4</v>
      </c>
      <c r="C833" s="1">
        <v>2.98495677325025</v>
      </c>
    </row>
    <row r="834" spans="1:3">
      <c r="A834" s="1">
        <v>833</v>
      </c>
      <c r="B834" s="1" t="s">
        <v>4</v>
      </c>
      <c r="C834" s="1">
        <v>3.6947414818414801</v>
      </c>
    </row>
    <row r="835" spans="1:3">
      <c r="A835" s="1">
        <v>834</v>
      </c>
      <c r="B835" s="1" t="s">
        <v>180</v>
      </c>
      <c r="C835" s="1">
        <v>3.2965291853312801</v>
      </c>
    </row>
    <row r="836" spans="1:3">
      <c r="A836" s="1">
        <v>835</v>
      </c>
      <c r="B836" s="1" t="s">
        <v>4</v>
      </c>
      <c r="C836" s="1">
        <v>3.8440849141612499</v>
      </c>
    </row>
    <row r="837" spans="1:3">
      <c r="A837" s="1">
        <v>836</v>
      </c>
      <c r="B837" s="1" t="s">
        <v>180</v>
      </c>
      <c r="C837" s="1">
        <v>2.66727654468307</v>
      </c>
    </row>
    <row r="838" spans="1:3">
      <c r="A838" s="1">
        <v>837</v>
      </c>
      <c r="B838" s="1" t="s">
        <v>4</v>
      </c>
      <c r="C838" s="1">
        <v>3.0688727494443402</v>
      </c>
    </row>
    <row r="839" spans="1:3">
      <c r="A839" s="1">
        <v>838</v>
      </c>
      <c r="B839" s="1" t="s">
        <v>4</v>
      </c>
      <c r="C839" s="1">
        <v>3.44732680151334</v>
      </c>
    </row>
    <row r="840" spans="1:3">
      <c r="A840" s="1">
        <v>839</v>
      </c>
      <c r="B840" s="1" t="s">
        <v>4</v>
      </c>
      <c r="C840" s="1">
        <v>3.5284677745908</v>
      </c>
    </row>
    <row r="841" spans="1:3">
      <c r="A841" s="1">
        <v>840</v>
      </c>
      <c r="B841" s="1" t="s">
        <v>4</v>
      </c>
      <c r="C841" s="1">
        <v>2.54251347672237</v>
      </c>
    </row>
    <row r="842" spans="1:3">
      <c r="A842" s="1">
        <v>841</v>
      </c>
      <c r="B842" s="1" t="s">
        <v>180</v>
      </c>
      <c r="C842" s="1">
        <v>3.4994719503255798</v>
      </c>
    </row>
    <row r="843" spans="1:3">
      <c r="A843" s="1">
        <v>842</v>
      </c>
      <c r="B843" s="1" t="s">
        <v>4</v>
      </c>
      <c r="C843" s="1">
        <v>3.0105587693843501</v>
      </c>
    </row>
    <row r="844" spans="1:3">
      <c r="A844" s="1">
        <v>843</v>
      </c>
      <c r="B844" s="1" t="s">
        <v>4</v>
      </c>
      <c r="C844" s="1">
        <v>3.3274340907573898</v>
      </c>
    </row>
    <row r="845" spans="1:3">
      <c r="A845" s="1">
        <v>844</v>
      </c>
      <c r="B845" s="1" t="s">
        <v>180</v>
      </c>
      <c r="C845" s="1">
        <v>3.8582100078624499</v>
      </c>
    </row>
    <row r="846" spans="1:3">
      <c r="A846" s="1">
        <v>845</v>
      </c>
      <c r="B846" s="1" t="s">
        <v>180</v>
      </c>
      <c r="C846" s="1">
        <v>3.7399905908684801</v>
      </c>
    </row>
    <row r="847" spans="1:3">
      <c r="A847" s="1">
        <v>846</v>
      </c>
      <c r="B847" s="1" t="s">
        <v>180</v>
      </c>
      <c r="C847" s="1">
        <v>2.6891088691587699</v>
      </c>
    </row>
    <row r="848" spans="1:3">
      <c r="A848" s="1">
        <v>847</v>
      </c>
      <c r="B848" s="1" t="s">
        <v>4</v>
      </c>
      <c r="C848" s="1">
        <v>2.2772698260270299</v>
      </c>
    </row>
    <row r="849" spans="1:3">
      <c r="A849" s="1">
        <v>848</v>
      </c>
      <c r="B849" s="1" t="s">
        <v>4</v>
      </c>
      <c r="C849" s="1">
        <v>3.0762027573601798</v>
      </c>
    </row>
    <row r="850" spans="1:3">
      <c r="A850" s="1">
        <v>849</v>
      </c>
      <c r="B850" s="1" t="s">
        <v>180</v>
      </c>
      <c r="C850" s="1">
        <v>3.3174490794481901</v>
      </c>
    </row>
    <row r="851" spans="1:3">
      <c r="A851" s="1">
        <v>850</v>
      </c>
      <c r="B851" s="1" t="s">
        <v>180</v>
      </c>
      <c r="C851" s="1">
        <v>3.5807831517463899</v>
      </c>
    </row>
    <row r="852" spans="1:3">
      <c r="A852" s="1">
        <v>851</v>
      </c>
      <c r="B852" s="1" t="s">
        <v>4</v>
      </c>
      <c r="C852" s="1">
        <v>3.2778330319426798</v>
      </c>
    </row>
    <row r="853" spans="1:3">
      <c r="A853" s="1">
        <v>852</v>
      </c>
      <c r="B853" s="1" t="s">
        <v>4</v>
      </c>
      <c r="C853" s="1">
        <v>3.4203543264446301</v>
      </c>
    </row>
  </sheetData>
  <autoFilter ref="A1:C853" xr:uid="{17B4F319-316E-1C4E-B1B6-DD9118D49B15}"/>
  <sortState xmlns:xlrd2="http://schemas.microsoft.com/office/spreadsheetml/2017/richdata2" ref="T68:T87">
    <sortCondition ref="T68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原始数据</vt:lpstr>
      <vt:lpstr>汇聚结果</vt:lpstr>
      <vt:lpstr>单词-句子长度</vt:lpstr>
      <vt:lpstr>POS-图</vt:lpstr>
      <vt:lpstr>probabilities_mean_valued</vt:lpstr>
      <vt:lpstr>probabilities_variance_value</vt:lpstr>
      <vt:lpstr>修正数据</vt:lpstr>
      <vt:lpstr>probabilities_max_valued</vt:lpstr>
      <vt:lpstr>hidden_states_mean_value</vt:lpstr>
      <vt:lpstr>hidden_states_variance_value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2024-01-07T20:26:45Z</dcterms:created>
  <dcterms:modified xsi:type="dcterms:W3CDTF">2024-01-11T16:41:48Z</dcterms:modified>
</cp:coreProperties>
</file>